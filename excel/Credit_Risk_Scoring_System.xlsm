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sus\OneDrive\Documents\PROJECTS\Credit-Risk-Scoring-System\excel\"/>
    </mc:Choice>
  </mc:AlternateContent>
  <xr:revisionPtr revIDLastSave="0" documentId="13_ncr:1_{7CA44FD2-F402-4EAD-A042-59DA4FFAF167}" xr6:coauthVersionLast="47" xr6:coauthVersionMax="47" xr10:uidLastSave="{00000000-0000-0000-0000-000000000000}"/>
  <bookViews>
    <workbookView xWindow="14295" yWindow="0" windowWidth="14610" windowHeight="17385" activeTab="2" xr2:uid="{511DA8E4-6580-4F6A-9422-34DF6C9B150E}"/>
  </bookViews>
  <sheets>
    <sheet name="RAW_DATA" sheetId="1" r:id="rId1"/>
    <sheet name="SCORING_ENGINE" sheetId="2" r:id="rId2"/>
    <sheet name="DECISION_OUTPUT" sheetId="3" r:id="rId3"/>
    <sheet name="AUDIT_TRAIL" sheetId="4" r:id="rId4"/>
    <sheet name="DASHBOARD" sheetId="5" r:id="rId5"/>
  </sheets>
  <definedNames>
    <definedName name="_xlpm.CompositeScore" hidden="1" xlm="1">#NAME?</definedName>
    <definedName name="_xlpm.Eligibility" hidden="1" xlm="1">#NAME?</definedName>
    <definedName name="_xlpm.IsIneligible" hidden="1" xlm="1">#NAME?</definedName>
    <definedName name="_xlpm.IsModerate" hidden="1" xlm="1">#NAME?</definedName>
    <definedName name="_xlpm.IsStrong" hidden="1" xlm="1">#NAME?</definedName>
    <definedName name="CLASSIFY_CREDIT">_xlfn.LAMBDA(_xlpm.Eligibility,_xlpm.CompositeScore,_xlfn.LET(_xlpm.IsIneligible,_xlpm.Eligibility="INELIGIBLE",_xlpm.IsStrong,_xlpm.CompositeScore&gt;=70,_xlpm.IsModerate,_xlpm.CompositeScore&gt;=50,IF(_xlpm.IsIneligible,"Reject",IF(_xlpm.IsStrong,"Approve",IF(_xlpm.IsModerate,"Review","Reject"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3" i="3" l="1" a="1"/>
  <c r="D3" i="3" s="1"/>
  <c r="D4" i="3" a="1"/>
  <c r="D4" i="3" s="1"/>
  <c r="D5" i="3" a="1"/>
  <c r="D5" i="3" s="1"/>
  <c r="F5" i="3" s="1"/>
  <c r="D6" i="3" a="1"/>
  <c r="D6" i="3"/>
  <c r="D7" i="3" a="1"/>
  <c r="D7" i="3"/>
  <c r="D8" i="3" a="1"/>
  <c r="D8" i="3"/>
  <c r="D9" i="3" a="1"/>
  <c r="D9" i="3" s="1"/>
  <c r="F9" i="3" s="1"/>
  <c r="D10" i="3" a="1"/>
  <c r="D10" i="3" s="1"/>
  <c r="D11" i="3" a="1"/>
  <c r="D11" i="3" s="1"/>
  <c r="D12" i="3" a="1"/>
  <c r="D12" i="3" s="1"/>
  <c r="F12" i="3" s="1"/>
  <c r="D13" i="3" a="1"/>
  <c r="D13" i="3"/>
  <c r="D14" i="3" a="1"/>
  <c r="D14" i="3"/>
  <c r="D15" i="3" a="1"/>
  <c r="D15" i="3" s="1"/>
  <c r="D16" i="3" a="1"/>
  <c r="D16" i="3" s="1"/>
  <c r="D17" i="3" a="1"/>
  <c r="D17" i="3"/>
  <c r="F17" i="3" s="1"/>
  <c r="D18" i="3" a="1"/>
  <c r="D18" i="3" s="1"/>
  <c r="F18" i="3" s="1"/>
  <c r="D19" i="3" a="1"/>
  <c r="D19" i="3" s="1"/>
  <c r="F19" i="3" s="1"/>
  <c r="D20" i="3" a="1"/>
  <c r="D20" i="3"/>
  <c r="D21" i="3" a="1"/>
  <c r="D21" i="3" s="1"/>
  <c r="F21" i="3" s="1"/>
  <c r="D22" i="3" a="1"/>
  <c r="D22" i="3" s="1"/>
  <c r="D23" i="3" a="1"/>
  <c r="D23" i="3"/>
  <c r="D24" i="3" a="1"/>
  <c r="D24" i="3"/>
  <c r="F24" i="3" s="1"/>
  <c r="D25" i="3" a="1"/>
  <c r="D25" i="3" s="1"/>
  <c r="D26" i="3" a="1"/>
  <c r="D26" i="3" s="1"/>
  <c r="F26" i="3" s="1"/>
  <c r="D27" i="3" a="1"/>
  <c r="D27" i="3" s="1"/>
  <c r="D28" i="3" a="1"/>
  <c r="D28" i="3" s="1"/>
  <c r="F28" i="3" s="1"/>
  <c r="D29" i="3" a="1"/>
  <c r="D29" i="3"/>
  <c r="F29" i="3" s="1"/>
  <c r="D30" i="3" a="1"/>
  <c r="D30" i="3"/>
  <c r="D31" i="3" a="1"/>
  <c r="D31" i="3"/>
  <c r="D32" i="3" a="1"/>
  <c r="D32" i="3" s="1"/>
  <c r="D33" i="3" a="1"/>
  <c r="D33" i="3" s="1"/>
  <c r="D34" i="3" a="1"/>
  <c r="D34" i="3" s="1"/>
  <c r="D35" i="3" a="1"/>
  <c r="D35" i="3"/>
  <c r="F35" i="3" s="1"/>
  <c r="D36" i="3" a="1"/>
  <c r="D36" i="3"/>
  <c r="F36" i="3" s="1"/>
  <c r="D37" i="3" a="1"/>
  <c r="D37" i="3"/>
  <c r="D38" i="3" a="1"/>
  <c r="D38" i="3"/>
  <c r="F38" i="3" s="1"/>
  <c r="D39" i="3" a="1"/>
  <c r="D39" i="3" s="1"/>
  <c r="D40" i="3" a="1"/>
  <c r="D40" i="3" s="1"/>
  <c r="D41" i="3" a="1"/>
  <c r="D41" i="3" s="1"/>
  <c r="D42" i="3" a="1"/>
  <c r="D42" i="3"/>
  <c r="F42" i="3" s="1"/>
  <c r="D43" i="3" a="1"/>
  <c r="D43" i="3"/>
  <c r="F43" i="3" s="1"/>
  <c r="D44" i="3" a="1"/>
  <c r="D44" i="3"/>
  <c r="D45" i="3" a="1"/>
  <c r="D45" i="3" s="1"/>
  <c r="F45" i="3" s="1"/>
  <c r="D46" i="3" a="1"/>
  <c r="D46" i="3" s="1"/>
  <c r="F46" i="3" s="1"/>
  <c r="D47" i="3" a="1"/>
  <c r="D47" i="3" s="1"/>
  <c r="F47" i="3" s="1"/>
  <c r="D48" i="3" a="1"/>
  <c r="D48" i="3" s="1"/>
  <c r="F48" i="3" s="1"/>
  <c r="D49" i="3" a="1"/>
  <c r="D49" i="3"/>
  <c r="D50" i="3" a="1"/>
  <c r="D50" i="3"/>
  <c r="D51" i="3" a="1"/>
  <c r="D51" i="3" s="1"/>
  <c r="D52" i="3" a="1"/>
  <c r="D52" i="3" s="1"/>
  <c r="D53" i="3" a="1"/>
  <c r="D53" i="3"/>
  <c r="D54" i="3" a="1"/>
  <c r="D54" i="3" s="1"/>
  <c r="F54" i="3" s="1"/>
  <c r="D55" i="3" a="1"/>
  <c r="D55" i="3" s="1"/>
  <c r="F55" i="3" s="1"/>
  <c r="D56" i="3" a="1"/>
  <c r="D56" i="3"/>
  <c r="D57" i="3" a="1"/>
  <c r="D57" i="3" s="1"/>
  <c r="F57" i="3" s="1"/>
  <c r="D58" i="3" a="1"/>
  <c r="D58" i="3" s="1"/>
  <c r="D59" i="3" a="1"/>
  <c r="D59" i="3"/>
  <c r="D60" i="3" a="1"/>
  <c r="D60" i="3"/>
  <c r="F60" i="3" s="1"/>
  <c r="D61" i="3" a="1"/>
  <c r="D61" i="3" s="1"/>
  <c r="D62" i="3" a="1"/>
  <c r="D62" i="3" s="1"/>
  <c r="D63" i="3" a="1"/>
  <c r="D63" i="3" s="1"/>
  <c r="D64" i="3" a="1"/>
  <c r="D64" i="3" s="1"/>
  <c r="F64" i="3" s="1"/>
  <c r="D65" i="3" a="1"/>
  <c r="D65" i="3"/>
  <c r="D66" i="3" a="1"/>
  <c r="D66" i="3"/>
  <c r="F66" i="3" s="1"/>
  <c r="D67" i="3" a="1"/>
  <c r="D67" i="3"/>
  <c r="D68" i="3" a="1"/>
  <c r="D68" i="3" s="1"/>
  <c r="F68" i="3" s="1"/>
  <c r="D69" i="3" a="1"/>
  <c r="D69" i="3" s="1"/>
  <c r="D70" i="3" a="1"/>
  <c r="D70" i="3" s="1"/>
  <c r="D71" i="3" a="1"/>
  <c r="D71" i="3"/>
  <c r="F71" i="3" s="1"/>
  <c r="D72" i="3" a="1"/>
  <c r="D72" i="3"/>
  <c r="F72" i="3" s="1"/>
  <c r="D73" i="3" a="1"/>
  <c r="D73" i="3"/>
  <c r="D74" i="3" a="1"/>
  <c r="D74" i="3"/>
  <c r="F74" i="3" s="1"/>
  <c r="D75" i="3" a="1"/>
  <c r="D75" i="3" s="1"/>
  <c r="D76" i="3" a="1"/>
  <c r="D76" i="3" s="1"/>
  <c r="D77" i="3" a="1"/>
  <c r="D77" i="3" s="1"/>
  <c r="D78" i="3" a="1"/>
  <c r="D78" i="3"/>
  <c r="D79" i="3" a="1"/>
  <c r="D79" i="3"/>
  <c r="D80" i="3" a="1"/>
  <c r="D80" i="3"/>
  <c r="D81" i="3" a="1"/>
  <c r="D81" i="3" s="1"/>
  <c r="D82" i="3" a="1"/>
  <c r="D82" i="3" s="1"/>
  <c r="D83" i="3" a="1"/>
  <c r="D83" i="3" s="1"/>
  <c r="F83" i="3" s="1"/>
  <c r="D84" i="3" a="1"/>
  <c r="D84" i="3" s="1"/>
  <c r="F84" i="3" s="1"/>
  <c r="D85" i="3" a="1"/>
  <c r="D85" i="3"/>
  <c r="D86" i="3" a="1"/>
  <c r="D86" i="3"/>
  <c r="F86" i="3" s="1"/>
  <c r="D87" i="3" a="1"/>
  <c r="D87" i="3" s="1"/>
  <c r="D88" i="3" a="1"/>
  <c r="D88" i="3" s="1"/>
  <c r="D89" i="3" a="1"/>
  <c r="D89" i="3"/>
  <c r="D90" i="3" a="1"/>
  <c r="D90" i="3" s="1"/>
  <c r="F90" i="3" s="1"/>
  <c r="D91" i="3" a="1"/>
  <c r="D91" i="3" s="1"/>
  <c r="F91" i="3" s="1"/>
  <c r="D92" i="3" a="1"/>
  <c r="D92" i="3"/>
  <c r="D93" i="3" a="1"/>
  <c r="D93" i="3" s="1"/>
  <c r="D94" i="3" a="1"/>
  <c r="D94" i="3" s="1"/>
  <c r="D95" i="3" a="1"/>
  <c r="D95" i="3"/>
  <c r="D96" i="3" a="1"/>
  <c r="D96" i="3"/>
  <c r="D97" i="3" a="1"/>
  <c r="D97" i="3" s="1"/>
  <c r="D98" i="3" a="1"/>
  <c r="D98" i="3" s="1"/>
  <c r="D99" i="3" a="1"/>
  <c r="D99" i="3" s="1"/>
  <c r="D100" i="3" a="1"/>
  <c r="D100" i="3" s="1"/>
  <c r="D101" i="3" a="1"/>
  <c r="D101" i="3"/>
  <c r="D102" i="3" a="1"/>
  <c r="D102" i="3"/>
  <c r="F102" i="3" s="1"/>
  <c r="D103" i="3" a="1"/>
  <c r="D103" i="3"/>
  <c r="F103" i="3" s="1"/>
  <c r="D104" i="3" a="1"/>
  <c r="D104" i="3" s="1"/>
  <c r="F104" i="3" s="1"/>
  <c r="D105" i="3" a="1"/>
  <c r="D105" i="3" s="1"/>
  <c r="D106" i="3" a="1"/>
  <c r="D106" i="3" s="1"/>
  <c r="D107" i="3" a="1"/>
  <c r="D107" i="3"/>
  <c r="D108" i="3" a="1"/>
  <c r="D108" i="3"/>
  <c r="D109" i="3" a="1"/>
  <c r="D109" i="3"/>
  <c r="D110" i="3" a="1"/>
  <c r="D110" i="3"/>
  <c r="D111" i="3" a="1"/>
  <c r="D111" i="3" s="1"/>
  <c r="D112" i="3" a="1"/>
  <c r="D112" i="3" s="1"/>
  <c r="D113" i="3" a="1"/>
  <c r="D113" i="3" s="1"/>
  <c r="F113" i="3" s="1"/>
  <c r="D114" i="3" a="1"/>
  <c r="D114" i="3"/>
  <c r="D115" i="3" a="1"/>
  <c r="D115" i="3"/>
  <c r="D116" i="3" a="1"/>
  <c r="D116" i="3"/>
  <c r="D117" i="3" a="1"/>
  <c r="D117" i="3" s="1"/>
  <c r="D118" i="3" a="1"/>
  <c r="D118" i="3" s="1"/>
  <c r="D119" i="3" a="1"/>
  <c r="D119" i="3" s="1"/>
  <c r="F119" i="3" s="1"/>
  <c r="D120" i="3" a="1"/>
  <c r="D120" i="3" s="1"/>
  <c r="F120" i="3" s="1"/>
  <c r="D121" i="3" a="1"/>
  <c r="D121" i="3"/>
  <c r="D122" i="3" a="1"/>
  <c r="D122" i="3"/>
  <c r="D123" i="3" a="1"/>
  <c r="D123" i="3" s="1"/>
  <c r="D124" i="3" a="1"/>
  <c r="D124" i="3" s="1"/>
  <c r="F124" i="3" s="1"/>
  <c r="D125" i="3" a="1"/>
  <c r="D125" i="3"/>
  <c r="F125" i="3" s="1"/>
  <c r="D126" i="3" a="1"/>
  <c r="D126" i="3" s="1"/>
  <c r="D127" i="3" a="1"/>
  <c r="D127" i="3" s="1"/>
  <c r="D128" i="3" a="1"/>
  <c r="D128" i="3"/>
  <c r="D129" i="3" a="1"/>
  <c r="D129" i="3" s="1"/>
  <c r="D130" i="3" a="1"/>
  <c r="D130" i="3" s="1"/>
  <c r="D131" i="3" a="1"/>
  <c r="D131" i="3"/>
  <c r="F131" i="3" s="1"/>
  <c r="D132" i="3" a="1"/>
  <c r="D132" i="3"/>
  <c r="F132" i="3" s="1"/>
  <c r="D133" i="3" a="1"/>
  <c r="D133" i="3" s="1"/>
  <c r="D134" i="3" a="1"/>
  <c r="D134" i="3" s="1"/>
  <c r="F134" i="3" s="1"/>
  <c r="D135" i="3" a="1"/>
  <c r="D135" i="3" s="1"/>
  <c r="D136" i="3" a="1"/>
  <c r="D136" i="3" s="1"/>
  <c r="D137" i="3" a="1"/>
  <c r="D137" i="3"/>
  <c r="D138" i="3" a="1"/>
  <c r="D138" i="3"/>
  <c r="D139" i="3" a="1"/>
  <c r="D139" i="3"/>
  <c r="F139" i="3" s="1"/>
  <c r="D140" i="3" a="1"/>
  <c r="D140" i="3" s="1"/>
  <c r="F140" i="3" s="1"/>
  <c r="D141" i="3" a="1"/>
  <c r="D141" i="3" s="1"/>
  <c r="D142" i="3" a="1"/>
  <c r="D142" i="3" s="1"/>
  <c r="D143" i="3" a="1"/>
  <c r="D143" i="3"/>
  <c r="D144" i="3" a="1"/>
  <c r="D144" i="3"/>
  <c r="D145" i="3" a="1"/>
  <c r="D145" i="3"/>
  <c r="D146" i="3" a="1"/>
  <c r="D146" i="3"/>
  <c r="D147" i="3" a="1"/>
  <c r="D147" i="3" s="1"/>
  <c r="D148" i="3" a="1"/>
  <c r="D148" i="3" s="1"/>
  <c r="D149" i="3" a="1"/>
  <c r="D149" i="3" s="1"/>
  <c r="D150" i="3" a="1"/>
  <c r="D150" i="3"/>
  <c r="F150" i="3" s="1"/>
  <c r="D151" i="3" a="1"/>
  <c r="D151" i="3"/>
  <c r="F151" i="3" s="1"/>
  <c r="D152" i="3" a="1"/>
  <c r="D152" i="3"/>
  <c r="F152" i="3" s="1"/>
  <c r="D153" i="3" a="1"/>
  <c r="D153" i="3" s="1"/>
  <c r="F153" i="3" s="1"/>
  <c r="D154" i="3" a="1"/>
  <c r="D154" i="3" s="1"/>
  <c r="F154" i="3" s="1"/>
  <c r="D155" i="3" a="1"/>
  <c r="D155" i="3" s="1"/>
  <c r="F155" i="3" s="1"/>
  <c r="D156" i="3" a="1"/>
  <c r="D156" i="3" s="1"/>
  <c r="D157" i="3" a="1"/>
  <c r="D157" i="3"/>
  <c r="D158" i="3" a="1"/>
  <c r="D158" i="3"/>
  <c r="D159" i="3" a="1"/>
  <c r="D159" i="3" s="1"/>
  <c r="D160" i="3" a="1"/>
  <c r="D160" i="3" s="1"/>
  <c r="D161" i="3" a="1"/>
  <c r="D161" i="3"/>
  <c r="D162" i="3" a="1"/>
  <c r="D162" i="3" s="1"/>
  <c r="F162" i="3" s="1"/>
  <c r="D163" i="3" a="1"/>
  <c r="D163" i="3" s="1"/>
  <c r="F163" i="3" s="1"/>
  <c r="D164" i="3" a="1"/>
  <c r="D164" i="3"/>
  <c r="D165" i="3" a="1"/>
  <c r="D165" i="3" s="1"/>
  <c r="F165" i="3" s="1"/>
  <c r="D166" i="3" a="1"/>
  <c r="D166" i="3" s="1"/>
  <c r="F166" i="3" s="1"/>
  <c r="D167" i="3" a="1"/>
  <c r="D167" i="3"/>
  <c r="D168" i="3" a="1"/>
  <c r="D168" i="3"/>
  <c r="F168" i="3" s="1"/>
  <c r="D169" i="3" a="1"/>
  <c r="D169" i="3" s="1"/>
  <c r="D170" i="3" a="1"/>
  <c r="D170" i="3" s="1"/>
  <c r="F170" i="3" s="1"/>
  <c r="D171" i="3" a="1"/>
  <c r="D171" i="3" s="1"/>
  <c r="D172" i="3" a="1"/>
  <c r="D172" i="3" s="1"/>
  <c r="D173" i="3" a="1"/>
  <c r="D173" i="3"/>
  <c r="F173" i="3" s="1"/>
  <c r="D174" i="3" a="1"/>
  <c r="D174" i="3"/>
  <c r="D175" i="3" a="1"/>
  <c r="D175" i="3"/>
  <c r="D176" i="3" a="1"/>
  <c r="D176" i="3" s="1"/>
  <c r="D177" i="3" a="1"/>
  <c r="D177" i="3" s="1"/>
  <c r="D178" i="3" a="1"/>
  <c r="D178" i="3" s="1"/>
  <c r="D179" i="3" a="1"/>
  <c r="D179" i="3"/>
  <c r="F179" i="3" s="1"/>
  <c r="D180" i="3" a="1"/>
  <c r="D180" i="3"/>
  <c r="F180" i="3" s="1"/>
  <c r="D181" i="3" a="1"/>
  <c r="D181" i="3"/>
  <c r="D182" i="3" a="1"/>
  <c r="D182" i="3"/>
  <c r="F182" i="3" s="1"/>
  <c r="D183" i="3" a="1"/>
  <c r="D183" i="3" s="1"/>
  <c r="D184" i="3" a="1"/>
  <c r="D184" i="3" s="1"/>
  <c r="D185" i="3" a="1"/>
  <c r="D185" i="3" s="1"/>
  <c r="D186" i="3" a="1"/>
  <c r="D186" i="3"/>
  <c r="F186" i="3" s="1"/>
  <c r="D187" i="3" a="1"/>
  <c r="D187" i="3"/>
  <c r="F187" i="3" s="1"/>
  <c r="D188" i="3" a="1"/>
  <c r="D188" i="3"/>
  <c r="D189" i="3" a="1"/>
  <c r="D189" i="3" s="1"/>
  <c r="D190" i="3" a="1"/>
  <c r="D190" i="3" s="1"/>
  <c r="D191" i="3" a="1"/>
  <c r="D191" i="3" s="1"/>
  <c r="F191" i="3" s="1"/>
  <c r="D192" i="3" a="1"/>
  <c r="D192" i="3" s="1"/>
  <c r="F192" i="3" s="1"/>
  <c r="D193" i="3" a="1"/>
  <c r="D193" i="3"/>
  <c r="D194" i="3" a="1"/>
  <c r="D194" i="3"/>
  <c r="D195" i="3" a="1"/>
  <c r="D195" i="3" s="1"/>
  <c r="D196" i="3" a="1"/>
  <c r="D196" i="3" s="1"/>
  <c r="D197" i="3" a="1"/>
  <c r="D197" i="3"/>
  <c r="D198" i="3" a="1"/>
  <c r="D198" i="3" s="1"/>
  <c r="F198" i="3" s="1"/>
  <c r="D199" i="3" a="1"/>
  <c r="D199" i="3" s="1"/>
  <c r="F199" i="3" s="1"/>
  <c r="D200" i="3" a="1"/>
  <c r="D200" i="3"/>
  <c r="D201" i="3" a="1"/>
  <c r="D201" i="3" s="1"/>
  <c r="F201" i="3" s="1"/>
  <c r="D202" i="3" a="1"/>
  <c r="D202" i="3" s="1"/>
  <c r="F202" i="3" s="1"/>
  <c r="D203" i="3" a="1"/>
  <c r="D203" i="3"/>
  <c r="F203" i="3" s="1"/>
  <c r="D204" i="3" a="1"/>
  <c r="D204" i="3"/>
  <c r="D205" i="3" a="1"/>
  <c r="D205" i="3" s="1"/>
  <c r="D206" i="3" a="1"/>
  <c r="D206" i="3" s="1"/>
  <c r="D207" i="3" a="1"/>
  <c r="D207" i="3" s="1"/>
  <c r="D208" i="3" a="1"/>
  <c r="D208" i="3" s="1"/>
  <c r="D209" i="3" a="1"/>
  <c r="D209" i="3"/>
  <c r="F209" i="3" s="1"/>
  <c r="D210" i="3" a="1"/>
  <c r="D210" i="3"/>
  <c r="F210" i="3" s="1"/>
  <c r="D211" i="3" a="1"/>
  <c r="D211" i="3"/>
  <c r="F211" i="3" s="1"/>
  <c r="D212" i="3" a="1"/>
  <c r="D212" i="3" s="1"/>
  <c r="F212" i="3" s="1"/>
  <c r="D213" i="3" a="1"/>
  <c r="D213" i="3" s="1"/>
  <c r="F213" i="3" s="1"/>
  <c r="D214" i="3" a="1"/>
  <c r="D214" i="3" s="1"/>
  <c r="D215" i="3" a="1"/>
  <c r="D215" i="3"/>
  <c r="F215" i="3" s="1"/>
  <c r="D216" i="3" a="1"/>
  <c r="D216" i="3"/>
  <c r="F216" i="3" s="1"/>
  <c r="D217" i="3" a="1"/>
  <c r="D217" i="3"/>
  <c r="D218" i="3" a="1"/>
  <c r="D218" i="3"/>
  <c r="F218" i="3" s="1"/>
  <c r="D219" i="3" a="1"/>
  <c r="D219" i="3" s="1"/>
  <c r="D220" i="3" a="1"/>
  <c r="D220" i="3" s="1"/>
  <c r="D221" i="3" a="1"/>
  <c r="D221" i="3" s="1"/>
  <c r="F221" i="3" s="1"/>
  <c r="D222" i="3" a="1"/>
  <c r="D222" i="3"/>
  <c r="D223" i="3" a="1"/>
  <c r="D223" i="3"/>
  <c r="D224" i="3" a="1"/>
  <c r="D224" i="3"/>
  <c r="D225" i="3" a="1"/>
  <c r="D225" i="3" s="1"/>
  <c r="D226" i="3" a="1"/>
  <c r="D226" i="3" s="1"/>
  <c r="D227" i="3" a="1"/>
  <c r="D227" i="3" s="1"/>
  <c r="F227" i="3" s="1"/>
  <c r="D228" i="3" a="1"/>
  <c r="D228" i="3" s="1"/>
  <c r="F228" i="3" s="1"/>
  <c r="D229" i="3" a="1"/>
  <c r="D229" i="3"/>
  <c r="D230" i="3" a="1"/>
  <c r="D230" i="3"/>
  <c r="D231" i="3" a="1"/>
  <c r="D231" i="3" s="1"/>
  <c r="D232" i="3" a="1"/>
  <c r="D232" i="3" s="1"/>
  <c r="D233" i="3" a="1"/>
  <c r="D233" i="3"/>
  <c r="D234" i="3" a="1"/>
  <c r="D234" i="3" s="1"/>
  <c r="F234" i="3" s="1"/>
  <c r="D235" i="3" a="1"/>
  <c r="D235" i="3" s="1"/>
  <c r="F235" i="3" s="1"/>
  <c r="D236" i="3" a="1"/>
  <c r="D236" i="3"/>
  <c r="D237" i="3" a="1"/>
  <c r="D237" i="3" s="1"/>
  <c r="F237" i="3" s="1"/>
  <c r="D238" i="3" a="1"/>
  <c r="D238" i="3" s="1"/>
  <c r="F238" i="3" s="1"/>
  <c r="D239" i="3" a="1"/>
  <c r="D239" i="3"/>
  <c r="F239" i="3" s="1"/>
  <c r="D240" i="3" a="1"/>
  <c r="D240" i="3"/>
  <c r="F240" i="3" s="1"/>
  <c r="D241" i="3" a="1"/>
  <c r="D241" i="3" s="1"/>
  <c r="D242" i="3" a="1"/>
  <c r="D242" i="3" s="1"/>
  <c r="D243" i="3" a="1"/>
  <c r="D243" i="3" s="1"/>
  <c r="D244" i="3" a="1"/>
  <c r="D244" i="3" s="1"/>
  <c r="D245" i="3" a="1"/>
  <c r="D245" i="3"/>
  <c r="D246" i="3" a="1"/>
  <c r="D246" i="3"/>
  <c r="F246" i="3" s="1"/>
  <c r="D247" i="3" a="1"/>
  <c r="D247" i="3"/>
  <c r="F247" i="3" s="1"/>
  <c r="D248" i="3" a="1"/>
  <c r="D248" i="3" s="1"/>
  <c r="F248" i="3" s="1"/>
  <c r="D249" i="3" a="1"/>
  <c r="D249" i="3" s="1"/>
  <c r="D250" i="3" a="1"/>
  <c r="D250" i="3" s="1"/>
  <c r="D251" i="3" a="1"/>
  <c r="D251" i="3"/>
  <c r="F251" i="3" s="1"/>
  <c r="D252" i="3" a="1"/>
  <c r="D252" i="3"/>
  <c r="F252" i="3" s="1"/>
  <c r="D253" i="3" a="1"/>
  <c r="D253" i="3"/>
  <c r="D254" i="3" a="1"/>
  <c r="D254" i="3"/>
  <c r="D255" i="3" a="1"/>
  <c r="D255" i="3" s="1"/>
  <c r="D256" i="3" a="1"/>
  <c r="D256" i="3" s="1"/>
  <c r="D257" i="3" a="1"/>
  <c r="D257" i="3" s="1"/>
  <c r="D258" i="3" a="1"/>
  <c r="D258" i="3"/>
  <c r="D259" i="3" a="1"/>
  <c r="D259" i="3"/>
  <c r="D260" i="3" a="1"/>
  <c r="D260" i="3"/>
  <c r="D261" i="3" a="1"/>
  <c r="D261" i="3" s="1"/>
  <c r="F261" i="3" s="1"/>
  <c r="D262" i="3" a="1"/>
  <c r="D262" i="3" s="1"/>
  <c r="D263" i="3" a="1"/>
  <c r="D263" i="3" s="1"/>
  <c r="F263" i="3" s="1"/>
  <c r="D264" i="3" a="1"/>
  <c r="D264" i="3" s="1"/>
  <c r="F264" i="3" s="1"/>
  <c r="D265" i="3" a="1"/>
  <c r="D265" i="3"/>
  <c r="D266" i="3" a="1"/>
  <c r="D266" i="3"/>
  <c r="D267" i="3" a="1"/>
  <c r="D267" i="3" s="1"/>
  <c r="D268" i="3" a="1"/>
  <c r="D268" i="3" s="1"/>
  <c r="D269" i="3" a="1"/>
  <c r="D269" i="3"/>
  <c r="D270" i="3" a="1"/>
  <c r="D270" i="3" s="1"/>
  <c r="D271" i="3" a="1"/>
  <c r="D271" i="3" s="1"/>
  <c r="D272" i="3" a="1"/>
  <c r="D272" i="3"/>
  <c r="D273" i="3" a="1"/>
  <c r="D273" i="3" s="1"/>
  <c r="D274" i="3" a="1"/>
  <c r="D274" i="3" s="1"/>
  <c r="D275" i="3" a="1"/>
  <c r="D275" i="3"/>
  <c r="D276" i="3" a="1"/>
  <c r="D276" i="3"/>
  <c r="F276" i="3" s="1"/>
  <c r="D277" i="3" a="1"/>
  <c r="D277" i="3" s="1"/>
  <c r="D278" i="3" a="1"/>
  <c r="D278" i="3" s="1"/>
  <c r="F278" i="3" s="1"/>
  <c r="D279" i="3" a="1"/>
  <c r="D279" i="3" s="1"/>
  <c r="D280" i="3" a="1"/>
  <c r="D280" i="3" s="1"/>
  <c r="D281" i="3" a="1"/>
  <c r="D281" i="3"/>
  <c r="F281" i="3" s="1"/>
  <c r="D282" i="3" a="1"/>
  <c r="D282" i="3"/>
  <c r="F282" i="3" s="1"/>
  <c r="D283" i="3" a="1"/>
  <c r="D283" i="3"/>
  <c r="F283" i="3" s="1"/>
  <c r="D284" i="3" a="1"/>
  <c r="D284" i="3" s="1"/>
  <c r="D285" i="3" a="1"/>
  <c r="D285" i="3" s="1"/>
  <c r="D286" i="3" a="1"/>
  <c r="D286" i="3" s="1"/>
  <c r="D287" i="3" a="1"/>
  <c r="D287" i="3"/>
  <c r="D288" i="3" a="1"/>
  <c r="D288" i="3"/>
  <c r="F288" i="3" s="1"/>
  <c r="D289" i="3" a="1"/>
  <c r="D289" i="3"/>
  <c r="D290" i="3" a="1"/>
  <c r="D290" i="3"/>
  <c r="D291" i="3" a="1"/>
  <c r="D291" i="3" s="1"/>
  <c r="D292" i="3" a="1"/>
  <c r="D292" i="3" s="1"/>
  <c r="D293" i="3" a="1"/>
  <c r="D293" i="3" s="1"/>
  <c r="F293" i="3" s="1"/>
  <c r="D294" i="3" a="1"/>
  <c r="D294" i="3"/>
  <c r="F294" i="3" s="1"/>
  <c r="D295" i="3" a="1"/>
  <c r="D295" i="3"/>
  <c r="F295" i="3" s="1"/>
  <c r="D296" i="3" a="1"/>
  <c r="D296" i="3"/>
  <c r="D297" i="3" a="1"/>
  <c r="D297" i="3" s="1"/>
  <c r="F297" i="3" s="1"/>
  <c r="D298" i="3" a="1"/>
  <c r="D298" i="3" s="1"/>
  <c r="D299" i="3" a="1"/>
  <c r="D299" i="3" s="1"/>
  <c r="D300" i="3" a="1"/>
  <c r="D300" i="3" s="1"/>
  <c r="F300" i="3" s="1"/>
  <c r="D301" i="3" a="1"/>
  <c r="D301" i="3"/>
  <c r="D302" i="3" a="1"/>
  <c r="D302" i="3"/>
  <c r="D303" i="3" a="1"/>
  <c r="D303" i="3" s="1"/>
  <c r="D304" i="3" a="1"/>
  <c r="D304" i="3" s="1"/>
  <c r="D305" i="3" a="1"/>
  <c r="D305" i="3"/>
  <c r="F305" i="3" s="1"/>
  <c r="D306" i="3" a="1"/>
  <c r="D306" i="3" s="1"/>
  <c r="F306" i="3" s="1"/>
  <c r="D307" i="3" a="1"/>
  <c r="D307" i="3" s="1"/>
  <c r="F307" i="3" s="1"/>
  <c r="D308" i="3" a="1"/>
  <c r="D308" i="3"/>
  <c r="D309" i="3" a="1"/>
  <c r="D309" i="3" s="1"/>
  <c r="F309" i="3" s="1"/>
  <c r="D310" i="3" a="1"/>
  <c r="D310" i="3" s="1"/>
  <c r="F310" i="3" s="1"/>
  <c r="D311" i="3" a="1"/>
  <c r="D311" i="3"/>
  <c r="D312" i="3" a="1"/>
  <c r="D312" i="3"/>
  <c r="F312" i="3" s="1"/>
  <c r="D313" i="3" a="1"/>
  <c r="D313" i="3" s="1"/>
  <c r="D314" i="3" a="1"/>
  <c r="D314" i="3" s="1"/>
  <c r="D315" i="3" a="1"/>
  <c r="D315" i="3" s="1"/>
  <c r="D316" i="3" a="1"/>
  <c r="D316" i="3" s="1"/>
  <c r="D317" i="3" a="1"/>
  <c r="D317" i="3"/>
  <c r="F317" i="3" s="1"/>
  <c r="D318" i="3" a="1"/>
  <c r="D318" i="3"/>
  <c r="D319" i="3" a="1"/>
  <c r="D319" i="3"/>
  <c r="D320" i="3" a="1"/>
  <c r="D320" i="3" s="1"/>
  <c r="F320" i="3" s="1"/>
  <c r="D321" i="3" a="1"/>
  <c r="D321" i="3" s="1"/>
  <c r="F321" i="3" s="1"/>
  <c r="D322" i="3" a="1"/>
  <c r="D322" i="3" s="1"/>
  <c r="D323" i="3" a="1"/>
  <c r="D323" i="3"/>
  <c r="D324" i="3" a="1"/>
  <c r="D324" i="3"/>
  <c r="F324" i="3" s="1"/>
  <c r="D325" i="3" a="1"/>
  <c r="D325" i="3"/>
  <c r="D326" i="3" a="1"/>
  <c r="D326" i="3"/>
  <c r="D327" i="3" a="1"/>
  <c r="D327" i="3" s="1"/>
  <c r="D328" i="3" a="1"/>
  <c r="D328" i="3" s="1"/>
  <c r="D329" i="3" a="1"/>
  <c r="D329" i="3" s="1"/>
  <c r="D330" i="3" a="1"/>
  <c r="D330" i="3"/>
  <c r="D331" i="3" a="1"/>
  <c r="D331" i="3"/>
  <c r="D332" i="3" a="1"/>
  <c r="D332" i="3"/>
  <c r="D333" i="3" a="1"/>
  <c r="D333" i="3" s="1"/>
  <c r="D334" i="3" a="1"/>
  <c r="D334" i="3" s="1"/>
  <c r="D335" i="3" a="1"/>
  <c r="D335" i="3" s="1"/>
  <c r="F335" i="3" s="1"/>
  <c r="D336" i="3" a="1"/>
  <c r="D336" i="3" s="1"/>
  <c r="F336" i="3" s="1"/>
  <c r="D337" i="3" a="1"/>
  <c r="D337" i="3"/>
  <c r="D338" i="3" a="1"/>
  <c r="D338" i="3"/>
  <c r="F338" i="3" s="1"/>
  <c r="D339" i="3" a="1"/>
  <c r="D339" i="3" s="1"/>
  <c r="D340" i="3" a="1"/>
  <c r="D340" i="3" s="1"/>
  <c r="D341" i="3" a="1"/>
  <c r="D341" i="3"/>
  <c r="F341" i="3" s="1"/>
  <c r="D342" i="3" a="1"/>
  <c r="D342" i="3" s="1"/>
  <c r="D343" i="3" a="1"/>
  <c r="D343" i="3" s="1"/>
  <c r="D344" i="3" a="1"/>
  <c r="D344" i="3"/>
  <c r="D345" i="3" a="1"/>
  <c r="D345" i="3" s="1"/>
  <c r="D346" i="3" a="1"/>
  <c r="D346" i="3" s="1"/>
  <c r="D347" i="3" a="1"/>
  <c r="D347" i="3"/>
  <c r="D348" i="3" a="1"/>
  <c r="D348" i="3"/>
  <c r="F348" i="3" s="1"/>
  <c r="D349" i="3" a="1"/>
  <c r="D349" i="3" s="1"/>
  <c r="D350" i="3" a="1"/>
  <c r="D350" i="3" s="1"/>
  <c r="F350" i="3" s="1"/>
  <c r="D351" i="3" a="1"/>
  <c r="D351" i="3" s="1"/>
  <c r="D352" i="3" a="1"/>
  <c r="D352" i="3" s="1"/>
  <c r="D353" i="3" a="1"/>
  <c r="D353" i="3"/>
  <c r="D354" i="3" a="1"/>
  <c r="D354" i="3"/>
  <c r="D355" i="3" a="1"/>
  <c r="D355" i="3"/>
  <c r="F355" i="3" s="1"/>
  <c r="D356" i="3" a="1"/>
  <c r="D356" i="3" s="1"/>
  <c r="D357" i="3" a="1"/>
  <c r="D357" i="3" s="1"/>
  <c r="D358" i="3" a="1"/>
  <c r="D358" i="3" s="1"/>
  <c r="D359" i="3" a="1"/>
  <c r="D359" i="3"/>
  <c r="D360" i="3" a="1"/>
  <c r="D360" i="3"/>
  <c r="F360" i="3" s="1"/>
  <c r="D361" i="3" a="1"/>
  <c r="D361" i="3"/>
  <c r="D362" i="3" a="1"/>
  <c r="D362" i="3"/>
  <c r="D363" i="3" a="1"/>
  <c r="D363" i="3" s="1"/>
  <c r="D364" i="3" a="1"/>
  <c r="D364" i="3" s="1"/>
  <c r="D365" i="3" a="1"/>
  <c r="D365" i="3" s="1"/>
  <c r="F365" i="3" s="1"/>
  <c r="D366" i="3" a="1"/>
  <c r="D366" i="3"/>
  <c r="D367" i="3" a="1"/>
  <c r="D367" i="3"/>
  <c r="F367" i="3" s="1"/>
  <c r="D368" i="3" a="1"/>
  <c r="D368" i="3"/>
  <c r="D369" i="3" a="1"/>
  <c r="D369" i="3" s="1"/>
  <c r="F369" i="3" s="1"/>
  <c r="D370" i="3" a="1"/>
  <c r="D370" i="3" s="1"/>
  <c r="D371" i="3" a="1"/>
  <c r="D371" i="3" s="1"/>
  <c r="D372" i="3" a="1"/>
  <c r="D372" i="3" s="1"/>
  <c r="F372" i="3" s="1"/>
  <c r="D373" i="3" a="1"/>
  <c r="D373" i="3"/>
  <c r="D374" i="3" a="1"/>
  <c r="D374" i="3"/>
  <c r="D375" i="3" a="1"/>
  <c r="D375" i="3" s="1"/>
  <c r="D376" i="3" a="1"/>
  <c r="D376" i="3" s="1"/>
  <c r="D377" i="3" a="1"/>
  <c r="D377" i="3"/>
  <c r="D378" i="3" a="1"/>
  <c r="D378" i="3" s="1"/>
  <c r="F378" i="3" s="1"/>
  <c r="D379" i="3" a="1"/>
  <c r="D379" i="3" s="1"/>
  <c r="F379" i="3" s="1"/>
  <c r="D380" i="3" a="1"/>
  <c r="D380" i="3"/>
  <c r="F380" i="3" s="1"/>
  <c r="D381" i="3" a="1"/>
  <c r="D381" i="3" s="1"/>
  <c r="D382" i="3" a="1"/>
  <c r="D382" i="3" s="1"/>
  <c r="F382" i="3" s="1"/>
  <c r="D383" i="3" a="1"/>
  <c r="D383" i="3"/>
  <c r="F383" i="3" s="1"/>
  <c r="D384" i="3" a="1"/>
  <c r="D384" i="3"/>
  <c r="F384" i="3" s="1"/>
  <c r="D385" i="3" a="1"/>
  <c r="D385" i="3" s="1"/>
  <c r="D386" i="3" a="1"/>
  <c r="D386" i="3" s="1"/>
  <c r="D387" i="3" a="1"/>
  <c r="D387" i="3" s="1"/>
  <c r="D388" i="3" a="1"/>
  <c r="D388" i="3" s="1"/>
  <c r="D389" i="3" a="1"/>
  <c r="D389" i="3"/>
  <c r="F389" i="3" s="1"/>
  <c r="D390" i="3" a="1"/>
  <c r="D390" i="3"/>
  <c r="F390" i="3" s="1"/>
  <c r="D391" i="3" a="1"/>
  <c r="D391" i="3"/>
  <c r="F391" i="3" s="1"/>
  <c r="D392" i="3" a="1"/>
  <c r="D392" i="3" s="1"/>
  <c r="F392" i="3" s="1"/>
  <c r="D393" i="3" a="1"/>
  <c r="D393" i="3" s="1"/>
  <c r="D394" i="3" a="1"/>
  <c r="D394" i="3" s="1"/>
  <c r="D395" i="3" a="1"/>
  <c r="D395" i="3"/>
  <c r="D396" i="3" a="1"/>
  <c r="D396" i="3"/>
  <c r="F396" i="3" s="1"/>
  <c r="D397" i="3" a="1"/>
  <c r="D397" i="3"/>
  <c r="D398" i="3" a="1"/>
  <c r="D398" i="3"/>
  <c r="D399" i="3" a="1"/>
  <c r="D399" i="3" s="1"/>
  <c r="D400" i="3" a="1"/>
  <c r="D400" i="3" s="1"/>
  <c r="D401" i="3" a="1"/>
  <c r="D401" i="3" s="1"/>
  <c r="D402" i="3" a="1"/>
  <c r="D402" i="3"/>
  <c r="D403" i="3" a="1"/>
  <c r="D403" i="3"/>
  <c r="D404" i="3" a="1"/>
  <c r="D404" i="3"/>
  <c r="D405" i="3" a="1"/>
  <c r="D405" i="3" s="1"/>
  <c r="D406" i="3" a="1"/>
  <c r="D406" i="3" s="1"/>
  <c r="D407" i="3" a="1"/>
  <c r="D407" i="3" s="1"/>
  <c r="F407" i="3" s="1"/>
  <c r="D408" i="3" a="1"/>
  <c r="D408" i="3" s="1"/>
  <c r="F408" i="3" s="1"/>
  <c r="D409" i="3" a="1"/>
  <c r="D409" i="3"/>
  <c r="D410" i="3" a="1"/>
  <c r="D410" i="3"/>
  <c r="D411" i="3" a="1"/>
  <c r="D411" i="3" s="1"/>
  <c r="D412" i="3" a="1"/>
  <c r="D412" i="3" s="1"/>
  <c r="D413" i="3" a="1"/>
  <c r="D413" i="3"/>
  <c r="D414" i="3" a="1"/>
  <c r="D414" i="3" s="1"/>
  <c r="D415" i="3" a="1"/>
  <c r="D415" i="3" s="1"/>
  <c r="D416" i="3" a="1"/>
  <c r="D416" i="3"/>
  <c r="D417" i="3" a="1"/>
  <c r="D417" i="3" s="1"/>
  <c r="D418" i="3" a="1"/>
  <c r="D418" i="3" s="1"/>
  <c r="D419" i="3" a="1"/>
  <c r="D419" i="3"/>
  <c r="D420" i="3" a="1"/>
  <c r="D420" i="3"/>
  <c r="F420" i="3" s="1"/>
  <c r="D421" i="3" a="1"/>
  <c r="D421" i="3" s="1"/>
  <c r="D422" i="3" a="1"/>
  <c r="D422" i="3" s="1"/>
  <c r="F422" i="3" s="1"/>
  <c r="D423" i="3" a="1"/>
  <c r="D423" i="3" s="1"/>
  <c r="D424" i="3" a="1"/>
  <c r="D424" i="3" s="1"/>
  <c r="D425" i="3" a="1"/>
  <c r="D425" i="3"/>
  <c r="F425" i="3" s="1"/>
  <c r="D426" i="3" a="1"/>
  <c r="D426" i="3"/>
  <c r="F426" i="3" s="1"/>
  <c r="D427" i="3" a="1"/>
  <c r="D427" i="3"/>
  <c r="F427" i="3" s="1"/>
  <c r="D428" i="3" a="1"/>
  <c r="D428" i="3" s="1"/>
  <c r="D429" i="3" a="1"/>
  <c r="D429" i="3" s="1"/>
  <c r="D430" i="3" a="1"/>
  <c r="D430" i="3" s="1"/>
  <c r="D431" i="3" a="1"/>
  <c r="D431" i="3"/>
  <c r="D432" i="3" a="1"/>
  <c r="D432" i="3"/>
  <c r="F432" i="3" s="1"/>
  <c r="D433" i="3" a="1"/>
  <c r="D433" i="3"/>
  <c r="D434" i="3" a="1"/>
  <c r="D434" i="3"/>
  <c r="D435" i="3" a="1"/>
  <c r="D435" i="3" s="1"/>
  <c r="D436" i="3" a="1"/>
  <c r="D436" i="3" s="1"/>
  <c r="D437" i="3" a="1"/>
  <c r="D437" i="3" s="1"/>
  <c r="F437" i="3" s="1"/>
  <c r="D438" i="3" a="1"/>
  <c r="D438" i="3"/>
  <c r="D439" i="3" a="1"/>
  <c r="D439" i="3"/>
  <c r="D440" i="3" a="1"/>
  <c r="D440" i="3"/>
  <c r="D441" i="3" a="1"/>
  <c r="D441" i="3" s="1"/>
  <c r="F441" i="3" s="1"/>
  <c r="D442" i="3" a="1"/>
  <c r="D442" i="3" s="1"/>
  <c r="D443" i="3" a="1"/>
  <c r="D443" i="3" s="1"/>
  <c r="D444" i="3" a="1"/>
  <c r="D444" i="3" s="1"/>
  <c r="F444" i="3" s="1"/>
  <c r="D445" i="3" a="1"/>
  <c r="D445" i="3"/>
  <c r="D446" i="3" a="1"/>
  <c r="D446" i="3"/>
  <c r="D447" i="3" a="1"/>
  <c r="D447" i="3" s="1"/>
  <c r="D448" i="3" a="1"/>
  <c r="D448" i="3" s="1"/>
  <c r="D449" i="3" a="1"/>
  <c r="D449" i="3"/>
  <c r="F449" i="3" s="1"/>
  <c r="D450" i="3" a="1"/>
  <c r="D450" i="3" s="1"/>
  <c r="F450" i="3" s="1"/>
  <c r="D451" i="3" a="1"/>
  <c r="D451" i="3" s="1"/>
  <c r="F451" i="3" s="1"/>
  <c r="D452" i="3" a="1"/>
  <c r="D452" i="3"/>
  <c r="F452" i="3" s="1"/>
  <c r="D453" i="3" a="1"/>
  <c r="D453" i="3" s="1"/>
  <c r="F453" i="3" s="1"/>
  <c r="D454" i="3" a="1"/>
  <c r="D454" i="3" s="1"/>
  <c r="F454" i="3" s="1"/>
  <c r="D455" i="3" a="1"/>
  <c r="D455" i="3"/>
  <c r="D456" i="3" a="1"/>
  <c r="D456" i="3"/>
  <c r="D457" i="3" a="1"/>
  <c r="D457" i="3" s="1"/>
  <c r="D458" i="3" a="1"/>
  <c r="D458" i="3" s="1"/>
  <c r="D459" i="3" a="1"/>
  <c r="D459" i="3" s="1"/>
  <c r="D460" i="3" a="1"/>
  <c r="D460" i="3" s="1"/>
  <c r="D461" i="3" a="1"/>
  <c r="D461" i="3"/>
  <c r="F461" i="3" s="1"/>
  <c r="D462" i="3" a="1"/>
  <c r="D462" i="3"/>
  <c r="F462" i="3" s="1"/>
  <c r="D463" i="3" a="1"/>
  <c r="D463" i="3"/>
  <c r="F463" i="3" s="1"/>
  <c r="D464" i="3" a="1"/>
  <c r="D464" i="3" s="1"/>
  <c r="D465" i="3" a="1"/>
  <c r="D465" i="3" s="1"/>
  <c r="D466" i="3" a="1"/>
  <c r="D466" i="3" s="1"/>
  <c r="D467" i="3" a="1"/>
  <c r="D467" i="3"/>
  <c r="D468" i="3" a="1"/>
  <c r="D468" i="3"/>
  <c r="F468" i="3" s="1"/>
  <c r="D469" i="3" a="1"/>
  <c r="D469" i="3"/>
  <c r="D470" i="3" a="1"/>
  <c r="D470" i="3"/>
  <c r="D471" i="3" a="1"/>
  <c r="D471" i="3" s="1"/>
  <c r="D472" i="3" a="1"/>
  <c r="D472" i="3" s="1"/>
  <c r="D473" i="3" a="1"/>
  <c r="D473" i="3" s="1"/>
  <c r="D474" i="3" a="1"/>
  <c r="D474" i="3"/>
  <c r="D475" i="3" a="1"/>
  <c r="D475" i="3"/>
  <c r="D476" i="3" a="1"/>
  <c r="D476" i="3"/>
  <c r="D477" i="3" a="1"/>
  <c r="D477" i="3" s="1"/>
  <c r="D478" i="3" a="1"/>
  <c r="D478" i="3" s="1"/>
  <c r="D479" i="3" a="1"/>
  <c r="D479" i="3" s="1"/>
  <c r="D480" i="3" a="1"/>
  <c r="D480" i="3" s="1"/>
  <c r="F480" i="3" s="1"/>
  <c r="D481" i="3" a="1"/>
  <c r="D481" i="3"/>
  <c r="D482" i="3" a="1"/>
  <c r="D482" i="3"/>
  <c r="F482" i="3" s="1"/>
  <c r="D483" i="3" a="1"/>
  <c r="D483" i="3" s="1"/>
  <c r="D484" i="3" a="1"/>
  <c r="D484" i="3" s="1"/>
  <c r="D485" i="3" a="1"/>
  <c r="D485" i="3"/>
  <c r="F485" i="3" s="1"/>
  <c r="D486" i="3" a="1"/>
  <c r="D486" i="3" s="1"/>
  <c r="D487" i="3" a="1"/>
  <c r="D487" i="3" s="1"/>
  <c r="D488" i="3" a="1"/>
  <c r="D488" i="3"/>
  <c r="D489" i="3" a="1"/>
  <c r="D489" i="3" s="1"/>
  <c r="D490" i="3" a="1"/>
  <c r="D490" i="3" s="1"/>
  <c r="D491" i="3" a="1"/>
  <c r="D491" i="3"/>
  <c r="D492" i="3" a="1"/>
  <c r="D492" i="3"/>
  <c r="F492" i="3" s="1"/>
  <c r="D493" i="3" a="1"/>
  <c r="D493" i="3" s="1"/>
  <c r="D494" i="3" a="1"/>
  <c r="D494" i="3" s="1"/>
  <c r="D495" i="3" a="1"/>
  <c r="D495" i="3" s="1"/>
  <c r="D496" i="3" a="1"/>
  <c r="D496" i="3" s="1"/>
  <c r="D497" i="3" a="1"/>
  <c r="D497" i="3"/>
  <c r="F497" i="3" s="1"/>
  <c r="D498" i="3" a="1"/>
  <c r="D498" i="3"/>
  <c r="D499" i="3" a="1"/>
  <c r="D499" i="3"/>
  <c r="F499" i="3" s="1"/>
  <c r="D500" i="3" a="1"/>
  <c r="D500" i="3" s="1"/>
  <c r="D501" i="3" a="1"/>
  <c r="D501" i="3" s="1"/>
  <c r="D2" i="3" a="1"/>
  <c r="D2" i="3" s="1"/>
  <c r="F20" i="3"/>
  <c r="F22" i="3"/>
  <c r="F23" i="3"/>
  <c r="F56" i="3"/>
  <c r="F58" i="3"/>
  <c r="F59" i="3"/>
  <c r="F67" i="3"/>
  <c r="F92" i="3"/>
  <c r="F95" i="3"/>
  <c r="F96" i="3"/>
  <c r="F112" i="3"/>
  <c r="F122" i="3"/>
  <c r="F138" i="3"/>
  <c r="F164" i="3"/>
  <c r="F167" i="3"/>
  <c r="F200" i="3"/>
  <c r="F204" i="3"/>
  <c r="F230" i="3"/>
  <c r="F236" i="3"/>
  <c r="F256" i="3"/>
  <c r="F258" i="3"/>
  <c r="F259" i="3"/>
  <c r="F266" i="3"/>
  <c r="F308" i="3"/>
  <c r="F318" i="3"/>
  <c r="F319" i="3"/>
  <c r="F322" i="3"/>
  <c r="F353" i="3"/>
  <c r="F354" i="3"/>
  <c r="F377" i="3"/>
  <c r="F413" i="3"/>
  <c r="F438" i="3"/>
  <c r="F439" i="3"/>
  <c r="F498" i="3"/>
  <c r="F16" i="3"/>
  <c r="F69" i="3"/>
  <c r="F93" i="3"/>
  <c r="F143" i="3"/>
  <c r="F144" i="3"/>
  <c r="F172" i="3"/>
  <c r="F177" i="3"/>
  <c r="F220" i="3"/>
  <c r="F285" i="3"/>
  <c r="F304" i="3"/>
  <c r="F316" i="3"/>
  <c r="E12" i="3"/>
  <c r="E14" i="3"/>
  <c r="E15" i="3"/>
  <c r="E16" i="3"/>
  <c r="E17" i="3"/>
  <c r="E24" i="3"/>
  <c r="E28" i="3"/>
  <c r="E29" i="3"/>
  <c r="E30" i="3"/>
  <c r="E33" i="3"/>
  <c r="E34" i="3"/>
  <c r="E39" i="3"/>
  <c r="E40" i="3"/>
  <c r="E41" i="3"/>
  <c r="E48" i="3"/>
  <c r="E54" i="3"/>
  <c r="E58" i="3"/>
  <c r="E60" i="3"/>
  <c r="E62" i="3"/>
  <c r="E72" i="3"/>
  <c r="E76" i="3"/>
  <c r="E77" i="3"/>
  <c r="E78" i="3"/>
  <c r="E81" i="3"/>
  <c r="E82" i="3"/>
  <c r="E90" i="3"/>
  <c r="E96" i="3"/>
  <c r="E98" i="3"/>
  <c r="E102" i="3"/>
  <c r="E105" i="3"/>
  <c r="E106" i="3"/>
  <c r="E112" i="3"/>
  <c r="E113" i="3"/>
  <c r="E120" i="3"/>
  <c r="E122" i="3"/>
  <c r="E123" i="3"/>
  <c r="E124" i="3"/>
  <c r="E125" i="3"/>
  <c r="E136" i="3"/>
  <c r="E137" i="3"/>
  <c r="E138" i="3"/>
  <c r="E141" i="3"/>
  <c r="E142" i="3"/>
  <c r="E144" i="3"/>
  <c r="E146" i="3"/>
  <c r="E156" i="3"/>
  <c r="E160" i="3"/>
  <c r="E161" i="3"/>
  <c r="E168" i="3"/>
  <c r="E170" i="3"/>
  <c r="E174" i="3"/>
  <c r="E184" i="3"/>
  <c r="E185" i="3"/>
  <c r="E186" i="3"/>
  <c r="E189" i="3"/>
  <c r="E190" i="3"/>
  <c r="E198" i="3"/>
  <c r="E204" i="3"/>
  <c r="E207" i="3"/>
  <c r="E208" i="3"/>
  <c r="E209" i="3"/>
  <c r="E216" i="3"/>
  <c r="E220" i="3"/>
  <c r="E221" i="3"/>
  <c r="E222" i="3"/>
  <c r="E225" i="3"/>
  <c r="E226" i="3"/>
  <c r="E231" i="3"/>
  <c r="E232" i="3"/>
  <c r="E233" i="3"/>
  <c r="E240" i="3"/>
  <c r="E246" i="3"/>
  <c r="E249" i="3"/>
  <c r="E250" i="3"/>
  <c r="E252" i="3"/>
  <c r="E254" i="3"/>
  <c r="E264" i="3"/>
  <c r="E268" i="3"/>
  <c r="E269" i="3"/>
  <c r="E270" i="3"/>
  <c r="E273" i="3"/>
  <c r="E274" i="3"/>
  <c r="E282" i="3"/>
  <c r="E288" i="3"/>
  <c r="E290" i="3"/>
  <c r="E294" i="3"/>
  <c r="E297" i="3"/>
  <c r="E298" i="3"/>
  <c r="E300" i="3"/>
  <c r="E304" i="3"/>
  <c r="E305" i="3"/>
  <c r="E312" i="3"/>
  <c r="E314" i="3"/>
  <c r="E315" i="3"/>
  <c r="E316" i="3"/>
  <c r="E317" i="3"/>
  <c r="E328" i="3"/>
  <c r="E329" i="3"/>
  <c r="E330" i="3"/>
  <c r="E333" i="3"/>
  <c r="E334" i="3"/>
  <c r="E336" i="3"/>
  <c r="E338" i="3"/>
  <c r="E348" i="3"/>
  <c r="E352" i="3"/>
  <c r="E353" i="3"/>
  <c r="E360" i="3"/>
  <c r="E362" i="3"/>
  <c r="E366" i="3"/>
  <c r="E376" i="3"/>
  <c r="E377" i="3"/>
  <c r="E378" i="3"/>
  <c r="E381" i="3"/>
  <c r="E382" i="3"/>
  <c r="E384" i="3"/>
  <c r="E390" i="3"/>
  <c r="E396" i="3"/>
  <c r="E398" i="3"/>
  <c r="E399" i="3"/>
  <c r="E400" i="3"/>
  <c r="E401" i="3"/>
  <c r="E408" i="3"/>
  <c r="E414" i="3"/>
  <c r="E417" i="3"/>
  <c r="E418" i="3"/>
  <c r="E423" i="3"/>
  <c r="E424" i="3"/>
  <c r="E425" i="3"/>
  <c r="E432" i="3"/>
  <c r="E438" i="3"/>
  <c r="E441" i="3"/>
  <c r="E442" i="3"/>
  <c r="E444" i="3"/>
  <c r="E456" i="3"/>
  <c r="E460" i="3"/>
  <c r="E461" i="3"/>
  <c r="E462" i="3"/>
  <c r="E465" i="3"/>
  <c r="E466" i="3"/>
  <c r="E474" i="3"/>
  <c r="E480" i="3"/>
  <c r="E482" i="3"/>
  <c r="E486" i="3"/>
  <c r="E489" i="3"/>
  <c r="E490" i="3"/>
  <c r="E492" i="3"/>
  <c r="F4" i="3"/>
  <c r="F6" i="3"/>
  <c r="F7" i="3"/>
  <c r="F70" i="3"/>
  <c r="F105" i="3"/>
  <c r="F106" i="3"/>
  <c r="F107" i="3"/>
  <c r="F114" i="3"/>
  <c r="F115" i="3"/>
  <c r="F117" i="3"/>
  <c r="F118" i="3"/>
  <c r="F214" i="3"/>
  <c r="F249" i="3"/>
  <c r="F250" i="3"/>
  <c r="F366" i="3"/>
  <c r="F381" i="3"/>
  <c r="F393" i="3"/>
  <c r="F394" i="3"/>
  <c r="F465" i="3"/>
  <c r="F466" i="3"/>
  <c r="C2" i="3"/>
  <c r="C3" i="3"/>
  <c r="C4" i="3"/>
  <c r="C5" i="3"/>
  <c r="E5" i="3" s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E57" i="3" s="1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E108" i="3" s="1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E192" i="3" s="1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E412" i="3" s="1"/>
  <c r="C413" i="3"/>
  <c r="E413" i="3" s="1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E496" i="3" s="1"/>
  <c r="C497" i="3"/>
  <c r="E497" i="3" s="1"/>
  <c r="C498" i="3"/>
  <c r="C499" i="3"/>
  <c r="C500" i="3"/>
  <c r="C501" i="3"/>
  <c r="B3" i="3"/>
  <c r="B4" i="3"/>
  <c r="E4" i="3" s="1"/>
  <c r="B5" i="3"/>
  <c r="B6" i="3"/>
  <c r="E6" i="3" s="1"/>
  <c r="B7" i="3"/>
  <c r="E7" i="3" s="1"/>
  <c r="B8" i="3"/>
  <c r="B9" i="3"/>
  <c r="E9" i="3" s="1"/>
  <c r="B10" i="3"/>
  <c r="B11" i="3"/>
  <c r="B12" i="3"/>
  <c r="B13" i="3"/>
  <c r="B14" i="3"/>
  <c r="B15" i="3"/>
  <c r="B16" i="3"/>
  <c r="B17" i="3"/>
  <c r="B18" i="3"/>
  <c r="E18" i="3" s="1"/>
  <c r="B19" i="3"/>
  <c r="E19" i="3" s="1"/>
  <c r="B20" i="3"/>
  <c r="E20" i="3" s="1"/>
  <c r="B21" i="3"/>
  <c r="B22" i="3"/>
  <c r="E22" i="3" s="1"/>
  <c r="B23" i="3"/>
  <c r="E23" i="3" s="1"/>
  <c r="B24" i="3"/>
  <c r="B25" i="3"/>
  <c r="E25" i="3" s="1"/>
  <c r="B26" i="3"/>
  <c r="E26" i="3" s="1"/>
  <c r="B27" i="3"/>
  <c r="B28" i="3"/>
  <c r="B29" i="3"/>
  <c r="B30" i="3"/>
  <c r="B31" i="3"/>
  <c r="E31" i="3" s="1"/>
  <c r="B32" i="3"/>
  <c r="B33" i="3"/>
  <c r="F33" i="3" s="1"/>
  <c r="B34" i="3"/>
  <c r="B35" i="3"/>
  <c r="E35" i="3" s="1"/>
  <c r="B36" i="3"/>
  <c r="E36" i="3" s="1"/>
  <c r="B37" i="3"/>
  <c r="E37" i="3" s="1"/>
  <c r="B38" i="3"/>
  <c r="E38" i="3" s="1"/>
  <c r="B39" i="3"/>
  <c r="F39" i="3" s="1"/>
  <c r="B40" i="3"/>
  <c r="F40" i="3" s="1"/>
  <c r="B41" i="3"/>
  <c r="B42" i="3"/>
  <c r="E42" i="3" s="1"/>
  <c r="B43" i="3"/>
  <c r="E43" i="3" s="1"/>
  <c r="B44" i="3"/>
  <c r="B45" i="3"/>
  <c r="B46" i="3"/>
  <c r="B47" i="3"/>
  <c r="E47" i="3" s="1"/>
  <c r="B48" i="3"/>
  <c r="B49" i="3"/>
  <c r="B50" i="3"/>
  <c r="B51" i="3"/>
  <c r="B52" i="3"/>
  <c r="B53" i="3"/>
  <c r="B54" i="3"/>
  <c r="B55" i="3"/>
  <c r="E55" i="3" s="1"/>
  <c r="B56" i="3"/>
  <c r="E56" i="3" s="1"/>
  <c r="B57" i="3"/>
  <c r="B58" i="3"/>
  <c r="B59" i="3"/>
  <c r="E59" i="3" s="1"/>
  <c r="B60" i="3"/>
  <c r="B61" i="3"/>
  <c r="B62" i="3"/>
  <c r="B63" i="3"/>
  <c r="B64" i="3"/>
  <c r="B65" i="3"/>
  <c r="E65" i="3" s="1"/>
  <c r="B66" i="3"/>
  <c r="E66" i="3" s="1"/>
  <c r="B67" i="3"/>
  <c r="E67" i="3" s="1"/>
  <c r="B68" i="3"/>
  <c r="E68" i="3" s="1"/>
  <c r="B69" i="3"/>
  <c r="E69" i="3" s="1"/>
  <c r="B70" i="3"/>
  <c r="E70" i="3" s="1"/>
  <c r="B71" i="3"/>
  <c r="B72" i="3"/>
  <c r="B73" i="3"/>
  <c r="E73" i="3" s="1"/>
  <c r="B74" i="3"/>
  <c r="E74" i="3" s="1"/>
  <c r="B75" i="3"/>
  <c r="B76" i="3"/>
  <c r="F76" i="3" s="1"/>
  <c r="B77" i="3"/>
  <c r="B78" i="3"/>
  <c r="B79" i="3"/>
  <c r="E79" i="3" s="1"/>
  <c r="B80" i="3"/>
  <c r="B81" i="3"/>
  <c r="F81" i="3" s="1"/>
  <c r="B82" i="3"/>
  <c r="B83" i="3"/>
  <c r="E83" i="3" s="1"/>
  <c r="B84" i="3"/>
  <c r="E84" i="3" s="1"/>
  <c r="B85" i="3"/>
  <c r="E85" i="3" s="1"/>
  <c r="B86" i="3"/>
  <c r="E86" i="3" s="1"/>
  <c r="B87" i="3"/>
  <c r="B88" i="3"/>
  <c r="B89" i="3"/>
  <c r="B90" i="3"/>
  <c r="B91" i="3"/>
  <c r="E91" i="3" s="1"/>
  <c r="B92" i="3"/>
  <c r="E92" i="3" s="1"/>
  <c r="B93" i="3"/>
  <c r="B94" i="3"/>
  <c r="B95" i="3"/>
  <c r="E95" i="3" s="1"/>
  <c r="B96" i="3"/>
  <c r="B97" i="3"/>
  <c r="B98" i="3"/>
  <c r="B99" i="3"/>
  <c r="B100" i="3"/>
  <c r="B101" i="3"/>
  <c r="B102" i="3"/>
  <c r="B103" i="3"/>
  <c r="E103" i="3" s="1"/>
  <c r="B104" i="3"/>
  <c r="E104" i="3" s="1"/>
  <c r="B105" i="3"/>
  <c r="B106" i="3"/>
  <c r="B107" i="3"/>
  <c r="E107" i="3" s="1"/>
  <c r="B108" i="3"/>
  <c r="B109" i="3"/>
  <c r="B110" i="3"/>
  <c r="B111" i="3"/>
  <c r="B112" i="3"/>
  <c r="B113" i="3"/>
  <c r="B114" i="3"/>
  <c r="E114" i="3" s="1"/>
  <c r="B115" i="3"/>
  <c r="E115" i="3" s="1"/>
  <c r="B116" i="3"/>
  <c r="B117" i="3"/>
  <c r="E117" i="3" s="1"/>
  <c r="B118" i="3"/>
  <c r="E118" i="3" s="1"/>
  <c r="B119" i="3"/>
  <c r="E119" i="3" s="1"/>
  <c r="B120" i="3"/>
  <c r="B121" i="3"/>
  <c r="B122" i="3"/>
  <c r="B123" i="3"/>
  <c r="B124" i="3"/>
  <c r="B125" i="3"/>
  <c r="B126" i="3"/>
  <c r="E126" i="3" s="1"/>
  <c r="B127" i="3"/>
  <c r="E127" i="3" s="1"/>
  <c r="B128" i="3"/>
  <c r="E128" i="3" s="1"/>
  <c r="B129" i="3"/>
  <c r="E129" i="3" s="1"/>
  <c r="B130" i="3"/>
  <c r="B131" i="3"/>
  <c r="B132" i="3"/>
  <c r="E132" i="3" s="1"/>
  <c r="B133" i="3"/>
  <c r="E133" i="3" s="1"/>
  <c r="B134" i="3"/>
  <c r="E134" i="3" s="1"/>
  <c r="B135" i="3"/>
  <c r="B136" i="3"/>
  <c r="F136" i="3" s="1"/>
  <c r="B137" i="3"/>
  <c r="B138" i="3"/>
  <c r="B139" i="3"/>
  <c r="E139" i="3" s="1"/>
  <c r="B140" i="3"/>
  <c r="E140" i="3" s="1"/>
  <c r="B141" i="3"/>
  <c r="F141" i="3" s="1"/>
  <c r="B142" i="3"/>
  <c r="B143" i="3"/>
  <c r="E143" i="3" s="1"/>
  <c r="B144" i="3"/>
  <c r="B145" i="3"/>
  <c r="B146" i="3"/>
  <c r="B147" i="3"/>
  <c r="B148" i="3"/>
  <c r="B149" i="3"/>
  <c r="B150" i="3"/>
  <c r="E150" i="3" s="1"/>
  <c r="B151" i="3"/>
  <c r="E151" i="3" s="1"/>
  <c r="B152" i="3"/>
  <c r="E152" i="3" s="1"/>
  <c r="B153" i="3"/>
  <c r="E153" i="3" s="1"/>
  <c r="B154" i="3"/>
  <c r="E154" i="3" s="1"/>
  <c r="B155" i="3"/>
  <c r="B156" i="3"/>
  <c r="B157" i="3"/>
  <c r="B158" i="3"/>
  <c r="B159" i="3"/>
  <c r="B160" i="3"/>
  <c r="B161" i="3"/>
  <c r="B162" i="3"/>
  <c r="E162" i="3" s="1"/>
  <c r="B163" i="3"/>
  <c r="E163" i="3" s="1"/>
  <c r="B164" i="3"/>
  <c r="E164" i="3" s="1"/>
  <c r="B165" i="3"/>
  <c r="E165" i="3" s="1"/>
  <c r="B166" i="3"/>
  <c r="E166" i="3" s="1"/>
  <c r="B167" i="3"/>
  <c r="E167" i="3" s="1"/>
  <c r="B168" i="3"/>
  <c r="B169" i="3"/>
  <c r="E169" i="3" s="1"/>
  <c r="B170" i="3"/>
  <c r="B171" i="3"/>
  <c r="B172" i="3"/>
  <c r="B173" i="3"/>
  <c r="B174" i="3"/>
  <c r="B175" i="3"/>
  <c r="E175" i="3" s="1"/>
  <c r="B176" i="3"/>
  <c r="E176" i="3" s="1"/>
  <c r="B177" i="3"/>
  <c r="B178" i="3"/>
  <c r="B179" i="3"/>
  <c r="B180" i="3"/>
  <c r="E180" i="3" s="1"/>
  <c r="B181" i="3"/>
  <c r="E181" i="3" s="1"/>
  <c r="B182" i="3"/>
  <c r="E182" i="3" s="1"/>
  <c r="B183" i="3"/>
  <c r="B184" i="3"/>
  <c r="F184" i="3" s="1"/>
  <c r="B185" i="3"/>
  <c r="B186" i="3"/>
  <c r="B187" i="3"/>
  <c r="E187" i="3" s="1"/>
  <c r="B188" i="3"/>
  <c r="B189" i="3"/>
  <c r="F189" i="3" s="1"/>
  <c r="B190" i="3"/>
  <c r="B191" i="3"/>
  <c r="E191" i="3" s="1"/>
  <c r="B192" i="3"/>
  <c r="B193" i="3"/>
  <c r="B194" i="3"/>
  <c r="B195" i="3"/>
  <c r="B196" i="3"/>
  <c r="B197" i="3"/>
  <c r="B198" i="3"/>
  <c r="B199" i="3"/>
  <c r="E199" i="3" s="1"/>
  <c r="B200" i="3"/>
  <c r="E200" i="3" s="1"/>
  <c r="B201" i="3"/>
  <c r="E201" i="3" s="1"/>
  <c r="B202" i="3"/>
  <c r="E202" i="3" s="1"/>
  <c r="B203" i="3"/>
  <c r="E203" i="3" s="1"/>
  <c r="B204" i="3"/>
  <c r="B205" i="3"/>
  <c r="B206" i="3"/>
  <c r="B207" i="3"/>
  <c r="F207" i="3" s="1"/>
  <c r="B208" i="3"/>
  <c r="B209" i="3"/>
  <c r="B210" i="3"/>
  <c r="E210" i="3" s="1"/>
  <c r="B211" i="3"/>
  <c r="E211" i="3" s="1"/>
  <c r="B212" i="3"/>
  <c r="E212" i="3" s="1"/>
  <c r="B213" i="3"/>
  <c r="E213" i="3" s="1"/>
  <c r="B214" i="3"/>
  <c r="E214" i="3" s="1"/>
  <c r="B215" i="3"/>
  <c r="B216" i="3"/>
  <c r="B217" i="3"/>
  <c r="E217" i="3" s="1"/>
  <c r="B218" i="3"/>
  <c r="E218" i="3" s="1"/>
  <c r="B219" i="3"/>
  <c r="B220" i="3"/>
  <c r="B221" i="3"/>
  <c r="B222" i="3"/>
  <c r="B223" i="3"/>
  <c r="E223" i="3" s="1"/>
  <c r="B224" i="3"/>
  <c r="E224" i="3" s="1"/>
  <c r="B225" i="3"/>
  <c r="F225" i="3" s="1"/>
  <c r="B226" i="3"/>
  <c r="B227" i="3"/>
  <c r="E227" i="3" s="1"/>
  <c r="B228" i="3"/>
  <c r="E228" i="3" s="1"/>
  <c r="B229" i="3"/>
  <c r="E229" i="3" s="1"/>
  <c r="B230" i="3"/>
  <c r="E230" i="3" s="1"/>
  <c r="B231" i="3"/>
  <c r="B232" i="3"/>
  <c r="B233" i="3"/>
  <c r="B234" i="3"/>
  <c r="E234" i="3" s="1"/>
  <c r="B235" i="3"/>
  <c r="E235" i="3" s="1"/>
  <c r="B236" i="3"/>
  <c r="E236" i="3" s="1"/>
  <c r="B237" i="3"/>
  <c r="B238" i="3"/>
  <c r="B239" i="3"/>
  <c r="E239" i="3" s="1"/>
  <c r="B240" i="3"/>
  <c r="B241" i="3"/>
  <c r="B242" i="3"/>
  <c r="B243" i="3"/>
  <c r="B244" i="3"/>
  <c r="B245" i="3"/>
  <c r="B246" i="3"/>
  <c r="B247" i="3"/>
  <c r="E247" i="3" s="1"/>
  <c r="B248" i="3"/>
  <c r="E248" i="3" s="1"/>
  <c r="B249" i="3"/>
  <c r="B250" i="3"/>
  <c r="B251" i="3"/>
  <c r="E251" i="3" s="1"/>
  <c r="B252" i="3"/>
  <c r="B253" i="3"/>
  <c r="B254" i="3"/>
  <c r="B255" i="3"/>
  <c r="B256" i="3"/>
  <c r="B257" i="3"/>
  <c r="E257" i="3" s="1"/>
  <c r="B258" i="3"/>
  <c r="E258" i="3" s="1"/>
  <c r="B259" i="3"/>
  <c r="E259" i="3" s="1"/>
  <c r="B260" i="3"/>
  <c r="B261" i="3"/>
  <c r="B262" i="3"/>
  <c r="B263" i="3"/>
  <c r="E263" i="3" s="1"/>
  <c r="B264" i="3"/>
  <c r="B265" i="3"/>
  <c r="E265" i="3" s="1"/>
  <c r="B266" i="3"/>
  <c r="E266" i="3" s="1"/>
  <c r="B267" i="3"/>
  <c r="B268" i="3"/>
  <c r="B269" i="3"/>
  <c r="B270" i="3"/>
  <c r="B271" i="3"/>
  <c r="E271" i="3" s="1"/>
  <c r="B272" i="3"/>
  <c r="E272" i="3" s="1"/>
  <c r="B273" i="3"/>
  <c r="F273" i="3" s="1"/>
  <c r="B274" i="3"/>
  <c r="B275" i="3"/>
  <c r="B276" i="3"/>
  <c r="E276" i="3" s="1"/>
  <c r="B277" i="3"/>
  <c r="E277" i="3" s="1"/>
  <c r="B278" i="3"/>
  <c r="E278" i="3" s="1"/>
  <c r="B279" i="3"/>
  <c r="B280" i="3"/>
  <c r="E280" i="3" s="1"/>
  <c r="B281" i="3"/>
  <c r="E281" i="3" s="1"/>
  <c r="B282" i="3"/>
  <c r="B283" i="3"/>
  <c r="E283" i="3" s="1"/>
  <c r="B284" i="3"/>
  <c r="E284" i="3" s="1"/>
  <c r="B285" i="3"/>
  <c r="B286" i="3"/>
  <c r="B287" i="3"/>
  <c r="B288" i="3"/>
  <c r="B289" i="3"/>
  <c r="B290" i="3"/>
  <c r="B291" i="3"/>
  <c r="B292" i="3"/>
  <c r="B293" i="3"/>
  <c r="E293" i="3" s="1"/>
  <c r="B294" i="3"/>
  <c r="B295" i="3"/>
  <c r="E295" i="3" s="1"/>
  <c r="B296" i="3"/>
  <c r="B297" i="3"/>
  <c r="B298" i="3"/>
  <c r="B299" i="3"/>
  <c r="B300" i="3"/>
  <c r="B301" i="3"/>
  <c r="B302" i="3"/>
  <c r="B303" i="3"/>
  <c r="B304" i="3"/>
  <c r="B305" i="3"/>
  <c r="B306" i="3"/>
  <c r="E306" i="3" s="1"/>
  <c r="B307" i="3"/>
  <c r="E307" i="3" s="1"/>
  <c r="B308" i="3"/>
  <c r="E308" i="3" s="1"/>
  <c r="B309" i="3"/>
  <c r="E309" i="3" s="1"/>
  <c r="B310" i="3"/>
  <c r="E310" i="3" s="1"/>
  <c r="B311" i="3"/>
  <c r="E311" i="3" s="1"/>
  <c r="B312" i="3"/>
  <c r="B313" i="3"/>
  <c r="B314" i="3"/>
  <c r="B315" i="3"/>
  <c r="F315" i="3" s="1"/>
  <c r="B316" i="3"/>
  <c r="B317" i="3"/>
  <c r="B318" i="3"/>
  <c r="E318" i="3" s="1"/>
  <c r="B319" i="3"/>
  <c r="E319" i="3" s="1"/>
  <c r="B320" i="3"/>
  <c r="E320" i="3" s="1"/>
  <c r="B321" i="3"/>
  <c r="E321" i="3" s="1"/>
  <c r="B322" i="3"/>
  <c r="E322" i="3" s="1"/>
  <c r="B323" i="3"/>
  <c r="E323" i="3" s="1"/>
  <c r="B324" i="3"/>
  <c r="E324" i="3" s="1"/>
  <c r="B325" i="3"/>
  <c r="E325" i="3" s="1"/>
  <c r="B326" i="3"/>
  <c r="B327" i="3"/>
  <c r="B328" i="3"/>
  <c r="F328" i="3" s="1"/>
  <c r="B329" i="3"/>
  <c r="B330" i="3"/>
  <c r="B331" i="3"/>
  <c r="E331" i="3" s="1"/>
  <c r="B332" i="3"/>
  <c r="E332" i="3" s="1"/>
  <c r="B333" i="3"/>
  <c r="F333" i="3" s="1"/>
  <c r="B334" i="3"/>
  <c r="B335" i="3"/>
  <c r="E335" i="3" s="1"/>
  <c r="B336" i="3"/>
  <c r="B337" i="3"/>
  <c r="E337" i="3" s="1"/>
  <c r="B338" i="3"/>
  <c r="B339" i="3"/>
  <c r="B340" i="3"/>
  <c r="B341" i="3"/>
  <c r="E341" i="3" s="1"/>
  <c r="B342" i="3"/>
  <c r="E342" i="3" s="1"/>
  <c r="B343" i="3"/>
  <c r="E343" i="3" s="1"/>
  <c r="B344" i="3"/>
  <c r="E344" i="3" s="1"/>
  <c r="B345" i="3"/>
  <c r="E345" i="3" s="1"/>
  <c r="B346" i="3"/>
  <c r="B347" i="3"/>
  <c r="B348" i="3"/>
  <c r="B349" i="3"/>
  <c r="E349" i="3" s="1"/>
  <c r="B350" i="3"/>
  <c r="E350" i="3" s="1"/>
  <c r="B351" i="3"/>
  <c r="B352" i="3"/>
  <c r="F352" i="3" s="1"/>
  <c r="B353" i="3"/>
  <c r="B354" i="3"/>
  <c r="E354" i="3" s="1"/>
  <c r="B355" i="3"/>
  <c r="E355" i="3" s="1"/>
  <c r="B356" i="3"/>
  <c r="B357" i="3"/>
  <c r="B358" i="3"/>
  <c r="B359" i="3"/>
  <c r="B360" i="3"/>
  <c r="B361" i="3"/>
  <c r="B362" i="3"/>
  <c r="B363" i="3"/>
  <c r="B364" i="3"/>
  <c r="E364" i="3" s="1"/>
  <c r="B365" i="3"/>
  <c r="E365" i="3" s="1"/>
  <c r="B366" i="3"/>
  <c r="B367" i="3"/>
  <c r="E367" i="3" s="1"/>
  <c r="B368" i="3"/>
  <c r="B369" i="3"/>
  <c r="E369" i="3" s="1"/>
  <c r="B370" i="3"/>
  <c r="B371" i="3"/>
  <c r="B372" i="3"/>
  <c r="E372" i="3" s="1"/>
  <c r="B373" i="3"/>
  <c r="B374" i="3"/>
  <c r="B375" i="3"/>
  <c r="B376" i="3"/>
  <c r="B377" i="3"/>
  <c r="B378" i="3"/>
  <c r="B379" i="3"/>
  <c r="E379" i="3" s="1"/>
  <c r="B380" i="3"/>
  <c r="E380" i="3" s="1"/>
  <c r="B381" i="3"/>
  <c r="B382" i="3"/>
  <c r="B383" i="3"/>
  <c r="E383" i="3" s="1"/>
  <c r="B384" i="3"/>
  <c r="B385" i="3"/>
  <c r="B386" i="3"/>
  <c r="B387" i="3"/>
  <c r="B388" i="3"/>
  <c r="B389" i="3"/>
  <c r="E389" i="3" s="1"/>
  <c r="B390" i="3"/>
  <c r="B391" i="3"/>
  <c r="E391" i="3" s="1"/>
  <c r="B392" i="3"/>
  <c r="E392" i="3" s="1"/>
  <c r="B393" i="3"/>
  <c r="E393" i="3" s="1"/>
  <c r="B394" i="3"/>
  <c r="E394" i="3" s="1"/>
  <c r="B395" i="3"/>
  <c r="E395" i="3" s="1"/>
  <c r="B396" i="3"/>
  <c r="B397" i="3"/>
  <c r="E397" i="3" s="1"/>
  <c r="B398" i="3"/>
  <c r="B399" i="3"/>
  <c r="F399" i="3" s="1"/>
  <c r="B400" i="3"/>
  <c r="B401" i="3"/>
  <c r="B402" i="3"/>
  <c r="E402" i="3" s="1"/>
  <c r="B403" i="3"/>
  <c r="E403" i="3" s="1"/>
  <c r="B404" i="3"/>
  <c r="E404" i="3" s="1"/>
  <c r="B405" i="3"/>
  <c r="E405" i="3" s="1"/>
  <c r="B406" i="3"/>
  <c r="E406" i="3" s="1"/>
  <c r="B407" i="3"/>
  <c r="E407" i="3" s="1"/>
  <c r="B408" i="3"/>
  <c r="B409" i="3"/>
  <c r="E409" i="3" s="1"/>
  <c r="B410" i="3"/>
  <c r="E410" i="3" s="1"/>
  <c r="B411" i="3"/>
  <c r="B412" i="3"/>
  <c r="B413" i="3"/>
  <c r="B414" i="3"/>
  <c r="B415" i="3"/>
  <c r="E415" i="3" s="1"/>
  <c r="B416" i="3"/>
  <c r="E416" i="3" s="1"/>
  <c r="B417" i="3"/>
  <c r="F417" i="3" s="1"/>
  <c r="B418" i="3"/>
  <c r="B419" i="3"/>
  <c r="B420" i="3"/>
  <c r="E420" i="3" s="1"/>
  <c r="B421" i="3"/>
  <c r="E421" i="3" s="1"/>
  <c r="B422" i="3"/>
  <c r="E422" i="3" s="1"/>
  <c r="B423" i="3"/>
  <c r="F423" i="3" s="1"/>
  <c r="B424" i="3"/>
  <c r="B425" i="3"/>
  <c r="B426" i="3"/>
  <c r="E426" i="3" s="1"/>
  <c r="B427" i="3"/>
  <c r="E427" i="3" s="1"/>
  <c r="B428" i="3"/>
  <c r="E428" i="3" s="1"/>
  <c r="B429" i="3"/>
  <c r="E429" i="3" s="1"/>
  <c r="B430" i="3"/>
  <c r="E430" i="3" s="1"/>
  <c r="B431" i="3"/>
  <c r="B432" i="3"/>
  <c r="B433" i="3"/>
  <c r="B434" i="3"/>
  <c r="B435" i="3"/>
  <c r="B436" i="3"/>
  <c r="B437" i="3"/>
  <c r="E437" i="3" s="1"/>
  <c r="B438" i="3"/>
  <c r="B439" i="3"/>
  <c r="E439" i="3" s="1"/>
  <c r="B440" i="3"/>
  <c r="B441" i="3"/>
  <c r="B442" i="3"/>
  <c r="B443" i="3"/>
  <c r="B444" i="3"/>
  <c r="B445" i="3"/>
  <c r="B446" i="3"/>
  <c r="B447" i="3"/>
  <c r="B448" i="3"/>
  <c r="E448" i="3" s="1"/>
  <c r="B449" i="3"/>
  <c r="E449" i="3" s="1"/>
  <c r="B450" i="3"/>
  <c r="E450" i="3" s="1"/>
  <c r="B451" i="3"/>
  <c r="E451" i="3" s="1"/>
  <c r="B452" i="3"/>
  <c r="E452" i="3" s="1"/>
  <c r="B453" i="3"/>
  <c r="E453" i="3" s="1"/>
  <c r="B454" i="3"/>
  <c r="B455" i="3"/>
  <c r="E455" i="3" s="1"/>
  <c r="B456" i="3"/>
  <c r="B457" i="3"/>
  <c r="B458" i="3"/>
  <c r="B459" i="3"/>
  <c r="B460" i="3"/>
  <c r="F460" i="3" s="1"/>
  <c r="B461" i="3"/>
  <c r="B462" i="3"/>
  <c r="B463" i="3"/>
  <c r="E463" i="3" s="1"/>
  <c r="B464" i="3"/>
  <c r="B465" i="3"/>
  <c r="B466" i="3"/>
  <c r="B467" i="3"/>
  <c r="E467" i="3" s="1"/>
  <c r="B468" i="3"/>
  <c r="E468" i="3" s="1"/>
  <c r="B469" i="3"/>
  <c r="E469" i="3" s="1"/>
  <c r="B470" i="3"/>
  <c r="B471" i="3"/>
  <c r="B472" i="3"/>
  <c r="F472" i="3" s="1"/>
  <c r="B473" i="3"/>
  <c r="B474" i="3"/>
  <c r="B475" i="3"/>
  <c r="E475" i="3" s="1"/>
  <c r="B476" i="3"/>
  <c r="E476" i="3" s="1"/>
  <c r="B477" i="3"/>
  <c r="E477" i="3" s="1"/>
  <c r="B478" i="3"/>
  <c r="B479" i="3"/>
  <c r="E479" i="3" s="1"/>
  <c r="B480" i="3"/>
  <c r="B481" i="3"/>
  <c r="B482" i="3"/>
  <c r="B483" i="3"/>
  <c r="B484" i="3"/>
  <c r="B485" i="3"/>
  <c r="B486" i="3"/>
  <c r="B487" i="3"/>
  <c r="E487" i="3" s="1"/>
  <c r="B488" i="3"/>
  <c r="E488" i="3" s="1"/>
  <c r="B489" i="3"/>
  <c r="F489" i="3" s="1"/>
  <c r="B490" i="3"/>
  <c r="B491" i="3"/>
  <c r="B492" i="3"/>
  <c r="B493" i="3"/>
  <c r="E493" i="3" s="1"/>
  <c r="B494" i="3"/>
  <c r="E494" i="3" s="1"/>
  <c r="B495" i="3"/>
  <c r="B496" i="3"/>
  <c r="B497" i="3"/>
  <c r="B498" i="3"/>
  <c r="E498" i="3" s="1"/>
  <c r="B499" i="3"/>
  <c r="E499" i="3" s="1"/>
  <c r="B500" i="3"/>
  <c r="B501" i="3"/>
  <c r="E501" i="3" s="1"/>
  <c r="B2" i="3"/>
  <c r="E2" i="3" s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2" i="3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2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2" i="2"/>
  <c r="P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2" i="2"/>
  <c r="K3" i="2" a="1"/>
  <c r="K3" i="2" s="1"/>
  <c r="K4" i="2" a="1"/>
  <c r="K4" i="2" s="1"/>
  <c r="K5" i="2" a="1"/>
  <c r="K5" i="2"/>
  <c r="K6" i="2" a="1"/>
  <c r="K6" i="2"/>
  <c r="K7" i="2" a="1"/>
  <c r="K7" i="2"/>
  <c r="K8" i="2" a="1"/>
  <c r="K8" i="2"/>
  <c r="K9" i="2" a="1"/>
  <c r="K9" i="2" s="1"/>
  <c r="K10" i="2" a="1"/>
  <c r="K10" i="2" s="1"/>
  <c r="K11" i="2" a="1"/>
  <c r="K11" i="2"/>
  <c r="K12" i="2" a="1"/>
  <c r="K12" i="2"/>
  <c r="K13" i="2" a="1"/>
  <c r="K13" i="2"/>
  <c r="K14" i="2" a="1"/>
  <c r="K14" i="2"/>
  <c r="K15" i="2" a="1"/>
  <c r="K15" i="2" s="1"/>
  <c r="K16" i="2" a="1"/>
  <c r="K16" i="2" s="1"/>
  <c r="K17" i="2" a="1"/>
  <c r="K17" i="2"/>
  <c r="K18" i="2" a="1"/>
  <c r="K18" i="2"/>
  <c r="K19" i="2" a="1"/>
  <c r="K19" i="2"/>
  <c r="K20" i="2" a="1"/>
  <c r="K20" i="2"/>
  <c r="K21" i="2" a="1"/>
  <c r="K21" i="2" s="1"/>
  <c r="K22" i="2" a="1"/>
  <c r="K22" i="2" s="1"/>
  <c r="K23" i="2" a="1"/>
  <c r="K23" i="2"/>
  <c r="K24" i="2" a="1"/>
  <c r="K24" i="2"/>
  <c r="K25" i="2" a="1"/>
  <c r="K25" i="2"/>
  <c r="K26" i="2" a="1"/>
  <c r="K26" i="2"/>
  <c r="K27" i="2" a="1"/>
  <c r="K27" i="2" s="1"/>
  <c r="K28" i="2" a="1"/>
  <c r="K28" i="2" s="1"/>
  <c r="K29" i="2" a="1"/>
  <c r="K29" i="2"/>
  <c r="K30" i="2" a="1"/>
  <c r="K30" i="2"/>
  <c r="K31" i="2" a="1"/>
  <c r="K31" i="2"/>
  <c r="K32" i="2" a="1"/>
  <c r="K32" i="2"/>
  <c r="K33" i="2" a="1"/>
  <c r="K33" i="2" s="1"/>
  <c r="K34" i="2" a="1"/>
  <c r="K34" i="2" s="1"/>
  <c r="K35" i="2" a="1"/>
  <c r="K35" i="2"/>
  <c r="K36" i="2" a="1"/>
  <c r="K36" i="2"/>
  <c r="K37" i="2" a="1"/>
  <c r="K37" i="2"/>
  <c r="K38" i="2" a="1"/>
  <c r="K38" i="2"/>
  <c r="K39" i="2" a="1"/>
  <c r="K39" i="2" s="1"/>
  <c r="K40" i="2" a="1"/>
  <c r="K40" i="2" s="1"/>
  <c r="K41" i="2" a="1"/>
  <c r="K41" i="2"/>
  <c r="K42" i="2" a="1"/>
  <c r="K42" i="2"/>
  <c r="K43" i="2" a="1"/>
  <c r="K43" i="2"/>
  <c r="K44" i="2" a="1"/>
  <c r="K44" i="2"/>
  <c r="K45" i="2" a="1"/>
  <c r="K45" i="2" s="1"/>
  <c r="K46" i="2" a="1"/>
  <c r="K46" i="2" s="1"/>
  <c r="K47" i="2" a="1"/>
  <c r="K47" i="2"/>
  <c r="K48" i="2" a="1"/>
  <c r="K48" i="2"/>
  <c r="K49" i="2" a="1"/>
  <c r="K49" i="2"/>
  <c r="K50" i="2" a="1"/>
  <c r="K50" i="2"/>
  <c r="K51" i="2" a="1"/>
  <c r="K51" i="2" s="1"/>
  <c r="K52" i="2" a="1"/>
  <c r="K52" i="2" s="1"/>
  <c r="K53" i="2" a="1"/>
  <c r="K53" i="2"/>
  <c r="K54" i="2" a="1"/>
  <c r="K54" i="2"/>
  <c r="K55" i="2" a="1"/>
  <c r="K55" i="2"/>
  <c r="K56" i="2" a="1"/>
  <c r="K56" i="2"/>
  <c r="K57" i="2" a="1"/>
  <c r="K57" i="2" s="1"/>
  <c r="K58" i="2" a="1"/>
  <c r="K58" i="2" s="1"/>
  <c r="K59" i="2" a="1"/>
  <c r="K59" i="2"/>
  <c r="K60" i="2" a="1"/>
  <c r="K60" i="2"/>
  <c r="K61" i="2" a="1"/>
  <c r="K61" i="2"/>
  <c r="K62" i="2" a="1"/>
  <c r="K62" i="2"/>
  <c r="K63" i="2" a="1"/>
  <c r="K63" i="2" s="1"/>
  <c r="K64" i="2" a="1"/>
  <c r="K64" i="2" s="1"/>
  <c r="K65" i="2" a="1"/>
  <c r="K65" i="2" s="1"/>
  <c r="K66" i="2" a="1"/>
  <c r="K66" i="2"/>
  <c r="K67" i="2" a="1"/>
  <c r="K67" i="2"/>
  <c r="K68" i="2" a="1"/>
  <c r="K68" i="2"/>
  <c r="K69" i="2" a="1"/>
  <c r="K69" i="2" s="1"/>
  <c r="K70" i="2" a="1"/>
  <c r="K70" i="2" s="1"/>
  <c r="K71" i="2" a="1"/>
  <c r="K71" i="2"/>
  <c r="K72" i="2" a="1"/>
  <c r="K72" i="2"/>
  <c r="K73" i="2" a="1"/>
  <c r="K73" i="2"/>
  <c r="K74" i="2" a="1"/>
  <c r="K74" i="2"/>
  <c r="K75" i="2" a="1"/>
  <c r="K75" i="2" s="1"/>
  <c r="K76" i="2" a="1"/>
  <c r="K76" i="2" s="1"/>
  <c r="K77" i="2" a="1"/>
  <c r="K77" i="2"/>
  <c r="K78" i="2" a="1"/>
  <c r="K78" i="2"/>
  <c r="K79" i="2" a="1"/>
  <c r="K79" i="2"/>
  <c r="K80" i="2" a="1"/>
  <c r="K80" i="2"/>
  <c r="K81" i="2" a="1"/>
  <c r="K81" i="2" s="1"/>
  <c r="K82" i="2" a="1"/>
  <c r="K82" i="2" s="1"/>
  <c r="K83" i="2" a="1"/>
  <c r="K83" i="2"/>
  <c r="K84" i="2" a="1"/>
  <c r="K84" i="2"/>
  <c r="K85" i="2" a="1"/>
  <c r="K85" i="2"/>
  <c r="K86" i="2" a="1"/>
  <c r="K86" i="2"/>
  <c r="K87" i="2" a="1"/>
  <c r="K87" i="2" s="1"/>
  <c r="K88" i="2" a="1"/>
  <c r="K88" i="2" s="1"/>
  <c r="K89" i="2" a="1"/>
  <c r="K89" i="2"/>
  <c r="K90" i="2" a="1"/>
  <c r="K90" i="2"/>
  <c r="K91" i="2" a="1"/>
  <c r="K91" i="2"/>
  <c r="K92" i="2" a="1"/>
  <c r="K92" i="2"/>
  <c r="K93" i="2" a="1"/>
  <c r="K93" i="2" s="1"/>
  <c r="K94" i="2" a="1"/>
  <c r="K94" i="2" s="1"/>
  <c r="K95" i="2" a="1"/>
  <c r="K95" i="2"/>
  <c r="K96" i="2" a="1"/>
  <c r="K96" i="2"/>
  <c r="K97" i="2" a="1"/>
  <c r="K97" i="2"/>
  <c r="K98" i="2" a="1"/>
  <c r="K98" i="2"/>
  <c r="K99" i="2" a="1"/>
  <c r="K99" i="2" s="1"/>
  <c r="K100" i="2" a="1"/>
  <c r="K100" i="2" s="1"/>
  <c r="K101" i="2" a="1"/>
  <c r="K101" i="2"/>
  <c r="K102" i="2" a="1"/>
  <c r="K102" i="2"/>
  <c r="K103" i="2" a="1"/>
  <c r="K103" i="2"/>
  <c r="K104" i="2" a="1"/>
  <c r="K104" i="2"/>
  <c r="K105" i="2" a="1"/>
  <c r="K105" i="2" s="1"/>
  <c r="K106" i="2" a="1"/>
  <c r="K106" i="2" s="1"/>
  <c r="K107" i="2" a="1"/>
  <c r="K107" i="2"/>
  <c r="K108" i="2" a="1"/>
  <c r="K108" i="2"/>
  <c r="K109" i="2" a="1"/>
  <c r="K109" i="2"/>
  <c r="K110" i="2" a="1"/>
  <c r="K110" i="2"/>
  <c r="K111" i="2" a="1"/>
  <c r="K111" i="2" s="1"/>
  <c r="K112" i="2" a="1"/>
  <c r="K112" i="2" s="1"/>
  <c r="K113" i="2" a="1"/>
  <c r="K113" i="2"/>
  <c r="K114" i="2" a="1"/>
  <c r="K114" i="2"/>
  <c r="K115" i="2" a="1"/>
  <c r="K115" i="2"/>
  <c r="K116" i="2" a="1"/>
  <c r="K116" i="2"/>
  <c r="K117" i="2" a="1"/>
  <c r="K117" i="2" s="1"/>
  <c r="K118" i="2" a="1"/>
  <c r="K118" i="2" s="1"/>
  <c r="K119" i="2" a="1"/>
  <c r="K119" i="2"/>
  <c r="K120" i="2" a="1"/>
  <c r="K120" i="2"/>
  <c r="K121" i="2" a="1"/>
  <c r="K121" i="2"/>
  <c r="K122" i="2" a="1"/>
  <c r="K122" i="2"/>
  <c r="K123" i="2" a="1"/>
  <c r="K123" i="2" s="1"/>
  <c r="K124" i="2" a="1"/>
  <c r="K124" i="2" s="1"/>
  <c r="K125" i="2" a="1"/>
  <c r="K125" i="2"/>
  <c r="K126" i="2" a="1"/>
  <c r="K126" i="2"/>
  <c r="K127" i="2" a="1"/>
  <c r="K127" i="2"/>
  <c r="K128" i="2" a="1"/>
  <c r="K128" i="2"/>
  <c r="K129" i="2" a="1"/>
  <c r="K129" i="2" s="1"/>
  <c r="K130" i="2" a="1"/>
  <c r="K130" i="2" s="1"/>
  <c r="K131" i="2" a="1"/>
  <c r="K131" i="2"/>
  <c r="K132" i="2" a="1"/>
  <c r="K132" i="2"/>
  <c r="K133" i="2" a="1"/>
  <c r="K133" i="2"/>
  <c r="K134" i="2" a="1"/>
  <c r="K134" i="2"/>
  <c r="K135" i="2" a="1"/>
  <c r="K135" i="2" s="1"/>
  <c r="K136" i="2" a="1"/>
  <c r="K136" i="2" s="1"/>
  <c r="K137" i="2" a="1"/>
  <c r="K137" i="2"/>
  <c r="K138" i="2" a="1"/>
  <c r="K138" i="2"/>
  <c r="K139" i="2" a="1"/>
  <c r="K139" i="2"/>
  <c r="K140" i="2" a="1"/>
  <c r="K140" i="2"/>
  <c r="K141" i="2" a="1"/>
  <c r="K141" i="2" s="1"/>
  <c r="K142" i="2" a="1"/>
  <c r="K142" i="2" s="1"/>
  <c r="K143" i="2" a="1"/>
  <c r="K143" i="2"/>
  <c r="K144" i="2" a="1"/>
  <c r="K144" i="2"/>
  <c r="K145" i="2" a="1"/>
  <c r="K145" i="2"/>
  <c r="K146" i="2" a="1"/>
  <c r="K146" i="2"/>
  <c r="K147" i="2" a="1"/>
  <c r="K147" i="2" s="1"/>
  <c r="K148" i="2" a="1"/>
  <c r="K148" i="2" s="1"/>
  <c r="K149" i="2" a="1"/>
  <c r="K149" i="2"/>
  <c r="K150" i="2" a="1"/>
  <c r="K150" i="2"/>
  <c r="K151" i="2" a="1"/>
  <c r="K151" i="2"/>
  <c r="K152" i="2" a="1"/>
  <c r="K152" i="2"/>
  <c r="K153" i="2" a="1"/>
  <c r="K153" i="2" s="1"/>
  <c r="K154" i="2" a="1"/>
  <c r="K154" i="2" s="1"/>
  <c r="K155" i="2" a="1"/>
  <c r="K155" i="2"/>
  <c r="K156" i="2" a="1"/>
  <c r="K156" i="2"/>
  <c r="K157" i="2" a="1"/>
  <c r="K157" i="2"/>
  <c r="K158" i="2" a="1"/>
  <c r="K158" i="2"/>
  <c r="K159" i="2" a="1"/>
  <c r="K159" i="2" s="1"/>
  <c r="K160" i="2" a="1"/>
  <c r="K160" i="2" s="1"/>
  <c r="K161" i="2" a="1"/>
  <c r="K161" i="2"/>
  <c r="K162" i="2" a="1"/>
  <c r="K162" i="2"/>
  <c r="K163" i="2" a="1"/>
  <c r="K163" i="2"/>
  <c r="K164" i="2" a="1"/>
  <c r="K164" i="2"/>
  <c r="K165" i="2" a="1"/>
  <c r="K165" i="2" s="1"/>
  <c r="K166" i="2" a="1"/>
  <c r="K166" i="2" s="1"/>
  <c r="K167" i="2" a="1"/>
  <c r="K167" i="2"/>
  <c r="K168" i="2" a="1"/>
  <c r="K168" i="2"/>
  <c r="K169" i="2" a="1"/>
  <c r="K169" i="2"/>
  <c r="K170" i="2" a="1"/>
  <c r="K170" i="2"/>
  <c r="K171" i="2" a="1"/>
  <c r="K171" i="2" s="1"/>
  <c r="K172" i="2" a="1"/>
  <c r="K172" i="2" s="1"/>
  <c r="K173" i="2" a="1"/>
  <c r="K173" i="2"/>
  <c r="K174" i="2" a="1"/>
  <c r="K174" i="2"/>
  <c r="K175" i="2" a="1"/>
  <c r="K175" i="2"/>
  <c r="K176" i="2" a="1"/>
  <c r="K176" i="2"/>
  <c r="K177" i="2" a="1"/>
  <c r="K177" i="2" s="1"/>
  <c r="K178" i="2" a="1"/>
  <c r="K178" i="2" s="1"/>
  <c r="K179" i="2" a="1"/>
  <c r="K179" i="2"/>
  <c r="K180" i="2" a="1"/>
  <c r="K180" i="2"/>
  <c r="K181" i="2" a="1"/>
  <c r="K181" i="2"/>
  <c r="K182" i="2" a="1"/>
  <c r="K182" i="2"/>
  <c r="K183" i="2" a="1"/>
  <c r="K183" i="2" s="1"/>
  <c r="K184" i="2" a="1"/>
  <c r="K184" i="2" s="1"/>
  <c r="K185" i="2" a="1"/>
  <c r="K185" i="2"/>
  <c r="K186" i="2" a="1"/>
  <c r="K186" i="2"/>
  <c r="K187" i="2" a="1"/>
  <c r="K187" i="2"/>
  <c r="K188" i="2" a="1"/>
  <c r="K188" i="2"/>
  <c r="K189" i="2" a="1"/>
  <c r="K189" i="2" s="1"/>
  <c r="K190" i="2" a="1"/>
  <c r="K190" i="2" s="1"/>
  <c r="K191" i="2" a="1"/>
  <c r="K191" i="2"/>
  <c r="K192" i="2" a="1"/>
  <c r="K192" i="2"/>
  <c r="K193" i="2" a="1"/>
  <c r="K193" i="2"/>
  <c r="K194" i="2" a="1"/>
  <c r="K194" i="2"/>
  <c r="K195" i="2" a="1"/>
  <c r="K195" i="2" s="1"/>
  <c r="K196" i="2" a="1"/>
  <c r="K196" i="2" s="1"/>
  <c r="K197" i="2" a="1"/>
  <c r="K197" i="2"/>
  <c r="K198" i="2" a="1"/>
  <c r="K198" i="2"/>
  <c r="K199" i="2" a="1"/>
  <c r="K199" i="2"/>
  <c r="K200" i="2" a="1"/>
  <c r="K200" i="2"/>
  <c r="K201" i="2" a="1"/>
  <c r="K201" i="2" s="1"/>
  <c r="K202" i="2" a="1"/>
  <c r="K202" i="2" s="1"/>
  <c r="K203" i="2" a="1"/>
  <c r="K203" i="2"/>
  <c r="K204" i="2" a="1"/>
  <c r="K204" i="2"/>
  <c r="K205" i="2" a="1"/>
  <c r="K205" i="2"/>
  <c r="K206" i="2" a="1"/>
  <c r="K206" i="2"/>
  <c r="K207" i="2" a="1"/>
  <c r="K207" i="2" s="1"/>
  <c r="K208" i="2" a="1"/>
  <c r="K208" i="2" s="1"/>
  <c r="K209" i="2" a="1"/>
  <c r="K209" i="2"/>
  <c r="K210" i="2" a="1"/>
  <c r="K210" i="2"/>
  <c r="K211" i="2" a="1"/>
  <c r="K211" i="2"/>
  <c r="K212" i="2" a="1"/>
  <c r="K212" i="2"/>
  <c r="K213" i="2" a="1"/>
  <c r="K213" i="2" s="1"/>
  <c r="K214" i="2" a="1"/>
  <c r="K214" i="2" s="1"/>
  <c r="K215" i="2" a="1"/>
  <c r="K215" i="2"/>
  <c r="K216" i="2" a="1"/>
  <c r="K216" i="2"/>
  <c r="K217" i="2" a="1"/>
  <c r="K217" i="2"/>
  <c r="K218" i="2" a="1"/>
  <c r="K218" i="2"/>
  <c r="K219" i="2" a="1"/>
  <c r="K219" i="2" s="1"/>
  <c r="K220" i="2" a="1"/>
  <c r="K220" i="2" s="1"/>
  <c r="K221" i="2" a="1"/>
  <c r="K221" i="2"/>
  <c r="K222" i="2" a="1"/>
  <c r="K222" i="2"/>
  <c r="K223" i="2" a="1"/>
  <c r="K223" i="2"/>
  <c r="K224" i="2" a="1"/>
  <c r="K224" i="2"/>
  <c r="K225" i="2" a="1"/>
  <c r="K225" i="2" s="1"/>
  <c r="K226" i="2" a="1"/>
  <c r="K226" i="2" s="1"/>
  <c r="K227" i="2" a="1"/>
  <c r="K227" i="2"/>
  <c r="K228" i="2" a="1"/>
  <c r="K228" i="2"/>
  <c r="K229" i="2" a="1"/>
  <c r="K229" i="2"/>
  <c r="K230" i="2" a="1"/>
  <c r="K230" i="2"/>
  <c r="K231" i="2" a="1"/>
  <c r="K231" i="2" s="1"/>
  <c r="K232" i="2" a="1"/>
  <c r="K232" i="2" s="1"/>
  <c r="K233" i="2" a="1"/>
  <c r="K233" i="2"/>
  <c r="K234" i="2" a="1"/>
  <c r="K234" i="2"/>
  <c r="K235" i="2" a="1"/>
  <c r="K235" i="2"/>
  <c r="K236" i="2" a="1"/>
  <c r="K236" i="2"/>
  <c r="K237" i="2" a="1"/>
  <c r="K237" i="2" s="1"/>
  <c r="K238" i="2" a="1"/>
  <c r="K238" i="2" s="1"/>
  <c r="K239" i="2" a="1"/>
  <c r="K239" i="2"/>
  <c r="K240" i="2" a="1"/>
  <c r="K240" i="2"/>
  <c r="K241" i="2" a="1"/>
  <c r="K241" i="2"/>
  <c r="K242" i="2" a="1"/>
  <c r="K242" i="2"/>
  <c r="K243" i="2" a="1"/>
  <c r="K243" i="2" s="1"/>
  <c r="K244" i="2" a="1"/>
  <c r="K244" i="2" s="1"/>
  <c r="K245" i="2" a="1"/>
  <c r="K245" i="2"/>
  <c r="K246" i="2" a="1"/>
  <c r="K246" i="2"/>
  <c r="K247" i="2" a="1"/>
  <c r="K247" i="2"/>
  <c r="K248" i="2" a="1"/>
  <c r="K248" i="2"/>
  <c r="K249" i="2" a="1"/>
  <c r="K249" i="2" s="1"/>
  <c r="K250" i="2" a="1"/>
  <c r="K250" i="2" s="1"/>
  <c r="K251" i="2" a="1"/>
  <c r="K251" i="2"/>
  <c r="K252" i="2" a="1"/>
  <c r="K252" i="2"/>
  <c r="K253" i="2" a="1"/>
  <c r="K253" i="2"/>
  <c r="K254" i="2" a="1"/>
  <c r="K254" i="2"/>
  <c r="K255" i="2" a="1"/>
  <c r="K255" i="2" s="1"/>
  <c r="K256" i="2" a="1"/>
  <c r="K256" i="2" s="1"/>
  <c r="K257" i="2" a="1"/>
  <c r="K257" i="2"/>
  <c r="K258" i="2" a="1"/>
  <c r="K258" i="2"/>
  <c r="K259" i="2" a="1"/>
  <c r="K259" i="2"/>
  <c r="K260" i="2" a="1"/>
  <c r="K260" i="2"/>
  <c r="K261" i="2" a="1"/>
  <c r="K261" i="2" s="1"/>
  <c r="K262" i="2" a="1"/>
  <c r="K262" i="2" s="1"/>
  <c r="K263" i="2" a="1"/>
  <c r="K263" i="2"/>
  <c r="K264" i="2" a="1"/>
  <c r="K264" i="2"/>
  <c r="K265" i="2" a="1"/>
  <c r="K265" i="2"/>
  <c r="K266" i="2" a="1"/>
  <c r="K266" i="2"/>
  <c r="K267" i="2" a="1"/>
  <c r="K267" i="2" s="1"/>
  <c r="K268" i="2" a="1"/>
  <c r="K268" i="2" s="1"/>
  <c r="K269" i="2" a="1"/>
  <c r="K269" i="2"/>
  <c r="K270" i="2" a="1"/>
  <c r="K270" i="2"/>
  <c r="K271" i="2" a="1"/>
  <c r="K271" i="2"/>
  <c r="K272" i="2" a="1"/>
  <c r="K272" i="2"/>
  <c r="K273" i="2" a="1"/>
  <c r="K273" i="2" s="1"/>
  <c r="K274" i="2" a="1"/>
  <c r="K274" i="2" s="1"/>
  <c r="K275" i="2" a="1"/>
  <c r="K275" i="2"/>
  <c r="K276" i="2" a="1"/>
  <c r="K276" i="2"/>
  <c r="K277" i="2" a="1"/>
  <c r="K277" i="2"/>
  <c r="K278" i="2" a="1"/>
  <c r="K278" i="2"/>
  <c r="K279" i="2" a="1"/>
  <c r="K279" i="2" s="1"/>
  <c r="K280" i="2" a="1"/>
  <c r="K280" i="2" s="1"/>
  <c r="K281" i="2" a="1"/>
  <c r="K281" i="2"/>
  <c r="K282" i="2" a="1"/>
  <c r="K282" i="2"/>
  <c r="K283" i="2" a="1"/>
  <c r="K283" i="2"/>
  <c r="K284" i="2" a="1"/>
  <c r="K284" i="2"/>
  <c r="K285" i="2" a="1"/>
  <c r="K285" i="2" s="1"/>
  <c r="K286" i="2" a="1"/>
  <c r="K286" i="2" s="1"/>
  <c r="K287" i="2" a="1"/>
  <c r="K287" i="2"/>
  <c r="K288" i="2" a="1"/>
  <c r="K288" i="2"/>
  <c r="K289" i="2" a="1"/>
  <c r="K289" i="2"/>
  <c r="K290" i="2" a="1"/>
  <c r="K290" i="2"/>
  <c r="K291" i="2" a="1"/>
  <c r="K291" i="2" s="1"/>
  <c r="K292" i="2" a="1"/>
  <c r="K292" i="2" s="1"/>
  <c r="K293" i="2" a="1"/>
  <c r="K293" i="2"/>
  <c r="K294" i="2" a="1"/>
  <c r="K294" i="2"/>
  <c r="K295" i="2" a="1"/>
  <c r="K295" i="2"/>
  <c r="K296" i="2" a="1"/>
  <c r="K296" i="2"/>
  <c r="K297" i="2" a="1"/>
  <c r="K297" i="2" s="1"/>
  <c r="K298" i="2" a="1"/>
  <c r="K298" i="2" s="1"/>
  <c r="K299" i="2" a="1"/>
  <c r="K299" i="2"/>
  <c r="K300" i="2" a="1"/>
  <c r="K300" i="2"/>
  <c r="K301" i="2" a="1"/>
  <c r="K301" i="2"/>
  <c r="K302" i="2" a="1"/>
  <c r="K302" i="2"/>
  <c r="K303" i="2" a="1"/>
  <c r="K303" i="2" s="1"/>
  <c r="K304" i="2" a="1"/>
  <c r="K304" i="2" s="1"/>
  <c r="K305" i="2" a="1"/>
  <c r="K305" i="2"/>
  <c r="K306" i="2" a="1"/>
  <c r="K306" i="2"/>
  <c r="K307" i="2" a="1"/>
  <c r="K307" i="2"/>
  <c r="K308" i="2" a="1"/>
  <c r="K308" i="2"/>
  <c r="K309" i="2" a="1"/>
  <c r="K309" i="2" s="1"/>
  <c r="K310" i="2" a="1"/>
  <c r="K310" i="2" s="1"/>
  <c r="K311" i="2" a="1"/>
  <c r="K311" i="2"/>
  <c r="K312" i="2" a="1"/>
  <c r="K312" i="2"/>
  <c r="K313" i="2" a="1"/>
  <c r="K313" i="2"/>
  <c r="K314" i="2" a="1"/>
  <c r="K314" i="2"/>
  <c r="K315" i="2" a="1"/>
  <c r="K315" i="2" s="1"/>
  <c r="K316" i="2" a="1"/>
  <c r="K316" i="2" s="1"/>
  <c r="K317" i="2" a="1"/>
  <c r="K317" i="2"/>
  <c r="K318" i="2" a="1"/>
  <c r="K318" i="2"/>
  <c r="K319" i="2" a="1"/>
  <c r="K319" i="2"/>
  <c r="K320" i="2" a="1"/>
  <c r="K320" i="2"/>
  <c r="K321" i="2" a="1"/>
  <c r="K321" i="2" s="1"/>
  <c r="K322" i="2" a="1"/>
  <c r="K322" i="2" s="1"/>
  <c r="K323" i="2" a="1"/>
  <c r="K323" i="2"/>
  <c r="K324" i="2" a="1"/>
  <c r="K324" i="2"/>
  <c r="K325" i="2" a="1"/>
  <c r="K325" i="2"/>
  <c r="K326" i="2" a="1"/>
  <c r="K326" i="2"/>
  <c r="K327" i="2" a="1"/>
  <c r="K327" i="2" s="1"/>
  <c r="K328" i="2" a="1"/>
  <c r="K328" i="2" s="1"/>
  <c r="K329" i="2" a="1"/>
  <c r="K329" i="2"/>
  <c r="K330" i="2" a="1"/>
  <c r="K330" i="2"/>
  <c r="K331" i="2" a="1"/>
  <c r="K331" i="2"/>
  <c r="K332" i="2" a="1"/>
  <c r="K332" i="2"/>
  <c r="K333" i="2" a="1"/>
  <c r="K333" i="2" s="1"/>
  <c r="K334" i="2" a="1"/>
  <c r="K334" i="2" s="1"/>
  <c r="K335" i="2" a="1"/>
  <c r="K335" i="2"/>
  <c r="K336" i="2" a="1"/>
  <c r="K336" i="2"/>
  <c r="K337" i="2" a="1"/>
  <c r="K337" i="2"/>
  <c r="K338" i="2" a="1"/>
  <c r="K338" i="2"/>
  <c r="K339" i="2" a="1"/>
  <c r="K339" i="2" s="1"/>
  <c r="K340" i="2" a="1"/>
  <c r="K340" i="2" s="1"/>
  <c r="K341" i="2" a="1"/>
  <c r="K341" i="2"/>
  <c r="K342" i="2" a="1"/>
  <c r="K342" i="2"/>
  <c r="K343" i="2" a="1"/>
  <c r="K343" i="2"/>
  <c r="K344" i="2" a="1"/>
  <c r="K344" i="2"/>
  <c r="K345" i="2" a="1"/>
  <c r="K345" i="2" s="1"/>
  <c r="K346" i="2" a="1"/>
  <c r="K346" i="2" s="1"/>
  <c r="K347" i="2" a="1"/>
  <c r="K347" i="2"/>
  <c r="K348" i="2" a="1"/>
  <c r="K348" i="2"/>
  <c r="K349" i="2" a="1"/>
  <c r="K349" i="2"/>
  <c r="K350" i="2" a="1"/>
  <c r="K350" i="2"/>
  <c r="K351" i="2" a="1"/>
  <c r="K351" i="2" s="1"/>
  <c r="K352" i="2" a="1"/>
  <c r="K352" i="2" s="1"/>
  <c r="K353" i="2" a="1"/>
  <c r="K353" i="2"/>
  <c r="K354" i="2" a="1"/>
  <c r="K354" i="2"/>
  <c r="K355" i="2" a="1"/>
  <c r="K355" i="2"/>
  <c r="K356" i="2" a="1"/>
  <c r="K356" i="2"/>
  <c r="K357" i="2" a="1"/>
  <c r="K357" i="2" s="1"/>
  <c r="K358" i="2" a="1"/>
  <c r="K358" i="2" s="1"/>
  <c r="K359" i="2" a="1"/>
  <c r="K359" i="2"/>
  <c r="K360" i="2" a="1"/>
  <c r="K360" i="2"/>
  <c r="K361" i="2" a="1"/>
  <c r="K361" i="2"/>
  <c r="K362" i="2" a="1"/>
  <c r="K362" i="2"/>
  <c r="K363" i="2" a="1"/>
  <c r="K363" i="2" s="1"/>
  <c r="K364" i="2" a="1"/>
  <c r="K364" i="2" s="1"/>
  <c r="K365" i="2" a="1"/>
  <c r="K365" i="2"/>
  <c r="K366" i="2" a="1"/>
  <c r="K366" i="2"/>
  <c r="K367" i="2" a="1"/>
  <c r="K367" i="2"/>
  <c r="K368" i="2" a="1"/>
  <c r="K368" i="2"/>
  <c r="K369" i="2" a="1"/>
  <c r="K369" i="2" s="1"/>
  <c r="K370" i="2" a="1"/>
  <c r="K370" i="2" s="1"/>
  <c r="K371" i="2" a="1"/>
  <c r="K371" i="2"/>
  <c r="K372" i="2" a="1"/>
  <c r="K372" i="2"/>
  <c r="K373" i="2" a="1"/>
  <c r="K373" i="2"/>
  <c r="K374" i="2" a="1"/>
  <c r="K374" i="2"/>
  <c r="K375" i="2" a="1"/>
  <c r="K375" i="2" s="1"/>
  <c r="K376" i="2" a="1"/>
  <c r="K376" i="2" s="1"/>
  <c r="K377" i="2" a="1"/>
  <c r="K377" i="2"/>
  <c r="K378" i="2" a="1"/>
  <c r="K378" i="2"/>
  <c r="K379" i="2" a="1"/>
  <c r="K379" i="2"/>
  <c r="K380" i="2" a="1"/>
  <c r="K380" i="2"/>
  <c r="K381" i="2" a="1"/>
  <c r="K381" i="2" s="1"/>
  <c r="K382" i="2" a="1"/>
  <c r="K382" i="2" s="1"/>
  <c r="K383" i="2" a="1"/>
  <c r="K383" i="2"/>
  <c r="K384" i="2" a="1"/>
  <c r="K384" i="2"/>
  <c r="K385" i="2" a="1"/>
  <c r="K385" i="2"/>
  <c r="K386" i="2" a="1"/>
  <c r="K386" i="2"/>
  <c r="K387" i="2" a="1"/>
  <c r="K387" i="2" s="1"/>
  <c r="K388" i="2" a="1"/>
  <c r="K388" i="2" s="1"/>
  <c r="K389" i="2" a="1"/>
  <c r="K389" i="2"/>
  <c r="K390" i="2" a="1"/>
  <c r="K390" i="2"/>
  <c r="K391" i="2" a="1"/>
  <c r="K391" i="2"/>
  <c r="K392" i="2" a="1"/>
  <c r="K392" i="2"/>
  <c r="K393" i="2" a="1"/>
  <c r="K393" i="2" s="1"/>
  <c r="K394" i="2" a="1"/>
  <c r="K394" i="2" s="1"/>
  <c r="K395" i="2" a="1"/>
  <c r="K395" i="2"/>
  <c r="K396" i="2" a="1"/>
  <c r="K396" i="2"/>
  <c r="K397" i="2" a="1"/>
  <c r="K397" i="2"/>
  <c r="K398" i="2" a="1"/>
  <c r="K398" i="2"/>
  <c r="K399" i="2" a="1"/>
  <c r="K399" i="2" s="1"/>
  <c r="K400" i="2" a="1"/>
  <c r="K400" i="2" s="1"/>
  <c r="K401" i="2" a="1"/>
  <c r="K401" i="2"/>
  <c r="K402" i="2" a="1"/>
  <c r="K402" i="2"/>
  <c r="K403" i="2" a="1"/>
  <c r="K403" i="2"/>
  <c r="K404" i="2" a="1"/>
  <c r="K404" i="2"/>
  <c r="K405" i="2" a="1"/>
  <c r="K405" i="2" s="1"/>
  <c r="K406" i="2" a="1"/>
  <c r="K406" i="2" s="1"/>
  <c r="K407" i="2" a="1"/>
  <c r="K407" i="2"/>
  <c r="K408" i="2" a="1"/>
  <c r="K408" i="2"/>
  <c r="K409" i="2" a="1"/>
  <c r="K409" i="2"/>
  <c r="K410" i="2" a="1"/>
  <c r="K410" i="2"/>
  <c r="K411" i="2" a="1"/>
  <c r="K411" i="2" s="1"/>
  <c r="K412" i="2" a="1"/>
  <c r="K412" i="2" s="1"/>
  <c r="K413" i="2" a="1"/>
  <c r="K413" i="2"/>
  <c r="K414" i="2" a="1"/>
  <c r="K414" i="2"/>
  <c r="K415" i="2" a="1"/>
  <c r="K415" i="2"/>
  <c r="K416" i="2" a="1"/>
  <c r="K416" i="2"/>
  <c r="K417" i="2" a="1"/>
  <c r="K417" i="2" s="1"/>
  <c r="K418" i="2" a="1"/>
  <c r="K418" i="2" s="1"/>
  <c r="K419" i="2" a="1"/>
  <c r="K419" i="2"/>
  <c r="K420" i="2" a="1"/>
  <c r="K420" i="2"/>
  <c r="K421" i="2" a="1"/>
  <c r="K421" i="2"/>
  <c r="K422" i="2" a="1"/>
  <c r="K422" i="2"/>
  <c r="K423" i="2" a="1"/>
  <c r="K423" i="2" s="1"/>
  <c r="K424" i="2" a="1"/>
  <c r="K424" i="2" s="1"/>
  <c r="K425" i="2" a="1"/>
  <c r="K425" i="2"/>
  <c r="K426" i="2" a="1"/>
  <c r="K426" i="2"/>
  <c r="K427" i="2" a="1"/>
  <c r="K427" i="2"/>
  <c r="K428" i="2" a="1"/>
  <c r="K428" i="2"/>
  <c r="K429" i="2" a="1"/>
  <c r="K429" i="2" s="1"/>
  <c r="K430" i="2" a="1"/>
  <c r="K430" i="2" s="1"/>
  <c r="K431" i="2" a="1"/>
  <c r="K431" i="2"/>
  <c r="K432" i="2" a="1"/>
  <c r="K432" i="2"/>
  <c r="K433" i="2" a="1"/>
  <c r="K433" i="2"/>
  <c r="K434" i="2" a="1"/>
  <c r="K434" i="2"/>
  <c r="K435" i="2" a="1"/>
  <c r="K435" i="2" s="1"/>
  <c r="K436" i="2" a="1"/>
  <c r="K436" i="2" s="1"/>
  <c r="K437" i="2" a="1"/>
  <c r="K437" i="2"/>
  <c r="K438" i="2" a="1"/>
  <c r="K438" i="2"/>
  <c r="K439" i="2" a="1"/>
  <c r="K439" i="2"/>
  <c r="K440" i="2" a="1"/>
  <c r="K440" i="2"/>
  <c r="K441" i="2" a="1"/>
  <c r="K441" i="2" s="1"/>
  <c r="K442" i="2" a="1"/>
  <c r="K442" i="2" s="1"/>
  <c r="K443" i="2" a="1"/>
  <c r="K443" i="2"/>
  <c r="K444" i="2" a="1"/>
  <c r="K444" i="2"/>
  <c r="K445" i="2" a="1"/>
  <c r="K445" i="2"/>
  <c r="K446" i="2" a="1"/>
  <c r="K446" i="2"/>
  <c r="K447" i="2" a="1"/>
  <c r="K447" i="2" s="1"/>
  <c r="K448" i="2" a="1"/>
  <c r="K448" i="2" s="1"/>
  <c r="K449" i="2" a="1"/>
  <c r="K449" i="2"/>
  <c r="K450" i="2" a="1"/>
  <c r="K450" i="2"/>
  <c r="K451" i="2" a="1"/>
  <c r="K451" i="2"/>
  <c r="K452" i="2" a="1"/>
  <c r="K452" i="2"/>
  <c r="K453" i="2" a="1"/>
  <c r="K453" i="2" s="1"/>
  <c r="K454" i="2" a="1"/>
  <c r="K454" i="2" s="1"/>
  <c r="K455" i="2" a="1"/>
  <c r="K455" i="2"/>
  <c r="K456" i="2" a="1"/>
  <c r="K456" i="2"/>
  <c r="K457" i="2" a="1"/>
  <c r="K457" i="2"/>
  <c r="K458" i="2" a="1"/>
  <c r="K458" i="2"/>
  <c r="K459" i="2" a="1"/>
  <c r="K459" i="2" s="1"/>
  <c r="K460" i="2" a="1"/>
  <c r="K460" i="2" s="1"/>
  <c r="K461" i="2" a="1"/>
  <c r="K461" i="2"/>
  <c r="K462" i="2" a="1"/>
  <c r="K462" i="2"/>
  <c r="K463" i="2" a="1"/>
  <c r="K463" i="2"/>
  <c r="K464" i="2" a="1"/>
  <c r="K464" i="2"/>
  <c r="K465" i="2" a="1"/>
  <c r="K465" i="2" s="1"/>
  <c r="K466" i="2" a="1"/>
  <c r="K466" i="2" s="1"/>
  <c r="K467" i="2" a="1"/>
  <c r="K467" i="2"/>
  <c r="K468" i="2" a="1"/>
  <c r="K468" i="2"/>
  <c r="K469" i="2" a="1"/>
  <c r="K469" i="2"/>
  <c r="K470" i="2" a="1"/>
  <c r="K470" i="2"/>
  <c r="K471" i="2" a="1"/>
  <c r="K471" i="2" s="1"/>
  <c r="K472" i="2" a="1"/>
  <c r="K472" i="2" s="1"/>
  <c r="K473" i="2" a="1"/>
  <c r="K473" i="2"/>
  <c r="K474" i="2" a="1"/>
  <c r="K474" i="2"/>
  <c r="K475" i="2" a="1"/>
  <c r="K475" i="2"/>
  <c r="K476" i="2" a="1"/>
  <c r="K476" i="2"/>
  <c r="K477" i="2" a="1"/>
  <c r="K477" i="2" s="1"/>
  <c r="K478" i="2" a="1"/>
  <c r="K478" i="2" s="1"/>
  <c r="K479" i="2" a="1"/>
  <c r="K479" i="2"/>
  <c r="K480" i="2" a="1"/>
  <c r="K480" i="2"/>
  <c r="K481" i="2" a="1"/>
  <c r="K481" i="2"/>
  <c r="K482" i="2" a="1"/>
  <c r="K482" i="2"/>
  <c r="K483" i="2" a="1"/>
  <c r="K483" i="2" s="1"/>
  <c r="K484" i="2" a="1"/>
  <c r="K484" i="2" s="1"/>
  <c r="K485" i="2" a="1"/>
  <c r="K485" i="2"/>
  <c r="K486" i="2" a="1"/>
  <c r="K486" i="2"/>
  <c r="K487" i="2" a="1"/>
  <c r="K487" i="2"/>
  <c r="K488" i="2" a="1"/>
  <c r="K488" i="2"/>
  <c r="K489" i="2" a="1"/>
  <c r="K489" i="2" s="1"/>
  <c r="K490" i="2" a="1"/>
  <c r="K490" i="2" s="1"/>
  <c r="K491" i="2" a="1"/>
  <c r="K491" i="2"/>
  <c r="K492" i="2" a="1"/>
  <c r="K492" i="2"/>
  <c r="K493" i="2" a="1"/>
  <c r="K493" i="2"/>
  <c r="K494" i="2" a="1"/>
  <c r="K494" i="2"/>
  <c r="K495" i="2" a="1"/>
  <c r="K495" i="2" s="1"/>
  <c r="K496" i="2" a="1"/>
  <c r="K496" i="2" s="1"/>
  <c r="K497" i="2" a="1"/>
  <c r="K497" i="2"/>
  <c r="K498" i="2" a="1"/>
  <c r="K498" i="2"/>
  <c r="K499" i="2" a="1"/>
  <c r="K499" i="2"/>
  <c r="K500" i="2" a="1"/>
  <c r="K500" i="2"/>
  <c r="K501" i="2" a="1"/>
  <c r="K501" i="2" s="1"/>
  <c r="K2" i="2" a="1"/>
  <c r="K2" i="2" s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G360" i="2" s="1"/>
  <c r="H360" i="2" s="1"/>
  <c r="C361" i="2"/>
  <c r="G361" i="2" s="1"/>
  <c r="H361" i="2" s="1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2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3" i="2"/>
  <c r="A4" i="2"/>
  <c r="A5" i="2"/>
  <c r="A6" i="2"/>
  <c r="A7" i="2"/>
  <c r="A2" i="2"/>
  <c r="A500" i="1"/>
  <c r="A50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F123" i="3" l="1"/>
  <c r="F376" i="3"/>
  <c r="F232" i="3"/>
  <c r="F262" i="3"/>
  <c r="F268" i="3"/>
  <c r="F160" i="3"/>
  <c r="F88" i="3"/>
  <c r="F231" i="3"/>
  <c r="F15" i="3"/>
  <c r="F78" i="3"/>
  <c r="F30" i="3"/>
  <c r="F473" i="3"/>
  <c r="F401" i="3"/>
  <c r="F185" i="3"/>
  <c r="F161" i="3"/>
  <c r="F137" i="3"/>
  <c r="F89" i="3"/>
  <c r="F456" i="3"/>
  <c r="F446" i="3"/>
  <c r="F398" i="3"/>
  <c r="F362" i="3"/>
  <c r="F314" i="3"/>
  <c r="F290" i="3"/>
  <c r="F254" i="3"/>
  <c r="F206" i="3"/>
  <c r="F146" i="3"/>
  <c r="F98" i="3"/>
  <c r="F62" i="3"/>
  <c r="F14" i="3"/>
  <c r="F486" i="3"/>
  <c r="F474" i="3"/>
  <c r="F414" i="3"/>
  <c r="F330" i="3"/>
  <c r="F270" i="3"/>
  <c r="F222" i="3"/>
  <c r="F174" i="3"/>
  <c r="F329" i="3"/>
  <c r="F156" i="3"/>
  <c r="F481" i="3"/>
  <c r="F445" i="3"/>
  <c r="F361" i="3"/>
  <c r="F313" i="3"/>
  <c r="F289" i="3"/>
  <c r="F253" i="3"/>
  <c r="F205" i="3"/>
  <c r="F145" i="3"/>
  <c r="F121" i="3"/>
  <c r="F97" i="3"/>
  <c r="F61" i="3"/>
  <c r="F464" i="3"/>
  <c r="F440" i="3"/>
  <c r="F368" i="3"/>
  <c r="F296" i="3"/>
  <c r="F260" i="3"/>
  <c r="F188" i="3"/>
  <c r="F116" i="3"/>
  <c r="F44" i="3"/>
  <c r="F8" i="3"/>
  <c r="F490" i="3"/>
  <c r="F478" i="3"/>
  <c r="F442" i="3"/>
  <c r="F418" i="3"/>
  <c r="F370" i="3"/>
  <c r="F358" i="3"/>
  <c r="F346" i="3"/>
  <c r="F334" i="3"/>
  <c r="F298" i="3"/>
  <c r="F286" i="3"/>
  <c r="F274" i="3"/>
  <c r="F226" i="3"/>
  <c r="F190" i="3"/>
  <c r="F178" i="3"/>
  <c r="F142" i="3"/>
  <c r="F130" i="3"/>
  <c r="F94" i="3"/>
  <c r="F82" i="3"/>
  <c r="F34" i="3"/>
  <c r="F10" i="3"/>
  <c r="E373" i="3"/>
  <c r="F373" i="3"/>
  <c r="E301" i="3"/>
  <c r="F301" i="3"/>
  <c r="F157" i="3"/>
  <c r="E157" i="3"/>
  <c r="E109" i="3"/>
  <c r="F109" i="3"/>
  <c r="F49" i="3"/>
  <c r="E49" i="3"/>
  <c r="F13" i="3"/>
  <c r="E13" i="3"/>
  <c r="E445" i="3"/>
  <c r="F325" i="3"/>
  <c r="E359" i="3"/>
  <c r="F359" i="3"/>
  <c r="E347" i="3"/>
  <c r="F347" i="3"/>
  <c r="E287" i="3"/>
  <c r="F287" i="3"/>
  <c r="E275" i="3"/>
  <c r="F275" i="3"/>
  <c r="F455" i="3"/>
  <c r="F397" i="3"/>
  <c r="E481" i="3"/>
  <c r="E121" i="3"/>
  <c r="F323" i="3"/>
  <c r="F229" i="3"/>
  <c r="F85" i="3"/>
  <c r="E145" i="3"/>
  <c r="F395" i="3"/>
  <c r="F181" i="3"/>
  <c r="F133" i="3"/>
  <c r="F37" i="3"/>
  <c r="E361" i="3"/>
  <c r="E253" i="3"/>
  <c r="F32" i="3"/>
  <c r="F479" i="3"/>
  <c r="F277" i="3"/>
  <c r="F469" i="3"/>
  <c r="E289" i="3"/>
  <c r="F217" i="3"/>
  <c r="F467" i="3"/>
  <c r="F265" i="3"/>
  <c r="F169" i="3"/>
  <c r="F25" i="3"/>
  <c r="E61" i="3"/>
  <c r="E313" i="3"/>
  <c r="F495" i="3"/>
  <c r="E495" i="3"/>
  <c r="E483" i="3"/>
  <c r="F483" i="3"/>
  <c r="F471" i="3"/>
  <c r="E471" i="3"/>
  <c r="F459" i="3"/>
  <c r="E459" i="3"/>
  <c r="F447" i="3"/>
  <c r="E447" i="3"/>
  <c r="E435" i="3"/>
  <c r="F435" i="3"/>
  <c r="F411" i="3"/>
  <c r="E411" i="3"/>
  <c r="E387" i="3"/>
  <c r="F387" i="3"/>
  <c r="F375" i="3"/>
  <c r="E375" i="3"/>
  <c r="F363" i="3"/>
  <c r="E363" i="3"/>
  <c r="F351" i="3"/>
  <c r="E351" i="3"/>
  <c r="E339" i="3"/>
  <c r="F339" i="3"/>
  <c r="F327" i="3"/>
  <c r="E327" i="3"/>
  <c r="F303" i="3"/>
  <c r="E303" i="3"/>
  <c r="E291" i="3"/>
  <c r="F291" i="3"/>
  <c r="F279" i="3"/>
  <c r="E279" i="3"/>
  <c r="F267" i="3"/>
  <c r="E267" i="3"/>
  <c r="F255" i="3"/>
  <c r="E255" i="3"/>
  <c r="E243" i="3"/>
  <c r="F243" i="3"/>
  <c r="F219" i="3"/>
  <c r="E219" i="3"/>
  <c r="E195" i="3"/>
  <c r="F195" i="3"/>
  <c r="F183" i="3"/>
  <c r="E183" i="3"/>
  <c r="F171" i="3"/>
  <c r="E171" i="3"/>
  <c r="F159" i="3"/>
  <c r="E159" i="3"/>
  <c r="E147" i="3"/>
  <c r="F147" i="3"/>
  <c r="F135" i="3"/>
  <c r="E135" i="3"/>
  <c r="F111" i="3"/>
  <c r="E111" i="3"/>
  <c r="E99" i="3"/>
  <c r="F99" i="3"/>
  <c r="F87" i="3"/>
  <c r="E87" i="3"/>
  <c r="F75" i="3"/>
  <c r="E75" i="3"/>
  <c r="F63" i="3"/>
  <c r="E63" i="3"/>
  <c r="E51" i="3"/>
  <c r="F51" i="3"/>
  <c r="F27" i="3"/>
  <c r="E27" i="3"/>
  <c r="F3" i="3"/>
  <c r="E3" i="3"/>
  <c r="F494" i="3"/>
  <c r="F410" i="3"/>
  <c r="F337" i="3"/>
  <c r="E206" i="3"/>
  <c r="E97" i="3"/>
  <c r="F457" i="3"/>
  <c r="E457" i="3"/>
  <c r="E433" i="3"/>
  <c r="F433" i="3"/>
  <c r="E385" i="3"/>
  <c r="F385" i="3"/>
  <c r="F241" i="3"/>
  <c r="E241" i="3"/>
  <c r="E193" i="3"/>
  <c r="F193" i="3"/>
  <c r="E491" i="3"/>
  <c r="F491" i="3"/>
  <c r="E443" i="3"/>
  <c r="F443" i="3"/>
  <c r="E431" i="3"/>
  <c r="F431" i="3"/>
  <c r="E419" i="3"/>
  <c r="F419" i="3"/>
  <c r="E371" i="3"/>
  <c r="F371" i="3"/>
  <c r="E299" i="3"/>
  <c r="F299" i="3"/>
  <c r="F349" i="3"/>
  <c r="F421" i="3"/>
  <c r="F73" i="3"/>
  <c r="E470" i="3"/>
  <c r="F470" i="3"/>
  <c r="E458" i="3"/>
  <c r="F458" i="3"/>
  <c r="F434" i="3"/>
  <c r="E434" i="3"/>
  <c r="E386" i="3"/>
  <c r="F386" i="3"/>
  <c r="E374" i="3"/>
  <c r="F374" i="3"/>
  <c r="E326" i="3"/>
  <c r="F326" i="3"/>
  <c r="F302" i="3"/>
  <c r="E302" i="3"/>
  <c r="E242" i="3"/>
  <c r="F242" i="3"/>
  <c r="F194" i="3"/>
  <c r="E194" i="3"/>
  <c r="F158" i="3"/>
  <c r="E158" i="3"/>
  <c r="E110" i="3"/>
  <c r="F110" i="3"/>
  <c r="E50" i="3"/>
  <c r="F50" i="3"/>
  <c r="F493" i="3"/>
  <c r="F409" i="3"/>
  <c r="F311" i="3"/>
  <c r="E446" i="3"/>
  <c r="E205" i="3"/>
  <c r="E454" i="3"/>
  <c r="F406" i="3"/>
  <c r="E357" i="3"/>
  <c r="E261" i="3"/>
  <c r="E21" i="3"/>
  <c r="F477" i="3"/>
  <c r="F405" i="3"/>
  <c r="E478" i="3"/>
  <c r="E286" i="3"/>
  <c r="E178" i="3"/>
  <c r="E500" i="3"/>
  <c r="E464" i="3"/>
  <c r="E356" i="3"/>
  <c r="E260" i="3"/>
  <c r="E116" i="3"/>
  <c r="E80" i="3"/>
  <c r="F404" i="3"/>
  <c r="F403" i="3"/>
  <c r="F345" i="3"/>
  <c r="F331" i="3"/>
  <c r="F2" i="3"/>
  <c r="F488" i="3"/>
  <c r="F430" i="3"/>
  <c r="F416" i="3"/>
  <c r="F402" i="3"/>
  <c r="F344" i="3"/>
  <c r="F272" i="3"/>
  <c r="F224" i="3"/>
  <c r="F176" i="3"/>
  <c r="F128" i="3"/>
  <c r="F80" i="3"/>
  <c r="E473" i="3"/>
  <c r="E346" i="3"/>
  <c r="E238" i="3"/>
  <c r="E173" i="3"/>
  <c r="E130" i="3"/>
  <c r="E89" i="3"/>
  <c r="E46" i="3"/>
  <c r="E370" i="3"/>
  <c r="E94" i="3"/>
  <c r="E10" i="3"/>
  <c r="E440" i="3"/>
  <c r="E368" i="3"/>
  <c r="E296" i="3"/>
  <c r="E32" i="3"/>
  <c r="F476" i="3"/>
  <c r="F332" i="3"/>
  <c r="E285" i="3"/>
  <c r="E177" i="3"/>
  <c r="E93" i="3"/>
  <c r="F129" i="3"/>
  <c r="E485" i="3"/>
  <c r="F269" i="3"/>
  <c r="F257" i="3"/>
  <c r="E245" i="3"/>
  <c r="F245" i="3"/>
  <c r="F233" i="3"/>
  <c r="E197" i="3"/>
  <c r="F197" i="3"/>
  <c r="E149" i="3"/>
  <c r="F149" i="3"/>
  <c r="E101" i="3"/>
  <c r="F101" i="3"/>
  <c r="F77" i="3"/>
  <c r="F65" i="3"/>
  <c r="E53" i="3"/>
  <c r="F53" i="3"/>
  <c r="F41" i="3"/>
  <c r="F501" i="3"/>
  <c r="F487" i="3"/>
  <c r="F429" i="3"/>
  <c r="F415" i="3"/>
  <c r="F357" i="3"/>
  <c r="F343" i="3"/>
  <c r="F271" i="3"/>
  <c r="F223" i="3"/>
  <c r="F175" i="3"/>
  <c r="F127" i="3"/>
  <c r="F79" i="3"/>
  <c r="F31" i="3"/>
  <c r="E472" i="3"/>
  <c r="E256" i="3"/>
  <c r="E237" i="3"/>
  <c r="E172" i="3"/>
  <c r="E88" i="3"/>
  <c r="E64" i="3"/>
  <c r="E45" i="3"/>
  <c r="E358" i="3"/>
  <c r="E262" i="3"/>
  <c r="E188" i="3"/>
  <c r="E44" i="3"/>
  <c r="E8" i="3"/>
  <c r="F475" i="3"/>
  <c r="F496" i="3"/>
  <c r="E484" i="3"/>
  <c r="F484" i="3"/>
  <c r="F448" i="3"/>
  <c r="E436" i="3"/>
  <c r="F436" i="3"/>
  <c r="F424" i="3"/>
  <c r="F412" i="3"/>
  <c r="F400" i="3"/>
  <c r="E388" i="3"/>
  <c r="F388" i="3"/>
  <c r="F364" i="3"/>
  <c r="E340" i="3"/>
  <c r="F340" i="3"/>
  <c r="E292" i="3"/>
  <c r="F292" i="3"/>
  <c r="F280" i="3"/>
  <c r="E244" i="3"/>
  <c r="F244" i="3"/>
  <c r="F208" i="3"/>
  <c r="E196" i="3"/>
  <c r="F196" i="3"/>
  <c r="E148" i="3"/>
  <c r="F148" i="3"/>
  <c r="E100" i="3"/>
  <c r="F100" i="3"/>
  <c r="E52" i="3"/>
  <c r="F52" i="3"/>
  <c r="F500" i="3"/>
  <c r="F428" i="3"/>
  <c r="F356" i="3"/>
  <c r="F342" i="3"/>
  <c r="F284" i="3"/>
  <c r="F126" i="3"/>
  <c r="F108" i="3"/>
  <c r="E215" i="3"/>
  <c r="E179" i="3"/>
  <c r="E155" i="3"/>
  <c r="E131" i="3"/>
  <c r="E71" i="3"/>
  <c r="F11" i="3"/>
  <c r="E11" i="3"/>
  <c r="G334" i="2"/>
  <c r="G94" i="2"/>
  <c r="G6" i="2"/>
  <c r="I6" i="2" s="1"/>
  <c r="G110" i="2"/>
  <c r="H110" i="2" s="1"/>
  <c r="G406" i="2"/>
  <c r="I406" i="2" s="1"/>
  <c r="G154" i="2"/>
  <c r="I154" i="2" s="1"/>
  <c r="G405" i="2"/>
  <c r="I405" i="2" s="1"/>
  <c r="G333" i="2"/>
  <c r="I333" i="2" s="1"/>
  <c r="G285" i="2"/>
  <c r="I285" i="2" s="1"/>
  <c r="G237" i="2"/>
  <c r="I237" i="2" s="1"/>
  <c r="G225" i="2"/>
  <c r="I225" i="2" s="1"/>
  <c r="G201" i="2"/>
  <c r="I201" i="2" s="1"/>
  <c r="G177" i="2"/>
  <c r="G153" i="2"/>
  <c r="G141" i="2"/>
  <c r="H141" i="2" s="1"/>
  <c r="G93" i="2"/>
  <c r="I93" i="2" s="1"/>
  <c r="G81" i="2"/>
  <c r="I81" i="2" s="1"/>
  <c r="G445" i="2"/>
  <c r="H445" i="2" s="1"/>
  <c r="G109" i="2"/>
  <c r="H109" i="2" s="1"/>
  <c r="G25" i="2"/>
  <c r="H25" i="2" s="1"/>
  <c r="G478" i="2"/>
  <c r="I478" i="2" s="1"/>
  <c r="G430" i="2"/>
  <c r="H430" i="2" s="1"/>
  <c r="G286" i="2"/>
  <c r="H286" i="2" s="1"/>
  <c r="G238" i="2"/>
  <c r="I238" i="2" s="1"/>
  <c r="G142" i="2"/>
  <c r="G429" i="2"/>
  <c r="G345" i="2"/>
  <c r="G452" i="2"/>
  <c r="I452" i="2" s="1"/>
  <c r="G428" i="2"/>
  <c r="I428" i="2" s="1"/>
  <c r="G404" i="2"/>
  <c r="I404" i="2" s="1"/>
  <c r="G380" i="2"/>
  <c r="I380" i="2" s="1"/>
  <c r="G332" i="2"/>
  <c r="I332" i="2" s="1"/>
  <c r="G284" i="2"/>
  <c r="H284" i="2" s="1"/>
  <c r="G272" i="2"/>
  <c r="I272" i="2" s="1"/>
  <c r="G236" i="2"/>
  <c r="I236" i="2" s="1"/>
  <c r="G224" i="2"/>
  <c r="H224" i="2" s="1"/>
  <c r="G176" i="2"/>
  <c r="G140" i="2"/>
  <c r="G92" i="2"/>
  <c r="H92" i="2" s="1"/>
  <c r="G80" i="2"/>
  <c r="H80" i="2" s="1"/>
  <c r="G444" i="2"/>
  <c r="H444" i="2" s="1"/>
  <c r="G192" i="2"/>
  <c r="G108" i="2"/>
  <c r="I108" i="2" s="1"/>
  <c r="G24" i="2"/>
  <c r="H24" i="2" s="1"/>
  <c r="G454" i="2"/>
  <c r="H454" i="2" s="1"/>
  <c r="G346" i="2"/>
  <c r="H346" i="2" s="1"/>
  <c r="G202" i="2"/>
  <c r="I202" i="2" s="1"/>
  <c r="G453" i="2"/>
  <c r="H453" i="2" s="1"/>
  <c r="G273" i="2"/>
  <c r="G427" i="2"/>
  <c r="I427" i="2" s="1"/>
  <c r="G403" i="2"/>
  <c r="H403" i="2" s="1"/>
  <c r="G379" i="2"/>
  <c r="H379" i="2" s="1"/>
  <c r="G331" i="2"/>
  <c r="I331" i="2" s="1"/>
  <c r="G223" i="2"/>
  <c r="H223" i="2" s="1"/>
  <c r="G79" i="2"/>
  <c r="H79" i="2" s="1"/>
  <c r="G327" i="2"/>
  <c r="I327" i="2" s="1"/>
  <c r="G219" i="2"/>
  <c r="I219" i="2" s="1"/>
  <c r="G87" i="2"/>
  <c r="I87" i="2" s="1"/>
  <c r="G467" i="2"/>
  <c r="H467" i="2" s="1"/>
  <c r="G494" i="2"/>
  <c r="H494" i="2" s="1"/>
  <c r="G302" i="2"/>
  <c r="H302" i="2" s="1"/>
  <c r="G470" i="2"/>
  <c r="G169" i="2"/>
  <c r="H169" i="2" s="1"/>
  <c r="G159" i="2"/>
  <c r="G469" i="2"/>
  <c r="H469" i="2" s="1"/>
  <c r="G492" i="2"/>
  <c r="H492" i="2" s="1"/>
  <c r="G279" i="2"/>
  <c r="I279" i="2" s="1"/>
  <c r="G468" i="2"/>
  <c r="H468" i="2" s="1"/>
  <c r="G300" i="2"/>
  <c r="I300" i="2" s="1"/>
  <c r="G168" i="2"/>
  <c r="H168" i="2" s="1"/>
  <c r="G493" i="2"/>
  <c r="H493" i="2" s="1"/>
  <c r="G301" i="2"/>
  <c r="I301" i="2" s="1"/>
  <c r="G491" i="2"/>
  <c r="H491" i="2" s="1"/>
  <c r="G479" i="2"/>
  <c r="I479" i="2" s="1"/>
  <c r="G455" i="2"/>
  <c r="G443" i="2"/>
  <c r="H443" i="2" s="1"/>
  <c r="G431" i="2"/>
  <c r="I431" i="2" s="1"/>
  <c r="G419" i="2"/>
  <c r="I419" i="2" s="1"/>
  <c r="G407" i="2"/>
  <c r="H407" i="2" s="1"/>
  <c r="G395" i="2"/>
  <c r="H395" i="2" s="1"/>
  <c r="G383" i="2"/>
  <c r="I383" i="2" s="1"/>
  <c r="G371" i="2"/>
  <c r="H371" i="2" s="1"/>
  <c r="G359" i="2"/>
  <c r="H359" i="2" s="1"/>
  <c r="G347" i="2"/>
  <c r="I347" i="2" s="1"/>
  <c r="G335" i="2"/>
  <c r="G323" i="2"/>
  <c r="H323" i="2" s="1"/>
  <c r="G311" i="2"/>
  <c r="H311" i="2" s="1"/>
  <c r="G299" i="2"/>
  <c r="H299" i="2" s="1"/>
  <c r="G287" i="2"/>
  <c r="H287" i="2" s="1"/>
  <c r="G275" i="2"/>
  <c r="H275" i="2" s="1"/>
  <c r="G263" i="2"/>
  <c r="I263" i="2" s="1"/>
  <c r="G251" i="2"/>
  <c r="H251" i="2" s="1"/>
  <c r="G239" i="2"/>
  <c r="I239" i="2" s="1"/>
  <c r="G227" i="2"/>
  <c r="H227" i="2" s="1"/>
  <c r="G215" i="2"/>
  <c r="H215" i="2" s="1"/>
  <c r="G203" i="2"/>
  <c r="H203" i="2" s="1"/>
  <c r="G191" i="2"/>
  <c r="G179" i="2"/>
  <c r="H179" i="2" s="1"/>
  <c r="G167" i="2"/>
  <c r="H167" i="2" s="1"/>
  <c r="G155" i="2"/>
  <c r="H155" i="2" s="1"/>
  <c r="G143" i="2"/>
  <c r="H143" i="2" s="1"/>
  <c r="G131" i="2"/>
  <c r="H131" i="2" s="1"/>
  <c r="G119" i="2"/>
  <c r="H119" i="2" s="1"/>
  <c r="G107" i="2"/>
  <c r="I107" i="2" s="1"/>
  <c r="G95" i="2"/>
  <c r="H95" i="2" s="1"/>
  <c r="G83" i="2"/>
  <c r="H83" i="2" s="1"/>
  <c r="G71" i="2"/>
  <c r="I71" i="2" s="1"/>
  <c r="G59" i="2"/>
  <c r="H59" i="2" s="1"/>
  <c r="G47" i="2"/>
  <c r="G35" i="2"/>
  <c r="H35" i="2" s="1"/>
  <c r="G23" i="2"/>
  <c r="H23" i="2" s="1"/>
  <c r="G11" i="2"/>
  <c r="G439" i="2"/>
  <c r="H439" i="2" s="1"/>
  <c r="G415" i="2"/>
  <c r="H415" i="2" s="1"/>
  <c r="G391" i="2"/>
  <c r="H391" i="2" s="1"/>
  <c r="G367" i="2"/>
  <c r="H367" i="2" s="1"/>
  <c r="G319" i="2"/>
  <c r="I319" i="2" s="1"/>
  <c r="G283" i="2"/>
  <c r="I283" i="2" s="1"/>
  <c r="G271" i="2"/>
  <c r="H271" i="2" s="1"/>
  <c r="G235" i="2"/>
  <c r="I235" i="2" s="1"/>
  <c r="G187" i="2"/>
  <c r="G175" i="2"/>
  <c r="G139" i="2"/>
  <c r="G127" i="2"/>
  <c r="H127" i="2" s="1"/>
  <c r="G91" i="2"/>
  <c r="I91" i="2" s="1"/>
  <c r="G7" i="2"/>
  <c r="I7" i="2" s="1"/>
  <c r="G399" i="2"/>
  <c r="H399" i="2" s="1"/>
  <c r="G387" i="2"/>
  <c r="I387" i="2" s="1"/>
  <c r="G375" i="2"/>
  <c r="I375" i="2" s="1"/>
  <c r="G363" i="2"/>
  <c r="I363" i="2" s="1"/>
  <c r="G351" i="2"/>
  <c r="I351" i="2" s="1"/>
  <c r="G315" i="2"/>
  <c r="I315" i="2" s="1"/>
  <c r="G303" i="2"/>
  <c r="G267" i="2"/>
  <c r="G255" i="2"/>
  <c r="G231" i="2"/>
  <c r="G207" i="2"/>
  <c r="H207" i="2" s="1"/>
  <c r="G183" i="2"/>
  <c r="H183" i="2" s="1"/>
  <c r="G171" i="2"/>
  <c r="H171" i="2" s="1"/>
  <c r="G135" i="2"/>
  <c r="I135" i="2" s="1"/>
  <c r="G123" i="2"/>
  <c r="I123" i="2" s="1"/>
  <c r="G111" i="2"/>
  <c r="I111" i="2" s="1"/>
  <c r="G75" i="2"/>
  <c r="I75" i="2" s="1"/>
  <c r="G63" i="2"/>
  <c r="H63" i="2" s="1"/>
  <c r="G39" i="2"/>
  <c r="H39" i="2" s="1"/>
  <c r="G27" i="2"/>
  <c r="G483" i="2"/>
  <c r="I483" i="2" s="1"/>
  <c r="G447" i="2"/>
  <c r="I447" i="2" s="1"/>
  <c r="G411" i="2"/>
  <c r="H411" i="2" s="1"/>
  <c r="G339" i="2"/>
  <c r="I339" i="2" s="1"/>
  <c r="G458" i="2"/>
  <c r="I458" i="2" s="1"/>
  <c r="G422" i="2"/>
  <c r="I422" i="2" s="1"/>
  <c r="G386" i="2"/>
  <c r="I386" i="2" s="1"/>
  <c r="G350" i="2"/>
  <c r="H350" i="2" s="1"/>
  <c r="G326" i="2"/>
  <c r="H326" i="2" s="1"/>
  <c r="G314" i="2"/>
  <c r="H314" i="2" s="1"/>
  <c r="G290" i="2"/>
  <c r="I290" i="2" s="1"/>
  <c r="G254" i="2"/>
  <c r="I254" i="2" s="1"/>
  <c r="G242" i="2"/>
  <c r="H242" i="2" s="1"/>
  <c r="G230" i="2"/>
  <c r="I230" i="2" s="1"/>
  <c r="G218" i="2"/>
  <c r="I218" i="2" s="1"/>
  <c r="G206" i="2"/>
  <c r="I206" i="2" s="1"/>
  <c r="G194" i="2"/>
  <c r="H194" i="2" s="1"/>
  <c r="G182" i="2"/>
  <c r="I182" i="2" s="1"/>
  <c r="G170" i="2"/>
  <c r="H170" i="2" s="1"/>
  <c r="G158" i="2"/>
  <c r="H158" i="2" s="1"/>
  <c r="G146" i="2"/>
  <c r="H146" i="2" s="1"/>
  <c r="G134" i="2"/>
  <c r="I134" i="2" s="1"/>
  <c r="G122" i="2"/>
  <c r="I122" i="2" s="1"/>
  <c r="G98" i="2"/>
  <c r="I98" i="2" s="1"/>
  <c r="G86" i="2"/>
  <c r="H86" i="2" s="1"/>
  <c r="G74" i="2"/>
  <c r="H74" i="2" s="1"/>
  <c r="G62" i="2"/>
  <c r="H62" i="2" s="1"/>
  <c r="G50" i="2"/>
  <c r="I50" i="2" s="1"/>
  <c r="G38" i="2"/>
  <c r="I38" i="2" s="1"/>
  <c r="G26" i="2"/>
  <c r="I26" i="2" s="1"/>
  <c r="G14" i="2"/>
  <c r="I14" i="2" s="1"/>
  <c r="G466" i="2"/>
  <c r="H466" i="2" s="1"/>
  <c r="G442" i="2"/>
  <c r="I442" i="2" s="1"/>
  <c r="G418" i="2"/>
  <c r="I418" i="2" s="1"/>
  <c r="G298" i="2"/>
  <c r="H298" i="2" s="1"/>
  <c r="G250" i="2"/>
  <c r="H250" i="2" s="1"/>
  <c r="G190" i="2"/>
  <c r="H190" i="2" s="1"/>
  <c r="G106" i="2"/>
  <c r="I106" i="2" s="1"/>
  <c r="G58" i="2"/>
  <c r="H58" i="2" s="1"/>
  <c r="G46" i="2"/>
  <c r="I46" i="2" s="1"/>
  <c r="G22" i="2"/>
  <c r="H22" i="2" s="1"/>
  <c r="G426" i="2"/>
  <c r="H426" i="2" s="1"/>
  <c r="G402" i="2"/>
  <c r="I402" i="2" s="1"/>
  <c r="G378" i="2"/>
  <c r="H378" i="2" s="1"/>
  <c r="G390" i="2"/>
  <c r="H390" i="2" s="1"/>
  <c r="G413" i="2"/>
  <c r="I413" i="2" s="1"/>
  <c r="G365" i="2"/>
  <c r="I365" i="2" s="1"/>
  <c r="G471" i="2"/>
  <c r="H471" i="2" s="1"/>
  <c r="G435" i="2"/>
  <c r="I435" i="2" s="1"/>
  <c r="G243" i="2"/>
  <c r="H243" i="2" s="1"/>
  <c r="G195" i="2"/>
  <c r="H195" i="2" s="1"/>
  <c r="G147" i="2"/>
  <c r="I147" i="2" s="1"/>
  <c r="G99" i="2"/>
  <c r="I99" i="2" s="1"/>
  <c r="G482" i="2"/>
  <c r="H482" i="2" s="1"/>
  <c r="G446" i="2"/>
  <c r="H446" i="2" s="1"/>
  <c r="G410" i="2"/>
  <c r="H410" i="2" s="1"/>
  <c r="G374" i="2"/>
  <c r="I374" i="2" s="1"/>
  <c r="G338" i="2"/>
  <c r="H338" i="2" s="1"/>
  <c r="G278" i="2"/>
  <c r="I278" i="2" s="1"/>
  <c r="G481" i="2"/>
  <c r="I481" i="2" s="1"/>
  <c r="G457" i="2"/>
  <c r="H457" i="2" s="1"/>
  <c r="G433" i="2"/>
  <c r="G421" i="2"/>
  <c r="H421" i="2" s="1"/>
  <c r="G409" i="2"/>
  <c r="I409" i="2" s="1"/>
  <c r="G397" i="2"/>
  <c r="H397" i="2" s="1"/>
  <c r="G385" i="2"/>
  <c r="H385" i="2" s="1"/>
  <c r="G373" i="2"/>
  <c r="I373" i="2" s="1"/>
  <c r="G349" i="2"/>
  <c r="H349" i="2" s="1"/>
  <c r="G337" i="2"/>
  <c r="H337" i="2" s="1"/>
  <c r="G325" i="2"/>
  <c r="H325" i="2" s="1"/>
  <c r="G313" i="2"/>
  <c r="H313" i="2" s="1"/>
  <c r="G289" i="2"/>
  <c r="I289" i="2" s="1"/>
  <c r="G277" i="2"/>
  <c r="H277" i="2" s="1"/>
  <c r="G265" i="2"/>
  <c r="H265" i="2" s="1"/>
  <c r="G253" i="2"/>
  <c r="I253" i="2" s="1"/>
  <c r="G241" i="2"/>
  <c r="G229" i="2"/>
  <c r="H229" i="2" s="1"/>
  <c r="G217" i="2"/>
  <c r="H217" i="2" s="1"/>
  <c r="G205" i="2"/>
  <c r="I205" i="2" s="1"/>
  <c r="G193" i="2"/>
  <c r="I193" i="2" s="1"/>
  <c r="G181" i="2"/>
  <c r="H181" i="2" s="1"/>
  <c r="G157" i="2"/>
  <c r="H157" i="2" s="1"/>
  <c r="G145" i="2"/>
  <c r="G133" i="2"/>
  <c r="H133" i="2" s="1"/>
  <c r="G121" i="2"/>
  <c r="H121" i="2" s="1"/>
  <c r="G97" i="2"/>
  <c r="I97" i="2" s="1"/>
  <c r="G85" i="2"/>
  <c r="H85" i="2" s="1"/>
  <c r="G73" i="2"/>
  <c r="H73" i="2" s="1"/>
  <c r="G61" i="2"/>
  <c r="I61" i="2" s="1"/>
  <c r="G49" i="2"/>
  <c r="H49" i="2" s="1"/>
  <c r="G37" i="2"/>
  <c r="H37" i="2" s="1"/>
  <c r="G13" i="2"/>
  <c r="I13" i="2" s="1"/>
  <c r="G465" i="2"/>
  <c r="I465" i="2" s="1"/>
  <c r="G441" i="2"/>
  <c r="H441" i="2" s="1"/>
  <c r="G417" i="2"/>
  <c r="I417" i="2" s="1"/>
  <c r="G393" i="2"/>
  <c r="I393" i="2" s="1"/>
  <c r="G321" i="2"/>
  <c r="H321" i="2" s="1"/>
  <c r="G297" i="2"/>
  <c r="I297" i="2" s="1"/>
  <c r="G249" i="2"/>
  <c r="I249" i="2" s="1"/>
  <c r="G189" i="2"/>
  <c r="I189" i="2" s="1"/>
  <c r="G129" i="2"/>
  <c r="H129" i="2" s="1"/>
  <c r="G105" i="2"/>
  <c r="H105" i="2" s="1"/>
  <c r="G57" i="2"/>
  <c r="I57" i="2" s="1"/>
  <c r="G45" i="2"/>
  <c r="I45" i="2" s="1"/>
  <c r="G21" i="2"/>
  <c r="I21" i="2" s="1"/>
  <c r="G9" i="2"/>
  <c r="I9" i="2" s="1"/>
  <c r="G485" i="2"/>
  <c r="I485" i="2" s="1"/>
  <c r="G401" i="2"/>
  <c r="I401" i="2" s="1"/>
  <c r="G377" i="2"/>
  <c r="I377" i="2" s="1"/>
  <c r="G498" i="2"/>
  <c r="I498" i="2" s="1"/>
  <c r="G414" i="2"/>
  <c r="H414" i="2" s="1"/>
  <c r="G366" i="2"/>
  <c r="I366" i="2" s="1"/>
  <c r="G497" i="2"/>
  <c r="I497" i="2" s="1"/>
  <c r="G389" i="2"/>
  <c r="I389" i="2" s="1"/>
  <c r="G495" i="2"/>
  <c r="I495" i="2" s="1"/>
  <c r="G459" i="2"/>
  <c r="H459" i="2" s="1"/>
  <c r="G423" i="2"/>
  <c r="I423" i="2" s="1"/>
  <c r="G291" i="2"/>
  <c r="I291" i="2" s="1"/>
  <c r="G51" i="2"/>
  <c r="I51" i="2" s="1"/>
  <c r="G434" i="2"/>
  <c r="H434" i="2" s="1"/>
  <c r="G398" i="2"/>
  <c r="G362" i="2"/>
  <c r="I362" i="2" s="1"/>
  <c r="G266" i="2"/>
  <c r="H266" i="2" s="1"/>
  <c r="G480" i="2"/>
  <c r="H480" i="2" s="1"/>
  <c r="G456" i="2"/>
  <c r="H456" i="2" s="1"/>
  <c r="G432" i="2"/>
  <c r="I432" i="2" s="1"/>
  <c r="G420" i="2"/>
  <c r="H420" i="2" s="1"/>
  <c r="G408" i="2"/>
  <c r="H408" i="2" s="1"/>
  <c r="G396" i="2"/>
  <c r="I396" i="2" s="1"/>
  <c r="G384" i="2"/>
  <c r="H384" i="2" s="1"/>
  <c r="G372" i="2"/>
  <c r="H372" i="2" s="1"/>
  <c r="G348" i="2"/>
  <c r="I348" i="2" s="1"/>
  <c r="G336" i="2"/>
  <c r="I336" i="2" s="1"/>
  <c r="G324" i="2"/>
  <c r="H324" i="2" s="1"/>
  <c r="G312" i="2"/>
  <c r="I312" i="2" s="1"/>
  <c r="G288" i="2"/>
  <c r="H288" i="2" s="1"/>
  <c r="G276" i="2"/>
  <c r="H276" i="2" s="1"/>
  <c r="G264" i="2"/>
  <c r="I264" i="2" s="1"/>
  <c r="G252" i="2"/>
  <c r="H252" i="2" s="1"/>
  <c r="G240" i="2"/>
  <c r="I240" i="2" s="1"/>
  <c r="G228" i="2"/>
  <c r="H228" i="2" s="1"/>
  <c r="G216" i="2"/>
  <c r="H216" i="2" s="1"/>
  <c r="G204" i="2"/>
  <c r="I204" i="2" s="1"/>
  <c r="G180" i="2"/>
  <c r="I180" i="2" s="1"/>
  <c r="G156" i="2"/>
  <c r="H156" i="2" s="1"/>
  <c r="G144" i="2"/>
  <c r="H144" i="2" s="1"/>
  <c r="G132" i="2"/>
  <c r="H132" i="2" s="1"/>
  <c r="G120" i="2"/>
  <c r="I120" i="2" s="1"/>
  <c r="G96" i="2"/>
  <c r="H96" i="2" s="1"/>
  <c r="G84" i="2"/>
  <c r="H84" i="2" s="1"/>
  <c r="G72" i="2"/>
  <c r="I72" i="2" s="1"/>
  <c r="G60" i="2"/>
  <c r="I60" i="2" s="1"/>
  <c r="G48" i="2"/>
  <c r="I48" i="2" s="1"/>
  <c r="G36" i="2"/>
  <c r="H36" i="2" s="1"/>
  <c r="G12" i="2"/>
  <c r="H12" i="2" s="1"/>
  <c r="G440" i="2"/>
  <c r="I440" i="2" s="1"/>
  <c r="G416" i="2"/>
  <c r="I416" i="2" s="1"/>
  <c r="G392" i="2"/>
  <c r="I392" i="2" s="1"/>
  <c r="G320" i="2"/>
  <c r="H320" i="2" s="1"/>
  <c r="G188" i="2"/>
  <c r="H188" i="2" s="1"/>
  <c r="G128" i="2"/>
  <c r="I128" i="2" s="1"/>
  <c r="G44" i="2"/>
  <c r="I44" i="2" s="1"/>
  <c r="G8" i="2"/>
  <c r="I8" i="2" s="1"/>
  <c r="H455" i="2"/>
  <c r="I455" i="2"/>
  <c r="H335" i="2"/>
  <c r="I335" i="2"/>
  <c r="H187" i="2"/>
  <c r="I187" i="2"/>
  <c r="I255" i="2"/>
  <c r="H255" i="2"/>
  <c r="I334" i="2"/>
  <c r="H334" i="2"/>
  <c r="I94" i="2"/>
  <c r="H94" i="2"/>
  <c r="I92" i="2"/>
  <c r="I303" i="2"/>
  <c r="H303" i="2"/>
  <c r="I231" i="2"/>
  <c r="H231" i="2"/>
  <c r="I27" i="2"/>
  <c r="H27" i="2"/>
  <c r="I177" i="2"/>
  <c r="H177" i="2"/>
  <c r="H479" i="2"/>
  <c r="I345" i="2"/>
  <c r="H345" i="2"/>
  <c r="H175" i="2"/>
  <c r="I175" i="2"/>
  <c r="I267" i="2"/>
  <c r="H267" i="2"/>
  <c r="H142" i="2"/>
  <c r="I142" i="2"/>
  <c r="I429" i="2"/>
  <c r="H429" i="2"/>
  <c r="I153" i="2"/>
  <c r="H153" i="2"/>
  <c r="I176" i="2"/>
  <c r="H176" i="2"/>
  <c r="I121" i="2"/>
  <c r="H57" i="2"/>
  <c r="H485" i="2"/>
  <c r="I140" i="2"/>
  <c r="H140" i="2"/>
  <c r="H139" i="2"/>
  <c r="I139" i="2"/>
  <c r="H47" i="2"/>
  <c r="I47" i="2"/>
  <c r="G358" i="2"/>
  <c r="G214" i="2"/>
  <c r="G130" i="2"/>
  <c r="G34" i="2"/>
  <c r="G489" i="2"/>
  <c r="I360" i="2"/>
  <c r="I323" i="2"/>
  <c r="I299" i="2"/>
  <c r="G490" i="2"/>
  <c r="G274" i="2"/>
  <c r="G178" i="2"/>
  <c r="G309" i="2"/>
  <c r="G213" i="2"/>
  <c r="G69" i="2"/>
  <c r="G500" i="2"/>
  <c r="G200" i="2"/>
  <c r="G116" i="2"/>
  <c r="G20" i="2"/>
  <c r="I35" i="2"/>
  <c r="I195" i="2"/>
  <c r="I141" i="2"/>
  <c r="I311" i="2"/>
  <c r="H11" i="2"/>
  <c r="I11" i="2"/>
  <c r="G310" i="2"/>
  <c r="G118" i="2"/>
  <c r="G357" i="2"/>
  <c r="G261" i="2"/>
  <c r="G464" i="2"/>
  <c r="G344" i="2"/>
  <c r="G164" i="2"/>
  <c r="G68" i="2"/>
  <c r="G499" i="2"/>
  <c r="G487" i="2"/>
  <c r="G475" i="2"/>
  <c r="G463" i="2"/>
  <c r="G451" i="2"/>
  <c r="G355" i="2"/>
  <c r="G343" i="2"/>
  <c r="G307" i="2"/>
  <c r="G295" i="2"/>
  <c r="G259" i="2"/>
  <c r="G247" i="2"/>
  <c r="G211" i="2"/>
  <c r="G199" i="2"/>
  <c r="G163" i="2"/>
  <c r="G151" i="2"/>
  <c r="G115" i="2"/>
  <c r="G103" i="2"/>
  <c r="G67" i="2"/>
  <c r="I491" i="2"/>
  <c r="I167" i="2"/>
  <c r="H427" i="2"/>
  <c r="G394" i="2"/>
  <c r="G322" i="2"/>
  <c r="G226" i="2"/>
  <c r="G10" i="2"/>
  <c r="G501" i="2"/>
  <c r="G369" i="2"/>
  <c r="G488" i="2"/>
  <c r="G356" i="2"/>
  <c r="G296" i="2"/>
  <c r="G212" i="2"/>
  <c r="G486" i="2"/>
  <c r="G474" i="2"/>
  <c r="G462" i="2"/>
  <c r="G450" i="2"/>
  <c r="G438" i="2"/>
  <c r="G354" i="2"/>
  <c r="G342" i="2"/>
  <c r="G330" i="2"/>
  <c r="G318" i="2"/>
  <c r="G306" i="2"/>
  <c r="G294" i="2"/>
  <c r="G282" i="2"/>
  <c r="G270" i="2"/>
  <c r="G258" i="2"/>
  <c r="G246" i="2"/>
  <c r="G234" i="2"/>
  <c r="G222" i="2"/>
  <c r="G210" i="2"/>
  <c r="G198" i="2"/>
  <c r="H452" i="2"/>
  <c r="I470" i="2"/>
  <c r="H470" i="2"/>
  <c r="H192" i="2"/>
  <c r="I192" i="2"/>
  <c r="H191" i="2"/>
  <c r="I191" i="2"/>
  <c r="G370" i="2"/>
  <c r="G262" i="2"/>
  <c r="G70" i="2"/>
  <c r="I361" i="2"/>
  <c r="G477" i="2"/>
  <c r="G117" i="2"/>
  <c r="G33" i="2"/>
  <c r="G476" i="2"/>
  <c r="G248" i="2"/>
  <c r="G104" i="2"/>
  <c r="G32" i="2"/>
  <c r="G473" i="2"/>
  <c r="G461" i="2"/>
  <c r="G449" i="2"/>
  <c r="G437" i="2"/>
  <c r="G425" i="2"/>
  <c r="G353" i="2"/>
  <c r="G341" i="2"/>
  <c r="G329" i="2"/>
  <c r="G317" i="2"/>
  <c r="G305" i="2"/>
  <c r="G293" i="2"/>
  <c r="G281" i="2"/>
  <c r="G269" i="2"/>
  <c r="G257" i="2"/>
  <c r="I302" i="2"/>
  <c r="I273" i="2"/>
  <c r="H273" i="2"/>
  <c r="I159" i="2"/>
  <c r="H159" i="2"/>
  <c r="G2" i="2"/>
  <c r="G382" i="2"/>
  <c r="G166" i="2"/>
  <c r="G82" i="2"/>
  <c r="G381" i="2"/>
  <c r="G165" i="2"/>
  <c r="G368" i="2"/>
  <c r="G308" i="2"/>
  <c r="G260" i="2"/>
  <c r="G152" i="2"/>
  <c r="G56" i="2"/>
  <c r="G496" i="2"/>
  <c r="G484" i="2"/>
  <c r="G472" i="2"/>
  <c r="G460" i="2"/>
  <c r="G448" i="2"/>
  <c r="G436" i="2"/>
  <c r="G424" i="2"/>
  <c r="G412" i="2"/>
  <c r="G400" i="2"/>
  <c r="G388" i="2"/>
  <c r="G376" i="2"/>
  <c r="G364" i="2"/>
  <c r="G352" i="2"/>
  <c r="G340" i="2"/>
  <c r="G328" i="2"/>
  <c r="G316" i="2"/>
  <c r="G304" i="2"/>
  <c r="G292" i="2"/>
  <c r="G280" i="2"/>
  <c r="G268" i="2"/>
  <c r="I23" i="2"/>
  <c r="G55" i="2"/>
  <c r="G43" i="2"/>
  <c r="G31" i="2"/>
  <c r="G19" i="2"/>
  <c r="G186" i="2"/>
  <c r="G174" i="2"/>
  <c r="G162" i="2"/>
  <c r="G150" i="2"/>
  <c r="G138" i="2"/>
  <c r="G126" i="2"/>
  <c r="G114" i="2"/>
  <c r="G102" i="2"/>
  <c r="G90" i="2"/>
  <c r="G78" i="2"/>
  <c r="G66" i="2"/>
  <c r="G54" i="2"/>
  <c r="G42" i="2"/>
  <c r="G30" i="2"/>
  <c r="G18" i="2"/>
  <c r="G245" i="2"/>
  <c r="G233" i="2"/>
  <c r="G221" i="2"/>
  <c r="G209" i="2"/>
  <c r="G197" i="2"/>
  <c r="G185" i="2"/>
  <c r="G173" i="2"/>
  <c r="G161" i="2"/>
  <c r="G149" i="2"/>
  <c r="G137" i="2"/>
  <c r="G125" i="2"/>
  <c r="G113" i="2"/>
  <c r="G101" i="2"/>
  <c r="G89" i="2"/>
  <c r="G77" i="2"/>
  <c r="G65" i="2"/>
  <c r="G53" i="2"/>
  <c r="G41" i="2"/>
  <c r="G29" i="2"/>
  <c r="G17" i="2"/>
  <c r="G5" i="2"/>
  <c r="G256" i="2"/>
  <c r="G244" i="2"/>
  <c r="G232" i="2"/>
  <c r="G220" i="2"/>
  <c r="G208" i="2"/>
  <c r="G196" i="2"/>
  <c r="G184" i="2"/>
  <c r="G172" i="2"/>
  <c r="G160" i="2"/>
  <c r="G148" i="2"/>
  <c r="G136" i="2"/>
  <c r="G124" i="2"/>
  <c r="G112" i="2"/>
  <c r="G100" i="2"/>
  <c r="G88" i="2"/>
  <c r="G76" i="2"/>
  <c r="G64" i="2"/>
  <c r="G52" i="2"/>
  <c r="G40" i="2"/>
  <c r="G28" i="2"/>
  <c r="G16" i="2"/>
  <c r="G4" i="2"/>
  <c r="G15" i="2"/>
  <c r="G3" i="2"/>
  <c r="I119" i="2" l="1"/>
  <c r="I420" i="2"/>
  <c r="I183" i="2"/>
  <c r="I39" i="2"/>
  <c r="I171" i="2"/>
  <c r="I482" i="2"/>
  <c r="I110" i="2"/>
  <c r="H331" i="2"/>
  <c r="I379" i="2"/>
  <c r="I403" i="2"/>
  <c r="H6" i="2"/>
  <c r="I287" i="2"/>
  <c r="I80" i="2"/>
  <c r="I179" i="2"/>
  <c r="H401" i="2"/>
  <c r="H373" i="2"/>
  <c r="I397" i="2"/>
  <c r="I445" i="2"/>
  <c r="I155" i="2"/>
  <c r="I146" i="2"/>
  <c r="H428" i="2"/>
  <c r="I22" i="2"/>
  <c r="H93" i="2"/>
  <c r="I79" i="2"/>
  <c r="H495" i="2"/>
  <c r="H402" i="2"/>
  <c r="H497" i="2"/>
  <c r="I169" i="2"/>
  <c r="H48" i="2"/>
  <c r="I170" i="2"/>
  <c r="I494" i="2"/>
  <c r="H237" i="2"/>
  <c r="I157" i="2"/>
  <c r="H14" i="2"/>
  <c r="I25" i="2"/>
  <c r="I444" i="2"/>
  <c r="H219" i="2"/>
  <c r="H72" i="2"/>
  <c r="H205" i="2"/>
  <c r="I391" i="2"/>
  <c r="I453" i="2"/>
  <c r="I338" i="2"/>
  <c r="H413" i="2"/>
  <c r="H13" i="2"/>
  <c r="I459" i="2"/>
  <c r="H283" i="2"/>
  <c r="H332" i="2"/>
  <c r="H81" i="2"/>
  <c r="H432" i="2"/>
  <c r="I349" i="2"/>
  <c r="H238" i="2"/>
  <c r="H478" i="2"/>
  <c r="H202" i="2"/>
  <c r="H9" i="2"/>
  <c r="H8" i="2"/>
  <c r="H193" i="2"/>
  <c r="I85" i="2"/>
  <c r="I456" i="2"/>
  <c r="H406" i="2"/>
  <c r="I143" i="2"/>
  <c r="H405" i="2"/>
  <c r="H419" i="2"/>
  <c r="H7" i="2"/>
  <c r="I63" i="2"/>
  <c r="I59" i="2"/>
  <c r="I346" i="2"/>
  <c r="H333" i="2"/>
  <c r="H389" i="2"/>
  <c r="H327" i="2"/>
  <c r="H225" i="2"/>
  <c r="H235" i="2"/>
  <c r="I194" i="2"/>
  <c r="H272" i="2"/>
  <c r="I223" i="2"/>
  <c r="I96" i="2"/>
  <c r="H253" i="2"/>
  <c r="H347" i="2"/>
  <c r="I74" i="2"/>
  <c r="H108" i="2"/>
  <c r="H26" i="2"/>
  <c r="H201" i="2"/>
  <c r="H38" i="2"/>
  <c r="H128" i="2"/>
  <c r="I224" i="2"/>
  <c r="H301" i="2"/>
  <c r="I284" i="2"/>
  <c r="I454" i="2"/>
  <c r="I24" i="2"/>
  <c r="H404" i="2"/>
  <c r="I227" i="2"/>
  <c r="I84" i="2"/>
  <c r="I421" i="2"/>
  <c r="I129" i="2"/>
  <c r="I265" i="2"/>
  <c r="H154" i="2"/>
  <c r="I109" i="2"/>
  <c r="I203" i="2"/>
  <c r="H44" i="2"/>
  <c r="I385" i="2"/>
  <c r="I395" i="2"/>
  <c r="H230" i="2"/>
  <c r="I467" i="2"/>
  <c r="H380" i="2"/>
  <c r="H422" i="2"/>
  <c r="I229" i="2"/>
  <c r="H264" i="2"/>
  <c r="I321" i="2"/>
  <c r="H315" i="2"/>
  <c r="I426" i="2"/>
  <c r="H218" i="2"/>
  <c r="I471" i="2"/>
  <c r="H285" i="2"/>
  <c r="H236" i="2"/>
  <c r="I430" i="2"/>
  <c r="H182" i="2"/>
  <c r="I217" i="2"/>
  <c r="I62" i="2"/>
  <c r="I468" i="2"/>
  <c r="H87" i="2"/>
  <c r="I271" i="2"/>
  <c r="H312" i="2"/>
  <c r="H393" i="2"/>
  <c r="H458" i="2"/>
  <c r="I286" i="2"/>
  <c r="H99" i="2"/>
  <c r="I276" i="2"/>
  <c r="H61" i="2"/>
  <c r="I277" i="2"/>
  <c r="H254" i="2"/>
  <c r="H417" i="2"/>
  <c r="H375" i="2"/>
  <c r="I216" i="2"/>
  <c r="H263" i="2"/>
  <c r="I441" i="2"/>
  <c r="I390" i="2"/>
  <c r="H107" i="2"/>
  <c r="I350" i="2"/>
  <c r="H278" i="2"/>
  <c r="I37" i="2"/>
  <c r="H91" i="2"/>
  <c r="H431" i="2"/>
  <c r="H442" i="2"/>
  <c r="H122" i="2"/>
  <c r="H374" i="2"/>
  <c r="I207" i="2"/>
  <c r="H239" i="2"/>
  <c r="I127" i="2"/>
  <c r="I367" i="2"/>
  <c r="H383" i="2"/>
  <c r="I215" i="2"/>
  <c r="H336" i="2"/>
  <c r="H204" i="2"/>
  <c r="H481" i="2"/>
  <c r="H319" i="2"/>
  <c r="H348" i="2"/>
  <c r="H21" i="2"/>
  <c r="H123" i="2"/>
  <c r="I95" i="2"/>
  <c r="I181" i="2"/>
  <c r="H418" i="2"/>
  <c r="I384" i="2"/>
  <c r="H71" i="2"/>
  <c r="I131" i="2"/>
  <c r="I434" i="2"/>
  <c r="I326" i="2"/>
  <c r="I168" i="2"/>
  <c r="I410" i="2"/>
  <c r="H240" i="2"/>
  <c r="I275" i="2"/>
  <c r="H351" i="2"/>
  <c r="H289" i="2"/>
  <c r="I359" i="2"/>
  <c r="I49" i="2"/>
  <c r="I493" i="2"/>
  <c r="I443" i="2"/>
  <c r="I469" i="2"/>
  <c r="I446" i="2"/>
  <c r="I252" i="2"/>
  <c r="I105" i="2"/>
  <c r="H111" i="2"/>
  <c r="I378" i="2"/>
  <c r="I158" i="2"/>
  <c r="H386" i="2"/>
  <c r="H363" i="2"/>
  <c r="H98" i="2"/>
  <c r="H291" i="2"/>
  <c r="H387" i="2"/>
  <c r="I298" i="2"/>
  <c r="I314" i="2"/>
  <c r="I251" i="2"/>
  <c r="I228" i="2"/>
  <c r="H134" i="2"/>
  <c r="I325" i="2"/>
  <c r="H465" i="2"/>
  <c r="I399" i="2"/>
  <c r="I371" i="2"/>
  <c r="H300" i="2"/>
  <c r="I407" i="2"/>
  <c r="I83" i="2"/>
  <c r="H435" i="2"/>
  <c r="H135" i="2"/>
  <c r="I492" i="2"/>
  <c r="H377" i="2"/>
  <c r="I313" i="2"/>
  <c r="I466" i="2"/>
  <c r="I415" i="2"/>
  <c r="H75" i="2"/>
  <c r="I439" i="2"/>
  <c r="H279" i="2"/>
  <c r="H290" i="2"/>
  <c r="H60" i="2"/>
  <c r="H241" i="2"/>
  <c r="I241" i="2"/>
  <c r="H46" i="2"/>
  <c r="I188" i="2"/>
  <c r="H433" i="2"/>
  <c r="I433" i="2"/>
  <c r="I411" i="2"/>
  <c r="I58" i="2"/>
  <c r="I266" i="2"/>
  <c r="I398" i="2"/>
  <c r="H398" i="2"/>
  <c r="H447" i="2"/>
  <c r="H147" i="2"/>
  <c r="I243" i="2"/>
  <c r="I320" i="2"/>
  <c r="I242" i="2"/>
  <c r="H409" i="2"/>
  <c r="H339" i="2"/>
  <c r="H106" i="2"/>
  <c r="H416" i="2"/>
  <c r="I144" i="2"/>
  <c r="H249" i="2"/>
  <c r="I12" i="2"/>
  <c r="H498" i="2"/>
  <c r="I86" i="2"/>
  <c r="I156" i="2"/>
  <c r="I288" i="2"/>
  <c r="I480" i="2"/>
  <c r="H45" i="2"/>
  <c r="H297" i="2"/>
  <c r="I457" i="2"/>
  <c r="I250" i="2"/>
  <c r="H206" i="2"/>
  <c r="H362" i="2"/>
  <c r="H365" i="2"/>
  <c r="I73" i="2"/>
  <c r="H97" i="2"/>
  <c r="H50" i="2"/>
  <c r="H189" i="2"/>
  <c r="H483" i="2"/>
  <c r="I414" i="2"/>
  <c r="H366" i="2"/>
  <c r="H145" i="2"/>
  <c r="I145" i="2"/>
  <c r="H120" i="2"/>
  <c r="I190" i="2"/>
  <c r="I133" i="2"/>
  <c r="H180" i="2"/>
  <c r="H440" i="2"/>
  <c r="I408" i="2"/>
  <c r="H423" i="2"/>
  <c r="H396" i="2"/>
  <c r="I132" i="2"/>
  <c r="H392" i="2"/>
  <c r="H51" i="2"/>
  <c r="I324" i="2"/>
  <c r="I337" i="2"/>
  <c r="I36" i="2"/>
  <c r="I372" i="2"/>
  <c r="I15" i="2"/>
  <c r="H15" i="2"/>
  <c r="H66" i="2"/>
  <c r="I66" i="2"/>
  <c r="I460" i="2"/>
  <c r="H460" i="2"/>
  <c r="H358" i="2"/>
  <c r="I358" i="2"/>
  <c r="I148" i="2"/>
  <c r="H148" i="2"/>
  <c r="H274" i="2"/>
  <c r="I274" i="2"/>
  <c r="H160" i="2"/>
  <c r="I160" i="2"/>
  <c r="H55" i="2"/>
  <c r="I55" i="2"/>
  <c r="H484" i="2"/>
  <c r="I484" i="2"/>
  <c r="H449" i="2"/>
  <c r="I449" i="2"/>
  <c r="H475" i="2"/>
  <c r="I475" i="2"/>
  <c r="H490" i="2"/>
  <c r="I490" i="2"/>
  <c r="I28" i="2"/>
  <c r="H28" i="2"/>
  <c r="H197" i="2"/>
  <c r="I197" i="2"/>
  <c r="H2" i="2"/>
  <c r="I2" i="2"/>
  <c r="I356" i="2"/>
  <c r="H356" i="2"/>
  <c r="H487" i="2"/>
  <c r="I487" i="2"/>
  <c r="I65" i="2"/>
  <c r="H65" i="2"/>
  <c r="H269" i="2"/>
  <c r="I269" i="2"/>
  <c r="H52" i="2"/>
  <c r="I52" i="2"/>
  <c r="H221" i="2"/>
  <c r="I221" i="2"/>
  <c r="I32" i="2"/>
  <c r="H32" i="2"/>
  <c r="H330" i="2"/>
  <c r="I330" i="2"/>
  <c r="H233" i="2"/>
  <c r="I233" i="2"/>
  <c r="I101" i="2"/>
  <c r="H101" i="2"/>
  <c r="I150" i="2"/>
  <c r="H150" i="2"/>
  <c r="H400" i="2"/>
  <c r="I400" i="2"/>
  <c r="H305" i="2"/>
  <c r="I305" i="2"/>
  <c r="I248" i="2"/>
  <c r="H248" i="2"/>
  <c r="H210" i="2"/>
  <c r="I210" i="2"/>
  <c r="H354" i="2"/>
  <c r="I354" i="2"/>
  <c r="H259" i="2"/>
  <c r="I259" i="2"/>
  <c r="I344" i="2"/>
  <c r="H344" i="2"/>
  <c r="I69" i="2"/>
  <c r="H69" i="2"/>
  <c r="I136" i="2"/>
  <c r="H136" i="2"/>
  <c r="H31" i="2"/>
  <c r="I31" i="2"/>
  <c r="I82" i="2"/>
  <c r="H82" i="2"/>
  <c r="I425" i="2"/>
  <c r="H425" i="2"/>
  <c r="H103" i="2"/>
  <c r="I103" i="2"/>
  <c r="I310" i="2"/>
  <c r="H310" i="2"/>
  <c r="I29" i="2"/>
  <c r="H29" i="2"/>
  <c r="H115" i="2"/>
  <c r="I115" i="2"/>
  <c r="H185" i="2"/>
  <c r="I185" i="2"/>
  <c r="H340" i="2"/>
  <c r="I340" i="2"/>
  <c r="H53" i="2"/>
  <c r="I53" i="2"/>
  <c r="I352" i="2"/>
  <c r="H352" i="2"/>
  <c r="I461" i="2"/>
  <c r="H461" i="2"/>
  <c r="H306" i="2"/>
  <c r="I306" i="2"/>
  <c r="I40" i="2"/>
  <c r="H40" i="2"/>
  <c r="H77" i="2"/>
  <c r="I77" i="2"/>
  <c r="I152" i="2"/>
  <c r="H152" i="2"/>
  <c r="I68" i="2"/>
  <c r="H68" i="2"/>
  <c r="H89" i="2"/>
  <c r="I89" i="2"/>
  <c r="I388" i="2"/>
  <c r="H388" i="2"/>
  <c r="I501" i="2"/>
  <c r="H501" i="2"/>
  <c r="H247" i="2"/>
  <c r="I247" i="2"/>
  <c r="I500" i="2"/>
  <c r="H500" i="2"/>
  <c r="H76" i="2"/>
  <c r="I76" i="2"/>
  <c r="I245" i="2"/>
  <c r="H245" i="2"/>
  <c r="I308" i="2"/>
  <c r="H308" i="2"/>
  <c r="H113" i="2"/>
  <c r="I113" i="2"/>
  <c r="H268" i="2"/>
  <c r="I268" i="2"/>
  <c r="H412" i="2"/>
  <c r="I412" i="2"/>
  <c r="I368" i="2"/>
  <c r="H368" i="2"/>
  <c r="I317" i="2"/>
  <c r="H317" i="2"/>
  <c r="I476" i="2"/>
  <c r="H476" i="2"/>
  <c r="H222" i="2"/>
  <c r="I222" i="2"/>
  <c r="H438" i="2"/>
  <c r="I438" i="2"/>
  <c r="I10" i="2"/>
  <c r="H10" i="2"/>
  <c r="H295" i="2"/>
  <c r="I295" i="2"/>
  <c r="I464" i="2"/>
  <c r="H464" i="2"/>
  <c r="I213" i="2"/>
  <c r="H213" i="2"/>
  <c r="I489" i="2"/>
  <c r="H489" i="2"/>
  <c r="I316" i="2"/>
  <c r="H316" i="2"/>
  <c r="H270" i="2"/>
  <c r="I270" i="2"/>
  <c r="H451" i="2"/>
  <c r="I451" i="2"/>
  <c r="H178" i="2"/>
  <c r="I178" i="2"/>
  <c r="H78" i="2"/>
  <c r="I78" i="2"/>
  <c r="I41" i="2"/>
  <c r="H41" i="2"/>
  <c r="H382" i="2"/>
  <c r="I382" i="2"/>
  <c r="H294" i="2"/>
  <c r="I294" i="2"/>
  <c r="I262" i="2"/>
  <c r="H262" i="2"/>
  <c r="H114" i="2"/>
  <c r="I114" i="2"/>
  <c r="H318" i="2"/>
  <c r="I318" i="2"/>
  <c r="I126" i="2"/>
  <c r="H126" i="2"/>
  <c r="H211" i="2"/>
  <c r="I211" i="2"/>
  <c r="I200" i="2"/>
  <c r="H200" i="2"/>
  <c r="I293" i="2"/>
  <c r="H293" i="2"/>
  <c r="I164" i="2"/>
  <c r="H164" i="2"/>
  <c r="H88" i="2"/>
  <c r="I88" i="2"/>
  <c r="I18" i="2"/>
  <c r="H18" i="2"/>
  <c r="I244" i="2"/>
  <c r="H244" i="2"/>
  <c r="H30" i="2"/>
  <c r="I30" i="2"/>
  <c r="I280" i="2"/>
  <c r="H280" i="2"/>
  <c r="I165" i="2"/>
  <c r="H165" i="2"/>
  <c r="H329" i="2"/>
  <c r="I329" i="2"/>
  <c r="I234" i="2"/>
  <c r="H234" i="2"/>
  <c r="I450" i="2"/>
  <c r="H450" i="2"/>
  <c r="I226" i="2"/>
  <c r="H226" i="2"/>
  <c r="H307" i="2"/>
  <c r="I307" i="2"/>
  <c r="I261" i="2"/>
  <c r="H261" i="2"/>
  <c r="I309" i="2"/>
  <c r="H309" i="2"/>
  <c r="H34" i="2"/>
  <c r="I34" i="2"/>
  <c r="H161" i="2"/>
  <c r="I161" i="2"/>
  <c r="I4" i="2"/>
  <c r="H4" i="2"/>
  <c r="H43" i="2"/>
  <c r="I43" i="2"/>
  <c r="I472" i="2"/>
  <c r="H472" i="2"/>
  <c r="H437" i="2"/>
  <c r="I437" i="2"/>
  <c r="H282" i="2"/>
  <c r="I282" i="2"/>
  <c r="H463" i="2"/>
  <c r="I463" i="2"/>
  <c r="H90" i="2"/>
  <c r="I90" i="2"/>
  <c r="H70" i="2"/>
  <c r="I70" i="2"/>
  <c r="I296" i="2"/>
  <c r="H296" i="2"/>
  <c r="H151" i="2"/>
  <c r="I151" i="2"/>
  <c r="I172" i="2"/>
  <c r="H172" i="2"/>
  <c r="H102" i="2"/>
  <c r="I102" i="2"/>
  <c r="I496" i="2"/>
  <c r="H496" i="2"/>
  <c r="I257" i="2"/>
  <c r="H257" i="2"/>
  <c r="H163" i="2"/>
  <c r="I163" i="2"/>
  <c r="I20" i="2"/>
  <c r="H20" i="2"/>
  <c r="H184" i="2"/>
  <c r="I184" i="2"/>
  <c r="I364" i="2"/>
  <c r="H364" i="2"/>
  <c r="I473" i="2"/>
  <c r="H473" i="2"/>
  <c r="H199" i="2"/>
  <c r="I199" i="2"/>
  <c r="I116" i="2"/>
  <c r="H116" i="2"/>
  <c r="I369" i="2"/>
  <c r="H369" i="2"/>
  <c r="I208" i="2"/>
  <c r="H208" i="2"/>
  <c r="H138" i="2"/>
  <c r="I138" i="2"/>
  <c r="I260" i="2"/>
  <c r="H260" i="2"/>
  <c r="I104" i="2"/>
  <c r="H104" i="2"/>
  <c r="I342" i="2"/>
  <c r="H342" i="2"/>
  <c r="H220" i="2"/>
  <c r="I220" i="2"/>
  <c r="H232" i="2"/>
  <c r="I232" i="2"/>
  <c r="H162" i="2"/>
  <c r="I162" i="2"/>
  <c r="I100" i="2"/>
  <c r="H100" i="2"/>
  <c r="H125" i="2"/>
  <c r="I125" i="2"/>
  <c r="H174" i="2"/>
  <c r="I174" i="2"/>
  <c r="I424" i="2"/>
  <c r="H424" i="2"/>
  <c r="I33" i="2"/>
  <c r="H33" i="2"/>
  <c r="H112" i="2"/>
  <c r="I112" i="2"/>
  <c r="I256" i="2"/>
  <c r="H256" i="2"/>
  <c r="I137" i="2"/>
  <c r="H137" i="2"/>
  <c r="I42" i="2"/>
  <c r="H42" i="2"/>
  <c r="H186" i="2"/>
  <c r="I186" i="2"/>
  <c r="H292" i="2"/>
  <c r="I292" i="2"/>
  <c r="H436" i="2"/>
  <c r="I436" i="2"/>
  <c r="I381" i="2"/>
  <c r="H381" i="2"/>
  <c r="H341" i="2"/>
  <c r="I341" i="2"/>
  <c r="I117" i="2"/>
  <c r="H117" i="2"/>
  <c r="H246" i="2"/>
  <c r="I246" i="2"/>
  <c r="H462" i="2"/>
  <c r="I462" i="2"/>
  <c r="H322" i="2"/>
  <c r="I322" i="2"/>
  <c r="H343" i="2"/>
  <c r="I343" i="2"/>
  <c r="I357" i="2"/>
  <c r="H357" i="2"/>
  <c r="I130" i="2"/>
  <c r="H130" i="2"/>
  <c r="H17" i="2"/>
  <c r="I17" i="2"/>
  <c r="H486" i="2"/>
  <c r="I486" i="2"/>
  <c r="I173" i="2"/>
  <c r="H173" i="2"/>
  <c r="H328" i="2"/>
  <c r="I328" i="2"/>
  <c r="H166" i="2"/>
  <c r="I166" i="2"/>
  <c r="I212" i="2"/>
  <c r="H212" i="2"/>
  <c r="H16" i="2"/>
  <c r="I16" i="2"/>
  <c r="I209" i="2"/>
  <c r="H209" i="2"/>
  <c r="I56" i="2"/>
  <c r="H56" i="2"/>
  <c r="I370" i="2"/>
  <c r="H370" i="2"/>
  <c r="I488" i="2"/>
  <c r="H488" i="2"/>
  <c r="H499" i="2"/>
  <c r="I499" i="2"/>
  <c r="H196" i="2"/>
  <c r="I196" i="2"/>
  <c r="H376" i="2"/>
  <c r="I376" i="2"/>
  <c r="I281" i="2"/>
  <c r="H281" i="2"/>
  <c r="I64" i="2"/>
  <c r="H64" i="2"/>
  <c r="H198" i="2"/>
  <c r="I198" i="2"/>
  <c r="I3" i="2"/>
  <c r="H3" i="2"/>
  <c r="H124" i="2"/>
  <c r="I124" i="2"/>
  <c r="I5" i="2"/>
  <c r="H5" i="2"/>
  <c r="I149" i="2"/>
  <c r="H149" i="2"/>
  <c r="H54" i="2"/>
  <c r="I54" i="2"/>
  <c r="H19" i="2"/>
  <c r="I19" i="2"/>
  <c r="H304" i="2"/>
  <c r="I304" i="2"/>
  <c r="H448" i="2"/>
  <c r="I448" i="2"/>
  <c r="I353" i="2"/>
  <c r="H353" i="2"/>
  <c r="I477" i="2"/>
  <c r="H477" i="2"/>
  <c r="I258" i="2"/>
  <c r="H258" i="2"/>
  <c r="I474" i="2"/>
  <c r="H474" i="2"/>
  <c r="H394" i="2"/>
  <c r="I394" i="2"/>
  <c r="H67" i="2"/>
  <c r="I67" i="2"/>
  <c r="H355" i="2"/>
  <c r="I355" i="2"/>
  <c r="I118" i="2"/>
  <c r="H118" i="2"/>
  <c r="H214" i="2"/>
  <c r="I214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<sst xmlns="http://schemas.openxmlformats.org/spreadsheetml/2006/main" count="1037" uniqueCount="39">
  <si>
    <t>Applicant_ID</t>
  </si>
  <si>
    <t>Age</t>
  </si>
  <si>
    <t>Annual_Income</t>
  </si>
  <si>
    <t>Employment_Type</t>
  </si>
  <si>
    <t>Employment_Years</t>
  </si>
  <si>
    <t>Credit_Score</t>
  </si>
  <si>
    <t>Existing_Loans</t>
  </si>
  <si>
    <t>Loan_Amount_Requested</t>
  </si>
  <si>
    <t>Loan_Tenure_Years</t>
  </si>
  <si>
    <t>Monthly_EMI_Obligation</t>
  </si>
  <si>
    <t>Collateral_Value</t>
  </si>
  <si>
    <t>Defaulter_History</t>
  </si>
  <si>
    <t>Business</t>
  </si>
  <si>
    <t>No</t>
  </si>
  <si>
    <t>Self-Employed</t>
  </si>
  <si>
    <t>Yes</t>
  </si>
  <si>
    <t>Salaried</t>
  </si>
  <si>
    <t>Age_Check</t>
  </si>
  <si>
    <t>Income_Check</t>
  </si>
  <si>
    <t>CreditScore_Check</t>
  </si>
  <si>
    <t>Employment_Check</t>
  </si>
  <si>
    <t>Defaulter_Check</t>
  </si>
  <si>
    <t>All_Eligible</t>
  </si>
  <si>
    <t>Eligibility_Status</t>
  </si>
  <si>
    <t>Reason</t>
  </si>
  <si>
    <t>Age_Score</t>
  </si>
  <si>
    <t>Income_Score</t>
  </si>
  <si>
    <t>EmpYrs_Score</t>
  </si>
  <si>
    <t>CreditScore_Raw</t>
  </si>
  <si>
    <t>ExistingLoans_Score</t>
  </si>
  <si>
    <t>Collateral_Score</t>
  </si>
  <si>
    <t xml:space="preserve">Defaulter_Score	</t>
  </si>
  <si>
    <t>Composite_Score</t>
  </si>
  <si>
    <t xml:space="preserve">Score_Out_Of	</t>
  </si>
  <si>
    <t>Remarks</t>
  </si>
  <si>
    <t>Eligibility</t>
  </si>
  <si>
    <t>Decision</t>
  </si>
  <si>
    <t>Score_Band</t>
  </si>
  <si>
    <t>Final_Status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</si>
</sst>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14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E2A832-E995-4D62-950F-798B86B8AAB6}" name="ApplicantData" displayName="ApplicantData" ref="A1:L501" totalsRowShown="0" headerRowDxfId="13" dataDxfId="12">
  <autoFilter ref="A1:L501" xr:uid="{47E2A832-E995-4D62-950F-798B86B8AAB6}"/>
  <tableColumns count="12">
    <tableColumn id="1" xr3:uid="{DD3FAEBC-E2B0-45CE-AF53-5B1EA9779CD6}" name="Applicant_ID" dataDxfId="11">
      <calculatedColumnFormula>"APP"&amp;TEXT(ROW()-1,"000")</calculatedColumnFormula>
    </tableColumn>
    <tableColumn id="2" xr3:uid="{C50214F2-BDD0-451E-BE20-69EB1BCA0181}" name="Age" dataDxfId="10"/>
    <tableColumn id="3" xr3:uid="{4F81DB8C-6BF3-432A-80F5-AD6376925FF7}" name="Annual_Income" dataDxfId="9"/>
    <tableColumn id="4" xr3:uid="{E939D4C6-5A5F-41C6-AD45-8D096FA4BFDE}" name="Employment_Type" dataDxfId="8"/>
    <tableColumn id="5" xr3:uid="{2D651EE8-D386-4C57-91BF-54CB6286DD81}" name="Employment_Years" dataDxfId="7"/>
    <tableColumn id="6" xr3:uid="{BAFE1784-CBA3-4E2A-94D6-F4A28785DEC6}" name="Credit_Score" dataDxfId="6"/>
    <tableColumn id="7" xr3:uid="{775EEFF7-722E-47F9-BBD8-2786403301F8}" name="Existing_Loans" dataDxfId="5"/>
    <tableColumn id="8" xr3:uid="{525EE16A-C373-41F2-BEAF-8DE2D16E2B8B}" name="Loan_Amount_Requested" dataDxfId="4"/>
    <tableColumn id="9" xr3:uid="{57DD9A1C-7123-4F8A-A161-04BC1A275AFB}" name="Loan_Tenure_Years" dataDxfId="3"/>
    <tableColumn id="10" xr3:uid="{2118EEA1-1652-4233-ACE1-004E341D6E26}" name="Monthly_EMI_Obligation" dataDxfId="2"/>
    <tableColumn id="11" xr3:uid="{E5752177-CC2A-431F-A4D8-BEE3B100A8F0}" name="Collateral_Value" dataDxfId="1"/>
    <tableColumn id="12" xr3:uid="{D009FEBE-CF65-48FD-8DCD-EDD871F270EE}" name="Defaulter_Histo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C04A-9B00-4C79-A90C-1A8F15918EA6}">
  <sheetPr>
    <tabColor rgb="FF00B0F0"/>
  </sheetPr>
  <dimension ref="A1:L501"/>
  <sheetViews>
    <sheetView workbookViewId="0">
      <selection activeCell="B18" sqref="B18"/>
    </sheetView>
  </sheetViews>
  <sheetFormatPr defaultColWidth="29.7109375" defaultRowHeight="15" x14ac:dyDescent="0.25"/>
  <cols>
    <col min="1" max="16384" width="29.7109375" style="2"/>
  </cols>
  <sheetData>
    <row r="1" spans="1:1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 x14ac:dyDescent="0.25">
      <c r="A2" s="2" t="str">
        <f>"APP"&amp;TEXT(ROW()-1,"000")</f>
        <v>APP001</v>
      </c>
      <c r="B2" s="2">
        <v>61</v>
      </c>
      <c r="C2" s="2">
        <v>1204571</v>
      </c>
      <c r="D2" s="2" t="s">
        <v>12</v>
      </c>
      <c r="E2" s="2">
        <v>9</v>
      </c>
      <c r="F2" s="2">
        <v>414</v>
      </c>
      <c r="G2" s="2">
        <v>3</v>
      </c>
      <c r="H2" s="2">
        <v>815722</v>
      </c>
      <c r="I2" s="2">
        <v>24</v>
      </c>
      <c r="J2" s="2">
        <v>74487</v>
      </c>
      <c r="K2" s="2">
        <v>6141596</v>
      </c>
      <c r="L2" s="2" t="s">
        <v>13</v>
      </c>
    </row>
    <row r="3" spans="1:12" x14ac:dyDescent="0.25">
      <c r="A3" s="2" t="str">
        <f t="shared" ref="A3:A66" si="0">"APP"&amp;TEXT(ROW()-1,"000")</f>
        <v>APP002</v>
      </c>
      <c r="B3" s="2">
        <v>43</v>
      </c>
      <c r="C3" s="2">
        <v>2450477</v>
      </c>
      <c r="D3" s="2" t="s">
        <v>14</v>
      </c>
      <c r="E3" s="2">
        <v>35</v>
      </c>
      <c r="F3" s="2">
        <v>393</v>
      </c>
      <c r="G3" s="2">
        <v>4</v>
      </c>
      <c r="H3" s="2">
        <v>1857095</v>
      </c>
      <c r="I3" s="2">
        <v>26</v>
      </c>
      <c r="J3" s="2">
        <v>41413</v>
      </c>
      <c r="K3" s="2">
        <v>7336964</v>
      </c>
      <c r="L3" s="2" t="s">
        <v>15</v>
      </c>
    </row>
    <row r="4" spans="1:12" x14ac:dyDescent="0.25">
      <c r="A4" s="2" t="str">
        <f t="shared" si="0"/>
        <v>APP003</v>
      </c>
      <c r="B4" s="2">
        <v>65</v>
      </c>
      <c r="C4" s="2">
        <v>167690</v>
      </c>
      <c r="D4" s="2" t="s">
        <v>16</v>
      </c>
      <c r="E4" s="2">
        <v>31</v>
      </c>
      <c r="F4" s="2">
        <v>872</v>
      </c>
      <c r="G4" s="2">
        <v>5</v>
      </c>
      <c r="H4" s="2">
        <v>2386936</v>
      </c>
      <c r="I4" s="2">
        <v>9</v>
      </c>
      <c r="J4" s="2">
        <v>42753</v>
      </c>
      <c r="K4" s="2">
        <v>1376488</v>
      </c>
      <c r="L4" s="2" t="s">
        <v>13</v>
      </c>
    </row>
    <row r="5" spans="1:12" x14ac:dyDescent="0.25">
      <c r="A5" s="2" t="str">
        <f t="shared" si="0"/>
        <v>APP004</v>
      </c>
      <c r="B5" s="2">
        <v>27</v>
      </c>
      <c r="C5" s="2">
        <v>1389606</v>
      </c>
      <c r="D5" s="2" t="s">
        <v>12</v>
      </c>
      <c r="E5" s="2">
        <v>18</v>
      </c>
      <c r="F5" s="2">
        <v>842</v>
      </c>
      <c r="G5" s="2">
        <v>0</v>
      </c>
      <c r="H5" s="2">
        <v>683789</v>
      </c>
      <c r="I5" s="2">
        <v>1</v>
      </c>
      <c r="J5" s="2">
        <v>54166</v>
      </c>
      <c r="K5" s="2">
        <v>9087366</v>
      </c>
      <c r="L5" s="2" t="s">
        <v>13</v>
      </c>
    </row>
    <row r="6" spans="1:12" x14ac:dyDescent="0.25">
      <c r="A6" s="2" t="str">
        <f t="shared" si="0"/>
        <v>APP005</v>
      </c>
      <c r="B6" s="2">
        <v>24</v>
      </c>
      <c r="C6" s="2">
        <v>1707168</v>
      </c>
      <c r="D6" s="2" t="s">
        <v>16</v>
      </c>
      <c r="E6" s="2">
        <v>22</v>
      </c>
      <c r="F6" s="2">
        <v>847</v>
      </c>
      <c r="G6" s="2">
        <v>1</v>
      </c>
      <c r="H6" s="2">
        <v>4329536</v>
      </c>
      <c r="I6" s="2">
        <v>8</v>
      </c>
      <c r="J6" s="2">
        <v>45905</v>
      </c>
      <c r="K6" s="2">
        <v>5165045</v>
      </c>
      <c r="L6" s="2" t="s">
        <v>13</v>
      </c>
    </row>
    <row r="7" spans="1:12" x14ac:dyDescent="0.25">
      <c r="A7" s="2" t="str">
        <f t="shared" si="0"/>
        <v>APP006</v>
      </c>
      <c r="B7" s="2">
        <v>49</v>
      </c>
      <c r="C7" s="2">
        <v>1718986</v>
      </c>
      <c r="D7" s="2" t="s">
        <v>12</v>
      </c>
      <c r="E7" s="2">
        <v>9</v>
      </c>
      <c r="F7" s="2">
        <v>463</v>
      </c>
      <c r="G7" s="2">
        <v>4</v>
      </c>
      <c r="H7" s="2">
        <v>2129188</v>
      </c>
      <c r="I7" s="2">
        <v>23</v>
      </c>
      <c r="J7" s="2">
        <v>73419</v>
      </c>
      <c r="K7" s="2">
        <v>9795770</v>
      </c>
      <c r="L7" s="2" t="s">
        <v>13</v>
      </c>
    </row>
    <row r="8" spans="1:12" x14ac:dyDescent="0.25">
      <c r="A8" s="2" t="str">
        <f t="shared" si="0"/>
        <v>APP007</v>
      </c>
      <c r="B8" s="2">
        <v>21</v>
      </c>
      <c r="C8" s="2">
        <v>2259776</v>
      </c>
      <c r="D8" s="2" t="s">
        <v>16</v>
      </c>
      <c r="E8" s="2">
        <v>3</v>
      </c>
      <c r="F8" s="2">
        <v>753</v>
      </c>
      <c r="G8" s="2">
        <v>3</v>
      </c>
      <c r="H8" s="2">
        <v>716601</v>
      </c>
      <c r="I8" s="2">
        <v>14</v>
      </c>
      <c r="J8" s="2">
        <v>24226</v>
      </c>
      <c r="K8" s="2">
        <v>9083313</v>
      </c>
      <c r="L8" s="2" t="s">
        <v>13</v>
      </c>
    </row>
    <row r="9" spans="1:12" x14ac:dyDescent="0.25">
      <c r="A9" s="2" t="str">
        <f t="shared" si="0"/>
        <v>APP008</v>
      </c>
      <c r="B9" s="2">
        <v>41</v>
      </c>
      <c r="C9" s="2">
        <v>784818</v>
      </c>
      <c r="D9" s="2" t="s">
        <v>16</v>
      </c>
      <c r="E9" s="2">
        <v>6</v>
      </c>
      <c r="F9" s="2">
        <v>441</v>
      </c>
      <c r="G9" s="2">
        <v>3</v>
      </c>
      <c r="H9" s="2">
        <v>2910789</v>
      </c>
      <c r="I9" s="2">
        <v>19</v>
      </c>
      <c r="J9" s="2">
        <v>674</v>
      </c>
      <c r="K9" s="2">
        <v>6062557</v>
      </c>
      <c r="L9" s="2" t="s">
        <v>15</v>
      </c>
    </row>
    <row r="10" spans="1:12" x14ac:dyDescent="0.25">
      <c r="A10" s="2" t="str">
        <f t="shared" si="0"/>
        <v>APP009</v>
      </c>
      <c r="B10" s="2">
        <v>29</v>
      </c>
      <c r="C10" s="2">
        <v>1781648</v>
      </c>
      <c r="D10" s="2" t="s">
        <v>14</v>
      </c>
      <c r="E10" s="2">
        <v>16</v>
      </c>
      <c r="F10" s="2">
        <v>740</v>
      </c>
      <c r="G10" s="2">
        <v>2</v>
      </c>
      <c r="H10" s="2">
        <v>2039188</v>
      </c>
      <c r="I10" s="2">
        <v>18</v>
      </c>
      <c r="J10" s="2">
        <v>75372</v>
      </c>
      <c r="K10" s="2">
        <v>4446639</v>
      </c>
      <c r="L10" s="2" t="s">
        <v>15</v>
      </c>
    </row>
    <row r="11" spans="1:12" x14ac:dyDescent="0.25">
      <c r="A11" s="2" t="str">
        <f t="shared" si="0"/>
        <v>APP010</v>
      </c>
      <c r="B11" s="2">
        <v>40</v>
      </c>
      <c r="C11" s="2">
        <v>730612</v>
      </c>
      <c r="D11" s="2" t="s">
        <v>14</v>
      </c>
      <c r="E11" s="2">
        <v>4</v>
      </c>
      <c r="F11" s="2">
        <v>474</v>
      </c>
      <c r="G11" s="2">
        <v>3</v>
      </c>
      <c r="H11" s="2">
        <v>2527021</v>
      </c>
      <c r="I11" s="2">
        <v>21</v>
      </c>
      <c r="J11" s="2">
        <v>35442</v>
      </c>
      <c r="K11" s="2">
        <v>3587433</v>
      </c>
      <c r="L11" s="2" t="s">
        <v>13</v>
      </c>
    </row>
    <row r="12" spans="1:12" x14ac:dyDescent="0.25">
      <c r="A12" s="2" t="str">
        <f t="shared" si="0"/>
        <v>APP011</v>
      </c>
      <c r="B12" s="2">
        <v>44</v>
      </c>
      <c r="C12" s="2">
        <v>624445</v>
      </c>
      <c r="D12" s="2" t="s">
        <v>16</v>
      </c>
      <c r="E12" s="2">
        <v>19</v>
      </c>
      <c r="F12" s="2">
        <v>643</v>
      </c>
      <c r="G12" s="2">
        <v>0</v>
      </c>
      <c r="H12" s="2">
        <v>2121655</v>
      </c>
      <c r="I12" s="2">
        <v>1</v>
      </c>
      <c r="J12" s="2">
        <v>70718</v>
      </c>
      <c r="K12" s="2">
        <v>2692207</v>
      </c>
      <c r="L12" s="2" t="s">
        <v>13</v>
      </c>
    </row>
    <row r="13" spans="1:12" x14ac:dyDescent="0.25">
      <c r="A13" s="2" t="str">
        <f t="shared" si="0"/>
        <v>APP012</v>
      </c>
      <c r="B13" s="2">
        <v>36</v>
      </c>
      <c r="C13" s="2">
        <v>458282</v>
      </c>
      <c r="D13" s="2" t="s">
        <v>12</v>
      </c>
      <c r="E13" s="2">
        <v>26</v>
      </c>
      <c r="F13" s="2">
        <v>821</v>
      </c>
      <c r="G13" s="2">
        <v>3</v>
      </c>
      <c r="H13" s="2">
        <v>3182421</v>
      </c>
      <c r="I13" s="2">
        <v>21</v>
      </c>
      <c r="J13" s="2">
        <v>61014</v>
      </c>
      <c r="K13" s="2">
        <v>9969383</v>
      </c>
      <c r="L13" s="2" t="s">
        <v>13</v>
      </c>
    </row>
    <row r="14" spans="1:12" x14ac:dyDescent="0.25">
      <c r="A14" s="2" t="str">
        <f t="shared" si="0"/>
        <v>APP013</v>
      </c>
      <c r="B14" s="2">
        <v>31</v>
      </c>
      <c r="C14" s="2">
        <v>1158611</v>
      </c>
      <c r="D14" s="2" t="s">
        <v>12</v>
      </c>
      <c r="E14" s="2">
        <v>12</v>
      </c>
      <c r="F14" s="2">
        <v>656</v>
      </c>
      <c r="G14" s="2">
        <v>3</v>
      </c>
      <c r="H14" s="2">
        <v>2476974</v>
      </c>
      <c r="I14" s="2">
        <v>16</v>
      </c>
      <c r="J14" s="2">
        <v>59733</v>
      </c>
      <c r="K14" s="2">
        <v>7584037</v>
      </c>
      <c r="L14" s="2" t="s">
        <v>13</v>
      </c>
    </row>
    <row r="15" spans="1:12" x14ac:dyDescent="0.25">
      <c r="A15" s="2" t="str">
        <f t="shared" si="0"/>
        <v>APP014</v>
      </c>
      <c r="B15" s="2">
        <v>37</v>
      </c>
      <c r="C15" s="2">
        <v>540757</v>
      </c>
      <c r="D15" s="2" t="s">
        <v>12</v>
      </c>
      <c r="E15" s="2">
        <v>5</v>
      </c>
      <c r="F15" s="2">
        <v>811</v>
      </c>
      <c r="G15" s="2">
        <v>0</v>
      </c>
      <c r="H15" s="2">
        <v>2743529</v>
      </c>
      <c r="I15" s="2">
        <v>5</v>
      </c>
      <c r="J15" s="2">
        <v>37410</v>
      </c>
      <c r="K15" s="2">
        <v>4282051</v>
      </c>
      <c r="L15" s="2" t="s">
        <v>15</v>
      </c>
    </row>
    <row r="16" spans="1:12" x14ac:dyDescent="0.25">
      <c r="A16" s="2" t="str">
        <f t="shared" si="0"/>
        <v>APP015</v>
      </c>
      <c r="B16" s="2">
        <v>28</v>
      </c>
      <c r="C16" s="2">
        <v>1904921</v>
      </c>
      <c r="D16" s="2" t="s">
        <v>16</v>
      </c>
      <c r="E16" s="2">
        <v>27</v>
      </c>
      <c r="F16" s="2">
        <v>658</v>
      </c>
      <c r="G16" s="2">
        <v>2</v>
      </c>
      <c r="H16" s="2">
        <v>2289242</v>
      </c>
      <c r="I16" s="2">
        <v>1</v>
      </c>
      <c r="J16" s="2">
        <v>30632</v>
      </c>
      <c r="K16" s="2">
        <v>6073190</v>
      </c>
      <c r="L16" s="2" t="s">
        <v>15</v>
      </c>
    </row>
    <row r="17" spans="1:12" x14ac:dyDescent="0.25">
      <c r="A17" s="2" t="str">
        <f t="shared" si="0"/>
        <v>APP016</v>
      </c>
      <c r="B17" s="2">
        <v>39</v>
      </c>
      <c r="C17" s="2">
        <v>2199326</v>
      </c>
      <c r="D17" s="2" t="s">
        <v>12</v>
      </c>
      <c r="E17" s="2">
        <v>3</v>
      </c>
      <c r="F17" s="2">
        <v>483</v>
      </c>
      <c r="G17" s="2">
        <v>2</v>
      </c>
      <c r="H17" s="2">
        <v>2905777</v>
      </c>
      <c r="I17" s="2">
        <v>21</v>
      </c>
      <c r="J17" s="2">
        <v>76232</v>
      </c>
      <c r="K17" s="2">
        <v>2664673</v>
      </c>
      <c r="L17" s="2" t="s">
        <v>15</v>
      </c>
    </row>
    <row r="18" spans="1:12" x14ac:dyDescent="0.25">
      <c r="A18" s="2" t="str">
        <f t="shared" si="0"/>
        <v>APP017</v>
      </c>
      <c r="B18" s="2">
        <v>25</v>
      </c>
      <c r="C18" s="2">
        <v>2390014</v>
      </c>
      <c r="D18" s="2" t="s">
        <v>12</v>
      </c>
      <c r="E18" s="2">
        <v>31</v>
      </c>
      <c r="F18" s="2">
        <v>444</v>
      </c>
      <c r="G18" s="2">
        <v>0</v>
      </c>
      <c r="H18" s="2">
        <v>3718673</v>
      </c>
      <c r="I18" s="2">
        <v>28</v>
      </c>
      <c r="J18" s="2">
        <v>5997</v>
      </c>
      <c r="K18" s="2">
        <v>8853883</v>
      </c>
      <c r="L18" s="2" t="s">
        <v>13</v>
      </c>
    </row>
    <row r="19" spans="1:12" x14ac:dyDescent="0.25">
      <c r="A19" s="2" t="str">
        <f t="shared" si="0"/>
        <v>APP018</v>
      </c>
      <c r="B19" s="2">
        <v>57</v>
      </c>
      <c r="C19" s="2">
        <v>1423634</v>
      </c>
      <c r="D19" s="2" t="s">
        <v>16</v>
      </c>
      <c r="E19" s="2">
        <v>8</v>
      </c>
      <c r="F19" s="2">
        <v>485</v>
      </c>
      <c r="G19" s="2">
        <v>2</v>
      </c>
      <c r="H19" s="2">
        <v>2868888</v>
      </c>
      <c r="I19" s="2">
        <v>28</v>
      </c>
      <c r="J19" s="2">
        <v>41970</v>
      </c>
      <c r="K19" s="2">
        <v>9366680</v>
      </c>
      <c r="L19" s="2" t="s">
        <v>13</v>
      </c>
    </row>
    <row r="20" spans="1:12" x14ac:dyDescent="0.25">
      <c r="A20" s="2" t="str">
        <f t="shared" si="0"/>
        <v>APP019</v>
      </c>
      <c r="B20" s="2">
        <v>64</v>
      </c>
      <c r="C20" s="2">
        <v>1796066</v>
      </c>
      <c r="D20" s="2" t="s">
        <v>16</v>
      </c>
      <c r="E20" s="2">
        <v>24</v>
      </c>
      <c r="F20" s="2">
        <v>499</v>
      </c>
      <c r="G20" s="2">
        <v>0</v>
      </c>
      <c r="H20" s="2">
        <v>4738228</v>
      </c>
      <c r="I20" s="2">
        <v>27</v>
      </c>
      <c r="J20" s="2">
        <v>68913</v>
      </c>
      <c r="K20" s="2">
        <v>5699313</v>
      </c>
      <c r="L20" s="2" t="s">
        <v>15</v>
      </c>
    </row>
    <row r="21" spans="1:12" x14ac:dyDescent="0.25">
      <c r="A21" s="2" t="str">
        <f t="shared" si="0"/>
        <v>APP020</v>
      </c>
      <c r="B21" s="2">
        <v>57</v>
      </c>
      <c r="C21" s="2">
        <v>840091</v>
      </c>
      <c r="D21" s="2" t="s">
        <v>12</v>
      </c>
      <c r="E21" s="2">
        <v>19</v>
      </c>
      <c r="F21" s="2">
        <v>663</v>
      </c>
      <c r="G21" s="2">
        <v>3</v>
      </c>
      <c r="H21" s="2">
        <v>2004534</v>
      </c>
      <c r="I21" s="2">
        <v>21</v>
      </c>
      <c r="J21" s="2">
        <v>21539</v>
      </c>
      <c r="K21" s="2">
        <v>9282765</v>
      </c>
      <c r="L21" s="2" t="s">
        <v>13</v>
      </c>
    </row>
    <row r="22" spans="1:12" x14ac:dyDescent="0.25">
      <c r="A22" s="2" t="str">
        <f t="shared" si="0"/>
        <v>APP021</v>
      </c>
      <c r="B22" s="2">
        <v>64</v>
      </c>
      <c r="C22" s="2">
        <v>718815</v>
      </c>
      <c r="D22" s="2" t="s">
        <v>12</v>
      </c>
      <c r="E22" s="2">
        <v>18</v>
      </c>
      <c r="F22" s="2">
        <v>721</v>
      </c>
      <c r="G22" s="2">
        <v>3</v>
      </c>
      <c r="H22" s="2">
        <v>4896674</v>
      </c>
      <c r="I22" s="2">
        <v>24</v>
      </c>
      <c r="J22" s="2">
        <v>10562</v>
      </c>
      <c r="K22" s="2">
        <v>556919</v>
      </c>
      <c r="L22" s="2" t="s">
        <v>13</v>
      </c>
    </row>
    <row r="23" spans="1:12" x14ac:dyDescent="0.25">
      <c r="A23" s="2" t="str">
        <f t="shared" si="0"/>
        <v>APP022</v>
      </c>
      <c r="B23" s="2">
        <v>45</v>
      </c>
      <c r="C23" s="2">
        <v>1578567</v>
      </c>
      <c r="D23" s="2" t="s">
        <v>16</v>
      </c>
      <c r="E23" s="2">
        <v>12</v>
      </c>
      <c r="F23" s="2">
        <v>403</v>
      </c>
      <c r="G23" s="2">
        <v>2</v>
      </c>
      <c r="H23" s="2">
        <v>149181</v>
      </c>
      <c r="I23" s="2">
        <v>17</v>
      </c>
      <c r="J23" s="2">
        <v>37777</v>
      </c>
      <c r="K23" s="2">
        <v>7182084</v>
      </c>
      <c r="L23" s="2" t="s">
        <v>13</v>
      </c>
    </row>
    <row r="24" spans="1:12" x14ac:dyDescent="0.25">
      <c r="A24" s="2" t="str">
        <f t="shared" si="0"/>
        <v>APP023</v>
      </c>
      <c r="B24" s="2">
        <v>35</v>
      </c>
      <c r="C24" s="2">
        <v>1060713</v>
      </c>
      <c r="D24" s="2" t="s">
        <v>12</v>
      </c>
      <c r="E24" s="2">
        <v>23</v>
      </c>
      <c r="F24" s="2">
        <v>501</v>
      </c>
      <c r="G24" s="2">
        <v>0</v>
      </c>
      <c r="H24" s="2">
        <v>1749321</v>
      </c>
      <c r="I24" s="2">
        <v>10</v>
      </c>
      <c r="J24" s="2">
        <v>26587</v>
      </c>
      <c r="K24" s="2">
        <v>5698707</v>
      </c>
      <c r="L24" s="2" t="s">
        <v>15</v>
      </c>
    </row>
    <row r="25" spans="1:12" x14ac:dyDescent="0.25">
      <c r="A25" s="2" t="str">
        <f t="shared" si="0"/>
        <v>APP024</v>
      </c>
      <c r="B25" s="2">
        <v>63</v>
      </c>
      <c r="C25" s="2">
        <v>1885011</v>
      </c>
      <c r="D25" s="2" t="s">
        <v>16</v>
      </c>
      <c r="E25" s="2">
        <v>29</v>
      </c>
      <c r="F25" s="2">
        <v>484</v>
      </c>
      <c r="G25" s="2">
        <v>1</v>
      </c>
      <c r="H25" s="2">
        <v>1872980</v>
      </c>
      <c r="I25" s="2">
        <v>29</v>
      </c>
      <c r="J25" s="2">
        <v>74962</v>
      </c>
      <c r="K25" s="2">
        <v>3049479</v>
      </c>
      <c r="L25" s="2" t="s">
        <v>15</v>
      </c>
    </row>
    <row r="26" spans="1:12" x14ac:dyDescent="0.25">
      <c r="A26" s="2" t="str">
        <f t="shared" si="0"/>
        <v>APP025</v>
      </c>
      <c r="B26" s="2">
        <v>62</v>
      </c>
      <c r="C26" s="2">
        <v>2136964</v>
      </c>
      <c r="D26" s="2" t="s">
        <v>16</v>
      </c>
      <c r="E26" s="2">
        <v>35</v>
      </c>
      <c r="F26" s="2">
        <v>763</v>
      </c>
      <c r="G26" s="2">
        <v>4</v>
      </c>
      <c r="H26" s="2">
        <v>1279478</v>
      </c>
      <c r="I26" s="2">
        <v>3</v>
      </c>
      <c r="J26" s="2">
        <v>45390</v>
      </c>
      <c r="K26" s="2">
        <v>4329410</v>
      </c>
      <c r="L26" s="2" t="s">
        <v>13</v>
      </c>
    </row>
    <row r="27" spans="1:12" x14ac:dyDescent="0.25">
      <c r="A27" s="2" t="str">
        <f t="shared" si="0"/>
        <v>APP026</v>
      </c>
      <c r="B27" s="2">
        <v>28</v>
      </c>
      <c r="C27" s="2">
        <v>822471</v>
      </c>
      <c r="D27" s="2" t="s">
        <v>14</v>
      </c>
      <c r="E27" s="2">
        <v>23</v>
      </c>
      <c r="F27" s="2">
        <v>701</v>
      </c>
      <c r="G27" s="2">
        <v>1</v>
      </c>
      <c r="H27" s="2">
        <v>479203</v>
      </c>
      <c r="I27" s="2">
        <v>18</v>
      </c>
      <c r="J27" s="2">
        <v>11795</v>
      </c>
      <c r="K27" s="2">
        <v>1011855</v>
      </c>
      <c r="L27" s="2" t="s">
        <v>15</v>
      </c>
    </row>
    <row r="28" spans="1:12" x14ac:dyDescent="0.25">
      <c r="A28" s="2" t="str">
        <f t="shared" si="0"/>
        <v>APP027</v>
      </c>
      <c r="B28" s="2">
        <v>65</v>
      </c>
      <c r="C28" s="2">
        <v>1340100</v>
      </c>
      <c r="D28" s="2" t="s">
        <v>12</v>
      </c>
      <c r="E28" s="2">
        <v>29</v>
      </c>
      <c r="F28" s="2">
        <v>732</v>
      </c>
      <c r="G28" s="2">
        <v>3</v>
      </c>
      <c r="H28" s="2">
        <v>2826221</v>
      </c>
      <c r="I28" s="2">
        <v>30</v>
      </c>
      <c r="J28" s="2">
        <v>66715</v>
      </c>
      <c r="K28" s="2">
        <v>98359</v>
      </c>
      <c r="L28" s="2" t="s">
        <v>13</v>
      </c>
    </row>
    <row r="29" spans="1:12" x14ac:dyDescent="0.25">
      <c r="A29" s="2" t="str">
        <f t="shared" si="0"/>
        <v>APP028</v>
      </c>
      <c r="B29" s="2">
        <v>23</v>
      </c>
      <c r="C29" s="2">
        <v>872742</v>
      </c>
      <c r="D29" s="2" t="s">
        <v>12</v>
      </c>
      <c r="E29" s="2">
        <v>17</v>
      </c>
      <c r="F29" s="2">
        <v>353</v>
      </c>
      <c r="G29" s="2">
        <v>1</v>
      </c>
      <c r="H29" s="2">
        <v>3098102</v>
      </c>
      <c r="I29" s="2">
        <v>3</v>
      </c>
      <c r="J29" s="2">
        <v>16241</v>
      </c>
      <c r="K29" s="2">
        <v>7809864</v>
      </c>
      <c r="L29" s="2" t="s">
        <v>13</v>
      </c>
    </row>
    <row r="30" spans="1:12" x14ac:dyDescent="0.25">
      <c r="A30" s="2" t="str">
        <f t="shared" si="0"/>
        <v>APP029</v>
      </c>
      <c r="B30" s="2">
        <v>58</v>
      </c>
      <c r="C30" s="2">
        <v>640344</v>
      </c>
      <c r="D30" s="2" t="s">
        <v>14</v>
      </c>
      <c r="E30" s="2">
        <v>10</v>
      </c>
      <c r="F30" s="2">
        <v>328</v>
      </c>
      <c r="G30" s="2">
        <v>1</v>
      </c>
      <c r="H30" s="2">
        <v>188199</v>
      </c>
      <c r="I30" s="2">
        <v>21</v>
      </c>
      <c r="J30" s="2">
        <v>15053</v>
      </c>
      <c r="K30" s="2">
        <v>1705300</v>
      </c>
      <c r="L30" s="2" t="s">
        <v>13</v>
      </c>
    </row>
    <row r="31" spans="1:12" x14ac:dyDescent="0.25">
      <c r="A31" s="2" t="str">
        <f t="shared" si="0"/>
        <v>APP030</v>
      </c>
      <c r="B31" s="2">
        <v>29</v>
      </c>
      <c r="C31" s="2">
        <v>222149</v>
      </c>
      <c r="D31" s="2" t="s">
        <v>16</v>
      </c>
      <c r="E31" s="2">
        <v>20</v>
      </c>
      <c r="F31" s="2">
        <v>431</v>
      </c>
      <c r="G31" s="2">
        <v>2</v>
      </c>
      <c r="H31" s="2">
        <v>2641225</v>
      </c>
      <c r="I31" s="2">
        <v>21</v>
      </c>
      <c r="J31" s="2">
        <v>37112</v>
      </c>
      <c r="K31" s="2">
        <v>4723094</v>
      </c>
      <c r="L31" s="2" t="s">
        <v>13</v>
      </c>
    </row>
    <row r="32" spans="1:12" x14ac:dyDescent="0.25">
      <c r="A32" s="2" t="str">
        <f t="shared" si="0"/>
        <v>APP031</v>
      </c>
      <c r="B32" s="2">
        <v>38</v>
      </c>
      <c r="C32" s="2">
        <v>1184686</v>
      </c>
      <c r="D32" s="2" t="s">
        <v>12</v>
      </c>
      <c r="E32" s="2">
        <v>31</v>
      </c>
      <c r="F32" s="2">
        <v>763</v>
      </c>
      <c r="G32" s="2">
        <v>1</v>
      </c>
      <c r="H32" s="2">
        <v>4432223</v>
      </c>
      <c r="I32" s="2">
        <v>13</v>
      </c>
      <c r="J32" s="2">
        <v>71886</v>
      </c>
      <c r="K32" s="2">
        <v>7694727</v>
      </c>
      <c r="L32" s="2" t="s">
        <v>13</v>
      </c>
    </row>
    <row r="33" spans="1:12" x14ac:dyDescent="0.25">
      <c r="A33" s="2" t="str">
        <f t="shared" si="0"/>
        <v>APP032</v>
      </c>
      <c r="B33" s="2">
        <v>62</v>
      </c>
      <c r="C33" s="2">
        <v>1928619</v>
      </c>
      <c r="D33" s="2" t="s">
        <v>14</v>
      </c>
      <c r="E33" s="2">
        <v>0</v>
      </c>
      <c r="F33" s="2">
        <v>675</v>
      </c>
      <c r="G33" s="2">
        <v>3</v>
      </c>
      <c r="H33" s="2">
        <v>2917866</v>
      </c>
      <c r="I33" s="2">
        <v>3</v>
      </c>
      <c r="J33" s="2">
        <v>3680</v>
      </c>
      <c r="K33" s="2">
        <v>2175736</v>
      </c>
      <c r="L33" s="2" t="s">
        <v>13</v>
      </c>
    </row>
    <row r="34" spans="1:12" x14ac:dyDescent="0.25">
      <c r="A34" s="2" t="str">
        <f t="shared" si="0"/>
        <v>APP033</v>
      </c>
      <c r="B34" s="2">
        <v>35</v>
      </c>
      <c r="C34" s="2">
        <v>177025</v>
      </c>
      <c r="D34" s="2" t="s">
        <v>16</v>
      </c>
      <c r="E34" s="2">
        <v>16</v>
      </c>
      <c r="F34" s="2">
        <v>355</v>
      </c>
      <c r="G34" s="2">
        <v>4</v>
      </c>
      <c r="H34" s="2">
        <v>922728</v>
      </c>
      <c r="I34" s="2">
        <v>20</v>
      </c>
      <c r="J34" s="2">
        <v>68943</v>
      </c>
      <c r="K34" s="2">
        <v>66691</v>
      </c>
      <c r="L34" s="2" t="s">
        <v>13</v>
      </c>
    </row>
    <row r="35" spans="1:12" x14ac:dyDescent="0.25">
      <c r="A35" s="2" t="str">
        <f t="shared" si="0"/>
        <v>APP034</v>
      </c>
      <c r="B35" s="2">
        <v>52</v>
      </c>
      <c r="C35" s="2">
        <v>1761530</v>
      </c>
      <c r="D35" s="2" t="s">
        <v>14</v>
      </c>
      <c r="E35" s="2">
        <v>22</v>
      </c>
      <c r="F35" s="2">
        <v>571</v>
      </c>
      <c r="G35" s="2">
        <v>0</v>
      </c>
      <c r="H35" s="2">
        <v>1314786</v>
      </c>
      <c r="I35" s="2">
        <v>3</v>
      </c>
      <c r="J35" s="2">
        <v>72482</v>
      </c>
      <c r="K35" s="2">
        <v>7198186</v>
      </c>
      <c r="L35" s="2" t="s">
        <v>15</v>
      </c>
    </row>
    <row r="36" spans="1:12" x14ac:dyDescent="0.25">
      <c r="A36" s="2" t="str">
        <f t="shared" si="0"/>
        <v>APP035</v>
      </c>
      <c r="B36" s="2">
        <v>29</v>
      </c>
      <c r="C36" s="2">
        <v>2091944</v>
      </c>
      <c r="D36" s="2" t="s">
        <v>12</v>
      </c>
      <c r="E36" s="2">
        <v>0</v>
      </c>
      <c r="F36" s="2">
        <v>754</v>
      </c>
      <c r="G36" s="2">
        <v>4</v>
      </c>
      <c r="H36" s="2">
        <v>1177819</v>
      </c>
      <c r="I36" s="2">
        <v>12</v>
      </c>
      <c r="J36" s="2">
        <v>14067</v>
      </c>
      <c r="K36" s="2">
        <v>1513533</v>
      </c>
      <c r="L36" s="2" t="s">
        <v>13</v>
      </c>
    </row>
    <row r="37" spans="1:12" x14ac:dyDescent="0.25">
      <c r="A37" s="2" t="str">
        <f t="shared" si="0"/>
        <v>APP036</v>
      </c>
      <c r="B37" s="2">
        <v>26</v>
      </c>
      <c r="C37" s="2">
        <v>928562</v>
      </c>
      <c r="D37" s="2" t="s">
        <v>16</v>
      </c>
      <c r="E37" s="2">
        <v>5</v>
      </c>
      <c r="F37" s="2">
        <v>716</v>
      </c>
      <c r="G37" s="2">
        <v>0</v>
      </c>
      <c r="H37" s="2">
        <v>4749417</v>
      </c>
      <c r="I37" s="2">
        <v>13</v>
      </c>
      <c r="J37" s="2">
        <v>38727</v>
      </c>
      <c r="K37" s="2">
        <v>1732460</v>
      </c>
      <c r="L37" s="2" t="s">
        <v>15</v>
      </c>
    </row>
    <row r="38" spans="1:12" x14ac:dyDescent="0.25">
      <c r="A38" s="2" t="str">
        <f t="shared" si="0"/>
        <v>APP037</v>
      </c>
      <c r="B38" s="2">
        <v>35</v>
      </c>
      <c r="C38" s="2">
        <v>400532</v>
      </c>
      <c r="D38" s="2" t="s">
        <v>14</v>
      </c>
      <c r="E38" s="2">
        <v>23</v>
      </c>
      <c r="F38" s="2">
        <v>872</v>
      </c>
      <c r="G38" s="2">
        <v>3</v>
      </c>
      <c r="H38" s="2">
        <v>3953380</v>
      </c>
      <c r="I38" s="2">
        <v>8</v>
      </c>
      <c r="J38" s="2">
        <v>34128</v>
      </c>
      <c r="K38" s="2">
        <v>5012734</v>
      </c>
      <c r="L38" s="2" t="s">
        <v>15</v>
      </c>
    </row>
    <row r="39" spans="1:12" x14ac:dyDescent="0.25">
      <c r="A39" s="2" t="str">
        <f t="shared" si="0"/>
        <v>APP038</v>
      </c>
      <c r="B39" s="2">
        <v>55</v>
      </c>
      <c r="C39" s="2">
        <v>1717308</v>
      </c>
      <c r="D39" s="2" t="s">
        <v>16</v>
      </c>
      <c r="E39" s="2">
        <v>11</v>
      </c>
      <c r="F39" s="2">
        <v>491</v>
      </c>
      <c r="G39" s="2">
        <v>4</v>
      </c>
      <c r="H39" s="2">
        <v>4416606</v>
      </c>
      <c r="I39" s="2">
        <v>4</v>
      </c>
      <c r="J39" s="2">
        <v>64683</v>
      </c>
      <c r="K39" s="2">
        <v>6745482</v>
      </c>
      <c r="L39" s="2" t="s">
        <v>13</v>
      </c>
    </row>
    <row r="40" spans="1:12" x14ac:dyDescent="0.25">
      <c r="A40" s="2" t="str">
        <f t="shared" si="0"/>
        <v>APP039</v>
      </c>
      <c r="B40" s="2">
        <v>61</v>
      </c>
      <c r="C40" s="2">
        <v>2498540</v>
      </c>
      <c r="D40" s="2" t="s">
        <v>12</v>
      </c>
      <c r="E40" s="2">
        <v>7</v>
      </c>
      <c r="F40" s="2">
        <v>623</v>
      </c>
      <c r="G40" s="2">
        <v>4</v>
      </c>
      <c r="H40" s="2">
        <v>2519440</v>
      </c>
      <c r="I40" s="2">
        <v>23</v>
      </c>
      <c r="J40" s="2">
        <v>20185</v>
      </c>
      <c r="K40" s="2">
        <v>721538</v>
      </c>
      <c r="L40" s="2" t="s">
        <v>13</v>
      </c>
    </row>
    <row r="41" spans="1:12" x14ac:dyDescent="0.25">
      <c r="A41" s="2" t="str">
        <f t="shared" si="0"/>
        <v>APP040</v>
      </c>
      <c r="B41" s="2">
        <v>49</v>
      </c>
      <c r="C41" s="2">
        <v>728852</v>
      </c>
      <c r="D41" s="2" t="s">
        <v>16</v>
      </c>
      <c r="E41" s="2">
        <v>27</v>
      </c>
      <c r="F41" s="2">
        <v>833</v>
      </c>
      <c r="G41" s="2">
        <v>3</v>
      </c>
      <c r="H41" s="2">
        <v>1615896</v>
      </c>
      <c r="I41" s="2">
        <v>16</v>
      </c>
      <c r="J41" s="2">
        <v>23204</v>
      </c>
      <c r="K41" s="2">
        <v>3135413</v>
      </c>
      <c r="L41" s="2" t="s">
        <v>13</v>
      </c>
    </row>
    <row r="42" spans="1:12" x14ac:dyDescent="0.25">
      <c r="A42" s="2" t="str">
        <f t="shared" si="0"/>
        <v>APP041</v>
      </c>
      <c r="B42" s="2">
        <v>55</v>
      </c>
      <c r="C42" s="2">
        <v>182678</v>
      </c>
      <c r="D42" s="2" t="s">
        <v>14</v>
      </c>
      <c r="E42" s="2">
        <v>10</v>
      </c>
      <c r="F42" s="2">
        <v>511</v>
      </c>
      <c r="G42" s="2">
        <v>4</v>
      </c>
      <c r="H42" s="2">
        <v>1972611</v>
      </c>
      <c r="I42" s="2">
        <v>15</v>
      </c>
      <c r="J42" s="2">
        <v>40642</v>
      </c>
      <c r="K42" s="2">
        <v>438776</v>
      </c>
      <c r="L42" s="2" t="s">
        <v>13</v>
      </c>
    </row>
    <row r="43" spans="1:12" x14ac:dyDescent="0.25">
      <c r="A43" s="2" t="str">
        <f t="shared" si="0"/>
        <v>APP042</v>
      </c>
      <c r="B43" s="2">
        <v>22</v>
      </c>
      <c r="C43" s="2">
        <v>1348953</v>
      </c>
      <c r="D43" s="2" t="s">
        <v>12</v>
      </c>
      <c r="E43" s="2">
        <v>12</v>
      </c>
      <c r="F43" s="2">
        <v>433</v>
      </c>
      <c r="G43" s="2">
        <v>4</v>
      </c>
      <c r="H43" s="2">
        <v>1062747</v>
      </c>
      <c r="I43" s="2">
        <v>11</v>
      </c>
      <c r="J43" s="2">
        <v>38615</v>
      </c>
      <c r="K43" s="2">
        <v>169951</v>
      </c>
      <c r="L43" s="2" t="s">
        <v>13</v>
      </c>
    </row>
    <row r="44" spans="1:12" x14ac:dyDescent="0.25">
      <c r="A44" s="2" t="str">
        <f t="shared" si="0"/>
        <v>APP043</v>
      </c>
      <c r="B44" s="2">
        <v>53</v>
      </c>
      <c r="C44" s="2">
        <v>848685</v>
      </c>
      <c r="D44" s="2" t="s">
        <v>16</v>
      </c>
      <c r="E44" s="2">
        <v>22</v>
      </c>
      <c r="F44" s="2">
        <v>716</v>
      </c>
      <c r="G44" s="2">
        <v>5</v>
      </c>
      <c r="H44" s="2">
        <v>1791420</v>
      </c>
      <c r="I44" s="2">
        <v>4</v>
      </c>
      <c r="J44" s="2">
        <v>15736</v>
      </c>
      <c r="K44" s="2">
        <v>2220185</v>
      </c>
      <c r="L44" s="2" t="s">
        <v>13</v>
      </c>
    </row>
    <row r="45" spans="1:12" x14ac:dyDescent="0.25">
      <c r="A45" s="2" t="str">
        <f t="shared" si="0"/>
        <v>APP044</v>
      </c>
      <c r="B45" s="2">
        <v>59</v>
      </c>
      <c r="C45" s="2">
        <v>2273022</v>
      </c>
      <c r="D45" s="2" t="s">
        <v>16</v>
      </c>
      <c r="E45" s="2">
        <v>21</v>
      </c>
      <c r="F45" s="2">
        <v>488</v>
      </c>
      <c r="G45" s="2">
        <v>3</v>
      </c>
      <c r="H45" s="2">
        <v>1033294</v>
      </c>
      <c r="I45" s="2">
        <v>10</v>
      </c>
      <c r="J45" s="2">
        <v>35816</v>
      </c>
      <c r="K45" s="2">
        <v>1722161</v>
      </c>
      <c r="L45" s="2" t="s">
        <v>13</v>
      </c>
    </row>
    <row r="46" spans="1:12" x14ac:dyDescent="0.25">
      <c r="A46" s="2" t="str">
        <f t="shared" si="0"/>
        <v>APP045</v>
      </c>
      <c r="B46" s="2">
        <v>39</v>
      </c>
      <c r="C46" s="2">
        <v>2261960</v>
      </c>
      <c r="D46" s="2" t="s">
        <v>16</v>
      </c>
      <c r="E46" s="2">
        <v>18</v>
      </c>
      <c r="F46" s="2">
        <v>467</v>
      </c>
      <c r="G46" s="2">
        <v>2</v>
      </c>
      <c r="H46" s="2">
        <v>2783264</v>
      </c>
      <c r="I46" s="2">
        <v>21</v>
      </c>
      <c r="J46" s="2">
        <v>19254</v>
      </c>
      <c r="K46" s="2">
        <v>6012062</v>
      </c>
      <c r="L46" s="2" t="s">
        <v>15</v>
      </c>
    </row>
    <row r="47" spans="1:12" x14ac:dyDescent="0.25">
      <c r="A47" s="2" t="str">
        <f t="shared" si="0"/>
        <v>APP046</v>
      </c>
      <c r="B47" s="2">
        <v>37</v>
      </c>
      <c r="C47" s="2">
        <v>1213508</v>
      </c>
      <c r="D47" s="2" t="s">
        <v>12</v>
      </c>
      <c r="E47" s="2">
        <v>30</v>
      </c>
      <c r="F47" s="2">
        <v>465</v>
      </c>
      <c r="G47" s="2">
        <v>3</v>
      </c>
      <c r="H47" s="2">
        <v>4735452</v>
      </c>
      <c r="I47" s="2">
        <v>13</v>
      </c>
      <c r="J47" s="2">
        <v>35032</v>
      </c>
      <c r="K47" s="2">
        <v>3938157</v>
      </c>
      <c r="L47" s="2" t="s">
        <v>15</v>
      </c>
    </row>
    <row r="48" spans="1:12" x14ac:dyDescent="0.25">
      <c r="A48" s="2" t="str">
        <f t="shared" si="0"/>
        <v>APP047</v>
      </c>
      <c r="B48" s="2">
        <v>21</v>
      </c>
      <c r="C48" s="2">
        <v>1536847</v>
      </c>
      <c r="D48" s="2" t="s">
        <v>12</v>
      </c>
      <c r="E48" s="2">
        <v>15</v>
      </c>
      <c r="F48" s="2">
        <v>878</v>
      </c>
      <c r="G48" s="2">
        <v>2</v>
      </c>
      <c r="H48" s="2">
        <v>4026517</v>
      </c>
      <c r="I48" s="2">
        <v>6</v>
      </c>
      <c r="J48" s="2">
        <v>71207</v>
      </c>
      <c r="K48" s="2">
        <v>9278138</v>
      </c>
      <c r="L48" s="2" t="s">
        <v>13</v>
      </c>
    </row>
    <row r="49" spans="1:12" x14ac:dyDescent="0.25">
      <c r="A49" s="2" t="str">
        <f t="shared" si="0"/>
        <v>APP048</v>
      </c>
      <c r="B49" s="2">
        <v>58</v>
      </c>
      <c r="C49" s="2">
        <v>1020897</v>
      </c>
      <c r="D49" s="2" t="s">
        <v>14</v>
      </c>
      <c r="E49" s="2">
        <v>19</v>
      </c>
      <c r="F49" s="2">
        <v>460</v>
      </c>
      <c r="G49" s="2">
        <v>2</v>
      </c>
      <c r="H49" s="2">
        <v>4154213</v>
      </c>
      <c r="I49" s="2">
        <v>12</v>
      </c>
      <c r="J49" s="2">
        <v>7194</v>
      </c>
      <c r="K49" s="2">
        <v>3105803</v>
      </c>
      <c r="L49" s="2" t="s">
        <v>13</v>
      </c>
    </row>
    <row r="50" spans="1:12" x14ac:dyDescent="0.25">
      <c r="A50" s="2" t="str">
        <f t="shared" si="0"/>
        <v>APP049</v>
      </c>
      <c r="B50" s="2">
        <v>30</v>
      </c>
      <c r="C50" s="2">
        <v>1948115</v>
      </c>
      <c r="D50" s="2" t="s">
        <v>12</v>
      </c>
      <c r="E50" s="2">
        <v>35</v>
      </c>
      <c r="F50" s="2">
        <v>856</v>
      </c>
      <c r="G50" s="2">
        <v>5</v>
      </c>
      <c r="H50" s="2">
        <v>4091875</v>
      </c>
      <c r="I50" s="2">
        <v>7</v>
      </c>
      <c r="J50" s="2">
        <v>25442</v>
      </c>
      <c r="K50" s="2">
        <v>6826204</v>
      </c>
      <c r="L50" s="2" t="s">
        <v>13</v>
      </c>
    </row>
    <row r="51" spans="1:12" x14ac:dyDescent="0.25">
      <c r="A51" s="2" t="str">
        <f t="shared" si="0"/>
        <v>APP050</v>
      </c>
      <c r="B51" s="2">
        <v>63</v>
      </c>
      <c r="C51" s="2">
        <v>1876789</v>
      </c>
      <c r="D51" s="2" t="s">
        <v>14</v>
      </c>
      <c r="E51" s="2">
        <v>14</v>
      </c>
      <c r="F51" s="2">
        <v>641</v>
      </c>
      <c r="G51" s="2">
        <v>5</v>
      </c>
      <c r="H51" s="2">
        <v>1000267</v>
      </c>
      <c r="I51" s="2">
        <v>9</v>
      </c>
      <c r="J51" s="2">
        <v>64992</v>
      </c>
      <c r="K51" s="2">
        <v>8332361</v>
      </c>
      <c r="L51" s="2" t="s">
        <v>13</v>
      </c>
    </row>
    <row r="52" spans="1:12" x14ac:dyDescent="0.25">
      <c r="A52" s="2" t="str">
        <f t="shared" si="0"/>
        <v>APP051</v>
      </c>
      <c r="B52" s="2">
        <v>50</v>
      </c>
      <c r="C52" s="2">
        <v>958501</v>
      </c>
      <c r="D52" s="2" t="s">
        <v>14</v>
      </c>
      <c r="E52" s="2">
        <v>24</v>
      </c>
      <c r="F52" s="2">
        <v>837</v>
      </c>
      <c r="G52" s="2">
        <v>0</v>
      </c>
      <c r="H52" s="2">
        <v>4570915</v>
      </c>
      <c r="I52" s="2">
        <v>11</v>
      </c>
      <c r="J52" s="2">
        <v>38415</v>
      </c>
      <c r="K52" s="2">
        <v>3999725</v>
      </c>
      <c r="L52" s="2" t="s">
        <v>13</v>
      </c>
    </row>
    <row r="53" spans="1:12" x14ac:dyDescent="0.25">
      <c r="A53" s="2" t="str">
        <f t="shared" si="0"/>
        <v>APP052</v>
      </c>
      <c r="B53" s="2">
        <v>43</v>
      </c>
      <c r="C53" s="2">
        <v>951001</v>
      </c>
      <c r="D53" s="2" t="s">
        <v>16</v>
      </c>
      <c r="E53" s="2">
        <v>4</v>
      </c>
      <c r="F53" s="2">
        <v>610</v>
      </c>
      <c r="G53" s="2">
        <v>3</v>
      </c>
      <c r="H53" s="2">
        <v>4468825</v>
      </c>
      <c r="I53" s="2">
        <v>24</v>
      </c>
      <c r="J53" s="2">
        <v>77433</v>
      </c>
      <c r="K53" s="2">
        <v>9025926</v>
      </c>
      <c r="L53" s="2" t="s">
        <v>13</v>
      </c>
    </row>
    <row r="54" spans="1:12" x14ac:dyDescent="0.25">
      <c r="A54" s="2" t="str">
        <f t="shared" si="0"/>
        <v>APP053</v>
      </c>
      <c r="B54" s="2">
        <v>34</v>
      </c>
      <c r="C54" s="2">
        <v>1704407</v>
      </c>
      <c r="D54" s="2" t="s">
        <v>16</v>
      </c>
      <c r="E54" s="2">
        <v>35</v>
      </c>
      <c r="F54" s="2">
        <v>606</v>
      </c>
      <c r="G54" s="2">
        <v>4</v>
      </c>
      <c r="H54" s="2">
        <v>3920878</v>
      </c>
      <c r="I54" s="2">
        <v>28</v>
      </c>
      <c r="J54" s="2">
        <v>36276</v>
      </c>
      <c r="K54" s="2">
        <v>122755</v>
      </c>
      <c r="L54" s="2" t="s">
        <v>15</v>
      </c>
    </row>
    <row r="55" spans="1:12" x14ac:dyDescent="0.25">
      <c r="A55" s="2" t="str">
        <f t="shared" si="0"/>
        <v>APP054</v>
      </c>
      <c r="B55" s="2">
        <v>30</v>
      </c>
      <c r="C55" s="2">
        <v>999560</v>
      </c>
      <c r="D55" s="2" t="s">
        <v>12</v>
      </c>
      <c r="E55" s="2">
        <v>31</v>
      </c>
      <c r="F55" s="2">
        <v>558</v>
      </c>
      <c r="G55" s="2">
        <v>0</v>
      </c>
      <c r="H55" s="2">
        <v>2598602</v>
      </c>
      <c r="I55" s="2">
        <v>23</v>
      </c>
      <c r="J55" s="2">
        <v>57935</v>
      </c>
      <c r="K55" s="2">
        <v>6234503</v>
      </c>
      <c r="L55" s="2" t="s">
        <v>13</v>
      </c>
    </row>
    <row r="56" spans="1:12" x14ac:dyDescent="0.25">
      <c r="A56" s="2" t="str">
        <f t="shared" si="0"/>
        <v>APP055</v>
      </c>
      <c r="B56" s="2">
        <v>38</v>
      </c>
      <c r="C56" s="2">
        <v>748715</v>
      </c>
      <c r="D56" s="2" t="s">
        <v>12</v>
      </c>
      <c r="E56" s="2">
        <v>27</v>
      </c>
      <c r="F56" s="2">
        <v>769</v>
      </c>
      <c r="G56" s="2">
        <v>1</v>
      </c>
      <c r="H56" s="2">
        <v>221182</v>
      </c>
      <c r="I56" s="2">
        <v>30</v>
      </c>
      <c r="J56" s="2">
        <v>61862</v>
      </c>
      <c r="K56" s="2">
        <v>9793730</v>
      </c>
      <c r="L56" s="2" t="s">
        <v>15</v>
      </c>
    </row>
    <row r="57" spans="1:12" x14ac:dyDescent="0.25">
      <c r="A57" s="2" t="str">
        <f t="shared" si="0"/>
        <v>APP056</v>
      </c>
      <c r="B57" s="2">
        <v>32</v>
      </c>
      <c r="C57" s="2">
        <v>2370232</v>
      </c>
      <c r="D57" s="2" t="s">
        <v>12</v>
      </c>
      <c r="E57" s="2">
        <v>30</v>
      </c>
      <c r="F57" s="2">
        <v>884</v>
      </c>
      <c r="G57" s="2">
        <v>2</v>
      </c>
      <c r="H57" s="2">
        <v>2077333</v>
      </c>
      <c r="I57" s="2">
        <v>30</v>
      </c>
      <c r="J57" s="2">
        <v>36515</v>
      </c>
      <c r="K57" s="2">
        <v>7290428</v>
      </c>
      <c r="L57" s="2" t="s">
        <v>13</v>
      </c>
    </row>
    <row r="58" spans="1:12" x14ac:dyDescent="0.25">
      <c r="A58" s="2" t="str">
        <f t="shared" si="0"/>
        <v>APP057</v>
      </c>
      <c r="B58" s="2">
        <v>48</v>
      </c>
      <c r="C58" s="2">
        <v>1650375</v>
      </c>
      <c r="D58" s="2" t="s">
        <v>12</v>
      </c>
      <c r="E58" s="2">
        <v>35</v>
      </c>
      <c r="F58" s="2">
        <v>813</v>
      </c>
      <c r="G58" s="2">
        <v>2</v>
      </c>
      <c r="H58" s="2">
        <v>1518345</v>
      </c>
      <c r="I58" s="2">
        <v>8</v>
      </c>
      <c r="J58" s="2">
        <v>15423</v>
      </c>
      <c r="K58" s="2">
        <v>9525530</v>
      </c>
      <c r="L58" s="2" t="s">
        <v>15</v>
      </c>
    </row>
    <row r="59" spans="1:12" x14ac:dyDescent="0.25">
      <c r="A59" s="2" t="str">
        <f t="shared" si="0"/>
        <v>APP058</v>
      </c>
      <c r="B59" s="2">
        <v>24</v>
      </c>
      <c r="C59" s="2">
        <v>2411110</v>
      </c>
      <c r="D59" s="2" t="s">
        <v>16</v>
      </c>
      <c r="E59" s="2">
        <v>19</v>
      </c>
      <c r="F59" s="2">
        <v>518</v>
      </c>
      <c r="G59" s="2">
        <v>1</v>
      </c>
      <c r="H59" s="2">
        <v>4895418</v>
      </c>
      <c r="I59" s="2">
        <v>14</v>
      </c>
      <c r="J59" s="2">
        <v>78473</v>
      </c>
      <c r="K59" s="2">
        <v>4990190</v>
      </c>
      <c r="L59" s="2" t="s">
        <v>13</v>
      </c>
    </row>
    <row r="60" spans="1:12" x14ac:dyDescent="0.25">
      <c r="A60" s="2" t="str">
        <f t="shared" si="0"/>
        <v>APP059</v>
      </c>
      <c r="B60" s="2">
        <v>36</v>
      </c>
      <c r="C60" s="2">
        <v>1068429</v>
      </c>
      <c r="D60" s="2" t="s">
        <v>12</v>
      </c>
      <c r="E60" s="2">
        <v>5</v>
      </c>
      <c r="F60" s="2">
        <v>523</v>
      </c>
      <c r="G60" s="2">
        <v>2</v>
      </c>
      <c r="H60" s="2">
        <v>4161119</v>
      </c>
      <c r="I60" s="2">
        <v>13</v>
      </c>
      <c r="J60" s="2">
        <v>37048</v>
      </c>
      <c r="K60" s="2">
        <v>3867443</v>
      </c>
      <c r="L60" s="2" t="s">
        <v>13</v>
      </c>
    </row>
    <row r="61" spans="1:12" x14ac:dyDescent="0.25">
      <c r="A61" s="2" t="str">
        <f t="shared" si="0"/>
        <v>APP060</v>
      </c>
      <c r="B61" s="2">
        <v>36</v>
      </c>
      <c r="C61" s="2">
        <v>1869867</v>
      </c>
      <c r="D61" s="2" t="s">
        <v>16</v>
      </c>
      <c r="E61" s="2">
        <v>19</v>
      </c>
      <c r="F61" s="2">
        <v>802</v>
      </c>
      <c r="G61" s="2">
        <v>4</v>
      </c>
      <c r="H61" s="2">
        <v>4098160</v>
      </c>
      <c r="I61" s="2">
        <v>25</v>
      </c>
      <c r="J61" s="2">
        <v>77996</v>
      </c>
      <c r="K61" s="2">
        <v>6804606</v>
      </c>
      <c r="L61" s="2" t="s">
        <v>13</v>
      </c>
    </row>
    <row r="62" spans="1:12" x14ac:dyDescent="0.25">
      <c r="A62" s="2" t="str">
        <f t="shared" si="0"/>
        <v>APP061</v>
      </c>
      <c r="B62" s="2">
        <v>61</v>
      </c>
      <c r="C62" s="2">
        <v>1231274</v>
      </c>
      <c r="D62" s="2" t="s">
        <v>12</v>
      </c>
      <c r="E62" s="2">
        <v>2</v>
      </c>
      <c r="F62" s="2">
        <v>571</v>
      </c>
      <c r="G62" s="2">
        <v>1</v>
      </c>
      <c r="H62" s="2">
        <v>3517974</v>
      </c>
      <c r="I62" s="2">
        <v>27</v>
      </c>
      <c r="J62" s="2">
        <v>5028</v>
      </c>
      <c r="K62" s="2">
        <v>9654663</v>
      </c>
      <c r="L62" s="2" t="s">
        <v>15</v>
      </c>
    </row>
    <row r="63" spans="1:12" x14ac:dyDescent="0.25">
      <c r="A63" s="2" t="str">
        <f t="shared" si="0"/>
        <v>APP062</v>
      </c>
      <c r="B63" s="2">
        <v>32</v>
      </c>
      <c r="C63" s="2">
        <v>1964405</v>
      </c>
      <c r="D63" s="2" t="s">
        <v>16</v>
      </c>
      <c r="E63" s="2">
        <v>32</v>
      </c>
      <c r="F63" s="2">
        <v>356</v>
      </c>
      <c r="G63" s="2">
        <v>0</v>
      </c>
      <c r="H63" s="2">
        <v>3068955</v>
      </c>
      <c r="I63" s="2">
        <v>22</v>
      </c>
      <c r="J63" s="2">
        <v>60270</v>
      </c>
      <c r="K63" s="2">
        <v>6440413</v>
      </c>
      <c r="L63" s="2" t="s">
        <v>13</v>
      </c>
    </row>
    <row r="64" spans="1:12" x14ac:dyDescent="0.25">
      <c r="A64" s="2" t="str">
        <f t="shared" si="0"/>
        <v>APP063</v>
      </c>
      <c r="B64" s="2">
        <v>51</v>
      </c>
      <c r="C64" s="2">
        <v>2426641</v>
      </c>
      <c r="D64" s="2" t="s">
        <v>14</v>
      </c>
      <c r="E64" s="2">
        <v>26</v>
      </c>
      <c r="F64" s="2">
        <v>544</v>
      </c>
      <c r="G64" s="2">
        <v>5</v>
      </c>
      <c r="H64" s="2">
        <v>656975</v>
      </c>
      <c r="I64" s="2">
        <v>4</v>
      </c>
      <c r="J64" s="2">
        <v>50815</v>
      </c>
      <c r="K64" s="2">
        <v>1743349</v>
      </c>
      <c r="L64" s="2" t="s">
        <v>15</v>
      </c>
    </row>
    <row r="65" spans="1:12" x14ac:dyDescent="0.25">
      <c r="A65" s="2" t="str">
        <f t="shared" si="0"/>
        <v>APP064</v>
      </c>
      <c r="B65" s="2">
        <v>36</v>
      </c>
      <c r="C65" s="2">
        <v>1213100</v>
      </c>
      <c r="D65" s="2" t="s">
        <v>14</v>
      </c>
      <c r="E65" s="2">
        <v>30</v>
      </c>
      <c r="F65" s="2">
        <v>783</v>
      </c>
      <c r="G65" s="2">
        <v>0</v>
      </c>
      <c r="H65" s="2">
        <v>4023741</v>
      </c>
      <c r="I65" s="2">
        <v>22</v>
      </c>
      <c r="J65" s="2">
        <v>8732</v>
      </c>
      <c r="K65" s="2">
        <v>8785792</v>
      </c>
      <c r="L65" s="2" t="s">
        <v>13</v>
      </c>
    </row>
    <row r="66" spans="1:12" x14ac:dyDescent="0.25">
      <c r="A66" s="2" t="str">
        <f t="shared" si="0"/>
        <v>APP065</v>
      </c>
      <c r="B66" s="2">
        <v>23</v>
      </c>
      <c r="C66" s="2">
        <v>973013</v>
      </c>
      <c r="D66" s="2" t="s">
        <v>14</v>
      </c>
      <c r="E66" s="2">
        <v>19</v>
      </c>
      <c r="F66" s="2">
        <v>854</v>
      </c>
      <c r="G66" s="2">
        <v>5</v>
      </c>
      <c r="H66" s="2">
        <v>1396481</v>
      </c>
      <c r="I66" s="2">
        <v>18</v>
      </c>
      <c r="J66" s="2">
        <v>6776</v>
      </c>
      <c r="K66" s="2">
        <v>2323758</v>
      </c>
      <c r="L66" s="2" t="s">
        <v>13</v>
      </c>
    </row>
    <row r="67" spans="1:12" x14ac:dyDescent="0.25">
      <c r="A67" s="2" t="str">
        <f t="shared" ref="A67:A130" si="1">"APP"&amp;TEXT(ROW()-1,"000")</f>
        <v>APP066</v>
      </c>
      <c r="B67" s="2">
        <v>39</v>
      </c>
      <c r="C67" s="2">
        <v>192675</v>
      </c>
      <c r="D67" s="2" t="s">
        <v>12</v>
      </c>
      <c r="E67" s="2">
        <v>22</v>
      </c>
      <c r="F67" s="2">
        <v>709</v>
      </c>
      <c r="G67" s="2">
        <v>0</v>
      </c>
      <c r="H67" s="2">
        <v>4388812</v>
      </c>
      <c r="I67" s="2">
        <v>2</v>
      </c>
      <c r="J67" s="2">
        <v>71877</v>
      </c>
      <c r="K67" s="2">
        <v>8416923</v>
      </c>
      <c r="L67" s="2" t="s">
        <v>13</v>
      </c>
    </row>
    <row r="68" spans="1:12" x14ac:dyDescent="0.25">
      <c r="A68" s="2" t="str">
        <f t="shared" si="1"/>
        <v>APP067</v>
      </c>
      <c r="B68" s="2">
        <v>30</v>
      </c>
      <c r="C68" s="2">
        <v>824772</v>
      </c>
      <c r="D68" s="2" t="s">
        <v>12</v>
      </c>
      <c r="E68" s="2">
        <v>15</v>
      </c>
      <c r="F68" s="2">
        <v>362</v>
      </c>
      <c r="G68" s="2">
        <v>4</v>
      </c>
      <c r="H68" s="2">
        <v>929453</v>
      </c>
      <c r="I68" s="2">
        <v>26</v>
      </c>
      <c r="J68" s="2">
        <v>70600</v>
      </c>
      <c r="K68" s="2">
        <v>6986816</v>
      </c>
      <c r="L68" s="2" t="s">
        <v>15</v>
      </c>
    </row>
    <row r="69" spans="1:12" x14ac:dyDescent="0.25">
      <c r="A69" s="2" t="str">
        <f t="shared" si="1"/>
        <v>APP068</v>
      </c>
      <c r="B69" s="2">
        <v>43</v>
      </c>
      <c r="C69" s="2">
        <v>714778</v>
      </c>
      <c r="D69" s="2" t="s">
        <v>14</v>
      </c>
      <c r="E69" s="2">
        <v>13</v>
      </c>
      <c r="F69" s="2">
        <v>468</v>
      </c>
      <c r="G69" s="2">
        <v>0</v>
      </c>
      <c r="H69" s="2">
        <v>679007</v>
      </c>
      <c r="I69" s="2">
        <v>13</v>
      </c>
      <c r="J69" s="2">
        <v>74908</v>
      </c>
      <c r="K69" s="2">
        <v>6393378</v>
      </c>
      <c r="L69" s="2" t="s">
        <v>13</v>
      </c>
    </row>
    <row r="70" spans="1:12" x14ac:dyDescent="0.25">
      <c r="A70" s="2" t="str">
        <f t="shared" si="1"/>
        <v>APP069</v>
      </c>
      <c r="B70" s="2">
        <v>56</v>
      </c>
      <c r="C70" s="2">
        <v>1694141</v>
      </c>
      <c r="D70" s="2" t="s">
        <v>12</v>
      </c>
      <c r="E70" s="2">
        <v>35</v>
      </c>
      <c r="F70" s="2">
        <v>514</v>
      </c>
      <c r="G70" s="2">
        <v>5</v>
      </c>
      <c r="H70" s="2">
        <v>3896734</v>
      </c>
      <c r="I70" s="2">
        <v>16</v>
      </c>
      <c r="J70" s="2">
        <v>59893</v>
      </c>
      <c r="K70" s="2">
        <v>7953996</v>
      </c>
      <c r="L70" s="2" t="s">
        <v>15</v>
      </c>
    </row>
    <row r="71" spans="1:12" x14ac:dyDescent="0.25">
      <c r="A71" s="2" t="str">
        <f t="shared" si="1"/>
        <v>APP070</v>
      </c>
      <c r="B71" s="2">
        <v>50</v>
      </c>
      <c r="C71" s="2">
        <v>1097042</v>
      </c>
      <c r="D71" s="2" t="s">
        <v>14</v>
      </c>
      <c r="E71" s="2">
        <v>4</v>
      </c>
      <c r="F71" s="2">
        <v>864</v>
      </c>
      <c r="G71" s="2">
        <v>5</v>
      </c>
      <c r="H71" s="2">
        <v>1836492</v>
      </c>
      <c r="I71" s="2">
        <v>12</v>
      </c>
      <c r="J71" s="2">
        <v>56307</v>
      </c>
      <c r="K71" s="2">
        <v>5115783</v>
      </c>
      <c r="L71" s="2" t="s">
        <v>13</v>
      </c>
    </row>
    <row r="72" spans="1:12" x14ac:dyDescent="0.25">
      <c r="A72" s="2" t="str">
        <f t="shared" si="1"/>
        <v>APP071</v>
      </c>
      <c r="B72" s="2">
        <v>26</v>
      </c>
      <c r="C72" s="2">
        <v>1086926</v>
      </c>
      <c r="D72" s="2" t="s">
        <v>12</v>
      </c>
      <c r="E72" s="2">
        <v>16</v>
      </c>
      <c r="F72" s="2">
        <v>542</v>
      </c>
      <c r="G72" s="2">
        <v>5</v>
      </c>
      <c r="H72" s="2">
        <v>1935626</v>
      </c>
      <c r="I72" s="2">
        <v>19</v>
      </c>
      <c r="J72" s="2">
        <v>12440</v>
      </c>
      <c r="K72" s="2">
        <v>3003358</v>
      </c>
      <c r="L72" s="2" t="s">
        <v>13</v>
      </c>
    </row>
    <row r="73" spans="1:12" x14ac:dyDescent="0.25">
      <c r="A73" s="2" t="str">
        <f t="shared" si="1"/>
        <v>APP072</v>
      </c>
      <c r="B73" s="2">
        <v>39</v>
      </c>
      <c r="C73" s="2">
        <v>762818</v>
      </c>
      <c r="D73" s="2" t="s">
        <v>16</v>
      </c>
      <c r="E73" s="2">
        <v>29</v>
      </c>
      <c r="F73" s="2">
        <v>812</v>
      </c>
      <c r="G73" s="2">
        <v>1</v>
      </c>
      <c r="H73" s="2">
        <v>784847</v>
      </c>
      <c r="I73" s="2">
        <v>2</v>
      </c>
      <c r="J73" s="2">
        <v>32308</v>
      </c>
      <c r="K73" s="2">
        <v>145138</v>
      </c>
      <c r="L73" s="2" t="s">
        <v>13</v>
      </c>
    </row>
    <row r="74" spans="1:12" x14ac:dyDescent="0.25">
      <c r="A74" s="2" t="str">
        <f t="shared" si="1"/>
        <v>APP073</v>
      </c>
      <c r="B74" s="2">
        <v>25</v>
      </c>
      <c r="C74" s="2">
        <v>270998</v>
      </c>
      <c r="D74" s="2" t="s">
        <v>14</v>
      </c>
      <c r="E74" s="2">
        <v>2</v>
      </c>
      <c r="F74" s="2">
        <v>677</v>
      </c>
      <c r="G74" s="2">
        <v>1</v>
      </c>
      <c r="H74" s="2">
        <v>702752</v>
      </c>
      <c r="I74" s="2">
        <v>20</v>
      </c>
      <c r="J74" s="2">
        <v>44740</v>
      </c>
      <c r="K74" s="2">
        <v>4047506</v>
      </c>
      <c r="L74" s="2" t="s">
        <v>13</v>
      </c>
    </row>
    <row r="75" spans="1:12" x14ac:dyDescent="0.25">
      <c r="A75" s="2" t="str">
        <f t="shared" si="1"/>
        <v>APP074</v>
      </c>
      <c r="B75" s="2">
        <v>50</v>
      </c>
      <c r="C75" s="2">
        <v>846458</v>
      </c>
      <c r="D75" s="2" t="s">
        <v>12</v>
      </c>
      <c r="E75" s="2">
        <v>35</v>
      </c>
      <c r="F75" s="2">
        <v>476</v>
      </c>
      <c r="G75" s="2">
        <v>4</v>
      </c>
      <c r="H75" s="2">
        <v>2771729</v>
      </c>
      <c r="I75" s="2">
        <v>8</v>
      </c>
      <c r="J75" s="2">
        <v>19069</v>
      </c>
      <c r="K75" s="2">
        <v>5631439</v>
      </c>
      <c r="L75" s="2" t="s">
        <v>13</v>
      </c>
    </row>
    <row r="76" spans="1:12" x14ac:dyDescent="0.25">
      <c r="A76" s="2" t="str">
        <f t="shared" si="1"/>
        <v>APP075</v>
      </c>
      <c r="B76" s="2">
        <v>21</v>
      </c>
      <c r="C76" s="2">
        <v>1875540</v>
      </c>
      <c r="D76" s="2" t="s">
        <v>12</v>
      </c>
      <c r="E76" s="2">
        <v>20</v>
      </c>
      <c r="F76" s="2">
        <v>583</v>
      </c>
      <c r="G76" s="2">
        <v>4</v>
      </c>
      <c r="H76" s="2">
        <v>178513</v>
      </c>
      <c r="I76" s="2">
        <v>19</v>
      </c>
      <c r="J76" s="2">
        <v>63427</v>
      </c>
      <c r="K76" s="2">
        <v>810734</v>
      </c>
      <c r="L76" s="2" t="s">
        <v>13</v>
      </c>
    </row>
    <row r="77" spans="1:12" x14ac:dyDescent="0.25">
      <c r="A77" s="2" t="str">
        <f t="shared" si="1"/>
        <v>APP076</v>
      </c>
      <c r="B77" s="2">
        <v>38</v>
      </c>
      <c r="C77" s="2">
        <v>356077</v>
      </c>
      <c r="D77" s="2" t="s">
        <v>14</v>
      </c>
      <c r="E77" s="2">
        <v>31</v>
      </c>
      <c r="F77" s="2">
        <v>705</v>
      </c>
      <c r="G77" s="2">
        <v>0</v>
      </c>
      <c r="H77" s="2">
        <v>1644812</v>
      </c>
      <c r="I77" s="2">
        <v>14</v>
      </c>
      <c r="J77" s="2">
        <v>75506</v>
      </c>
      <c r="K77" s="2">
        <v>9411380</v>
      </c>
      <c r="L77" s="2" t="s">
        <v>13</v>
      </c>
    </row>
    <row r="78" spans="1:12" x14ac:dyDescent="0.25">
      <c r="A78" s="2" t="str">
        <f t="shared" si="1"/>
        <v>APP077</v>
      </c>
      <c r="B78" s="2">
        <v>49</v>
      </c>
      <c r="C78" s="2">
        <v>2425875</v>
      </c>
      <c r="D78" s="2" t="s">
        <v>16</v>
      </c>
      <c r="E78" s="2">
        <v>12</v>
      </c>
      <c r="F78" s="2">
        <v>854</v>
      </c>
      <c r="G78" s="2">
        <v>1</v>
      </c>
      <c r="H78" s="2">
        <v>4167162</v>
      </c>
      <c r="I78" s="2">
        <v>9</v>
      </c>
      <c r="J78" s="2">
        <v>53471</v>
      </c>
      <c r="K78" s="2">
        <v>8180221</v>
      </c>
      <c r="L78" s="2" t="s">
        <v>13</v>
      </c>
    </row>
    <row r="79" spans="1:12" x14ac:dyDescent="0.25">
      <c r="A79" s="2" t="str">
        <f t="shared" si="1"/>
        <v>APP078</v>
      </c>
      <c r="B79" s="2">
        <v>29</v>
      </c>
      <c r="C79" s="2">
        <v>512311</v>
      </c>
      <c r="D79" s="2" t="s">
        <v>16</v>
      </c>
      <c r="E79" s="2">
        <v>8</v>
      </c>
      <c r="F79" s="2">
        <v>624</v>
      </c>
      <c r="G79" s="2">
        <v>4</v>
      </c>
      <c r="H79" s="2">
        <v>1575818</v>
      </c>
      <c r="I79" s="2">
        <v>5</v>
      </c>
      <c r="J79" s="2">
        <v>37213</v>
      </c>
      <c r="K79" s="2">
        <v>9969883</v>
      </c>
      <c r="L79" s="2" t="s">
        <v>13</v>
      </c>
    </row>
    <row r="80" spans="1:12" x14ac:dyDescent="0.25">
      <c r="A80" s="2" t="str">
        <f t="shared" si="1"/>
        <v>APP079</v>
      </c>
      <c r="B80" s="2">
        <v>50</v>
      </c>
      <c r="C80" s="2">
        <v>1229983</v>
      </c>
      <c r="D80" s="2" t="s">
        <v>16</v>
      </c>
      <c r="E80" s="2">
        <v>11</v>
      </c>
      <c r="F80" s="2">
        <v>793</v>
      </c>
      <c r="G80" s="2">
        <v>3</v>
      </c>
      <c r="H80" s="2">
        <v>3771481</v>
      </c>
      <c r="I80" s="2">
        <v>24</v>
      </c>
      <c r="J80" s="2">
        <v>17661</v>
      </c>
      <c r="K80" s="2">
        <v>2991427</v>
      </c>
      <c r="L80" s="2" t="s">
        <v>13</v>
      </c>
    </row>
    <row r="81" spans="1:12" x14ac:dyDescent="0.25">
      <c r="A81" s="2" t="str">
        <f t="shared" si="1"/>
        <v>APP080</v>
      </c>
      <c r="B81" s="2">
        <v>29</v>
      </c>
      <c r="C81" s="2">
        <v>2384896</v>
      </c>
      <c r="D81" s="2" t="s">
        <v>14</v>
      </c>
      <c r="E81" s="2">
        <v>14</v>
      </c>
      <c r="F81" s="2">
        <v>849</v>
      </c>
      <c r="G81" s="2">
        <v>5</v>
      </c>
      <c r="H81" s="2">
        <v>4687622</v>
      </c>
      <c r="I81" s="2">
        <v>8</v>
      </c>
      <c r="J81" s="2">
        <v>31469</v>
      </c>
      <c r="K81" s="2">
        <v>7711440</v>
      </c>
      <c r="L81" s="2" t="s">
        <v>13</v>
      </c>
    </row>
    <row r="82" spans="1:12" x14ac:dyDescent="0.25">
      <c r="A82" s="2" t="str">
        <f t="shared" si="1"/>
        <v>APP081</v>
      </c>
      <c r="B82" s="2">
        <v>42</v>
      </c>
      <c r="C82" s="2">
        <v>1861691</v>
      </c>
      <c r="D82" s="2" t="s">
        <v>12</v>
      </c>
      <c r="E82" s="2">
        <v>31</v>
      </c>
      <c r="F82" s="2">
        <v>830</v>
      </c>
      <c r="G82" s="2">
        <v>2</v>
      </c>
      <c r="H82" s="2">
        <v>4349446</v>
      </c>
      <c r="I82" s="2">
        <v>27</v>
      </c>
      <c r="J82" s="2">
        <v>57107</v>
      </c>
      <c r="K82" s="2">
        <v>1977607</v>
      </c>
      <c r="L82" s="2" t="s">
        <v>15</v>
      </c>
    </row>
    <row r="83" spans="1:12" x14ac:dyDescent="0.25">
      <c r="A83" s="2" t="str">
        <f t="shared" si="1"/>
        <v>APP082</v>
      </c>
      <c r="B83" s="2">
        <v>24</v>
      </c>
      <c r="C83" s="2">
        <v>1529959</v>
      </c>
      <c r="D83" s="2" t="s">
        <v>12</v>
      </c>
      <c r="E83" s="2">
        <v>13</v>
      </c>
      <c r="F83" s="2">
        <v>611</v>
      </c>
      <c r="G83" s="2">
        <v>3</v>
      </c>
      <c r="H83" s="2">
        <v>2476127</v>
      </c>
      <c r="I83" s="2">
        <v>16</v>
      </c>
      <c r="J83" s="2">
        <v>42553</v>
      </c>
      <c r="K83" s="2">
        <v>3685658</v>
      </c>
      <c r="L83" s="2" t="s">
        <v>13</v>
      </c>
    </row>
    <row r="84" spans="1:12" x14ac:dyDescent="0.25">
      <c r="A84" s="2" t="str">
        <f t="shared" si="1"/>
        <v>APP083</v>
      </c>
      <c r="B84" s="2">
        <v>60</v>
      </c>
      <c r="C84" s="2">
        <v>2439947</v>
      </c>
      <c r="D84" s="2" t="s">
        <v>12</v>
      </c>
      <c r="E84" s="2">
        <v>22</v>
      </c>
      <c r="F84" s="2">
        <v>511</v>
      </c>
      <c r="G84" s="2">
        <v>4</v>
      </c>
      <c r="H84" s="2">
        <v>4803549</v>
      </c>
      <c r="I84" s="2">
        <v>8</v>
      </c>
      <c r="J84" s="2">
        <v>27565</v>
      </c>
      <c r="K84" s="2">
        <v>5679956</v>
      </c>
      <c r="L84" s="2" t="s">
        <v>13</v>
      </c>
    </row>
    <row r="85" spans="1:12" x14ac:dyDescent="0.25">
      <c r="A85" s="2" t="str">
        <f t="shared" si="1"/>
        <v>APP084</v>
      </c>
      <c r="B85" s="2">
        <v>31</v>
      </c>
      <c r="C85" s="2">
        <v>280330</v>
      </c>
      <c r="D85" s="2" t="s">
        <v>12</v>
      </c>
      <c r="E85" s="2">
        <v>8</v>
      </c>
      <c r="F85" s="2">
        <v>732</v>
      </c>
      <c r="G85" s="2">
        <v>3</v>
      </c>
      <c r="H85" s="2">
        <v>4992804</v>
      </c>
      <c r="I85" s="2">
        <v>28</v>
      </c>
      <c r="J85" s="2">
        <v>69069</v>
      </c>
      <c r="K85" s="2">
        <v>3423420</v>
      </c>
      <c r="L85" s="2" t="s">
        <v>13</v>
      </c>
    </row>
    <row r="86" spans="1:12" x14ac:dyDescent="0.25">
      <c r="A86" s="2" t="str">
        <f t="shared" si="1"/>
        <v>APP085</v>
      </c>
      <c r="B86" s="2">
        <v>63</v>
      </c>
      <c r="C86" s="2">
        <v>1876837</v>
      </c>
      <c r="D86" s="2" t="s">
        <v>16</v>
      </c>
      <c r="E86" s="2">
        <v>33</v>
      </c>
      <c r="F86" s="2">
        <v>303</v>
      </c>
      <c r="G86" s="2">
        <v>2</v>
      </c>
      <c r="H86" s="2">
        <v>4910112</v>
      </c>
      <c r="I86" s="2">
        <v>30</v>
      </c>
      <c r="J86" s="2">
        <v>78800</v>
      </c>
      <c r="K86" s="2">
        <v>996943</v>
      </c>
      <c r="L86" s="2" t="s">
        <v>13</v>
      </c>
    </row>
    <row r="87" spans="1:12" x14ac:dyDescent="0.25">
      <c r="A87" s="2" t="str">
        <f t="shared" si="1"/>
        <v>APP086</v>
      </c>
      <c r="B87" s="2">
        <v>31</v>
      </c>
      <c r="C87" s="2">
        <v>2237176</v>
      </c>
      <c r="D87" s="2" t="s">
        <v>12</v>
      </c>
      <c r="E87" s="2">
        <v>34</v>
      </c>
      <c r="F87" s="2">
        <v>825</v>
      </c>
      <c r="G87" s="2">
        <v>2</v>
      </c>
      <c r="H87" s="2">
        <v>895547</v>
      </c>
      <c r="I87" s="2">
        <v>9</v>
      </c>
      <c r="J87" s="2">
        <v>63332</v>
      </c>
      <c r="K87" s="2">
        <v>9608114</v>
      </c>
      <c r="L87" s="2" t="s">
        <v>13</v>
      </c>
    </row>
    <row r="88" spans="1:12" x14ac:dyDescent="0.25">
      <c r="A88" s="2" t="str">
        <f t="shared" si="1"/>
        <v>APP087</v>
      </c>
      <c r="B88" s="2">
        <v>32</v>
      </c>
      <c r="C88" s="2">
        <v>2238069</v>
      </c>
      <c r="D88" s="2" t="s">
        <v>16</v>
      </c>
      <c r="E88" s="2">
        <v>9</v>
      </c>
      <c r="F88" s="2">
        <v>542</v>
      </c>
      <c r="G88" s="2">
        <v>3</v>
      </c>
      <c r="H88" s="2">
        <v>4441363</v>
      </c>
      <c r="I88" s="2">
        <v>6</v>
      </c>
      <c r="J88" s="2">
        <v>47226</v>
      </c>
      <c r="K88" s="2">
        <v>1667682</v>
      </c>
      <c r="L88" s="2" t="s">
        <v>13</v>
      </c>
    </row>
    <row r="89" spans="1:12" x14ac:dyDescent="0.25">
      <c r="A89" s="2" t="str">
        <f t="shared" si="1"/>
        <v>APP088</v>
      </c>
      <c r="B89" s="2">
        <v>41</v>
      </c>
      <c r="C89" s="2">
        <v>590537</v>
      </c>
      <c r="D89" s="2" t="s">
        <v>12</v>
      </c>
      <c r="E89" s="2">
        <v>0</v>
      </c>
      <c r="F89" s="2">
        <v>392</v>
      </c>
      <c r="G89" s="2">
        <v>4</v>
      </c>
      <c r="H89" s="2">
        <v>4622359</v>
      </c>
      <c r="I89" s="2">
        <v>4</v>
      </c>
      <c r="J89" s="2">
        <v>31307</v>
      </c>
      <c r="K89" s="2">
        <v>6663405</v>
      </c>
      <c r="L89" s="2" t="s">
        <v>13</v>
      </c>
    </row>
    <row r="90" spans="1:12" x14ac:dyDescent="0.25">
      <c r="A90" s="2" t="str">
        <f t="shared" si="1"/>
        <v>APP089</v>
      </c>
      <c r="B90" s="2">
        <v>40</v>
      </c>
      <c r="C90" s="2">
        <v>1330814</v>
      </c>
      <c r="D90" s="2" t="s">
        <v>16</v>
      </c>
      <c r="E90" s="2">
        <v>9</v>
      </c>
      <c r="F90" s="2">
        <v>638</v>
      </c>
      <c r="G90" s="2">
        <v>3</v>
      </c>
      <c r="H90" s="2">
        <v>907977</v>
      </c>
      <c r="I90" s="2">
        <v>29</v>
      </c>
      <c r="J90" s="2">
        <v>8526</v>
      </c>
      <c r="K90" s="2">
        <v>8043902</v>
      </c>
      <c r="L90" s="2" t="s">
        <v>15</v>
      </c>
    </row>
    <row r="91" spans="1:12" x14ac:dyDescent="0.25">
      <c r="A91" s="2" t="str">
        <f t="shared" si="1"/>
        <v>APP090</v>
      </c>
      <c r="B91" s="2">
        <v>39</v>
      </c>
      <c r="C91" s="2">
        <v>2399405</v>
      </c>
      <c r="D91" s="2" t="s">
        <v>12</v>
      </c>
      <c r="E91" s="2">
        <v>13</v>
      </c>
      <c r="F91" s="2">
        <v>364</v>
      </c>
      <c r="G91" s="2">
        <v>2</v>
      </c>
      <c r="H91" s="2">
        <v>2501850</v>
      </c>
      <c r="I91" s="2">
        <v>13</v>
      </c>
      <c r="J91" s="2">
        <v>58630</v>
      </c>
      <c r="K91" s="2">
        <v>4235390</v>
      </c>
      <c r="L91" s="2" t="s">
        <v>13</v>
      </c>
    </row>
    <row r="92" spans="1:12" x14ac:dyDescent="0.25">
      <c r="A92" s="2" t="str">
        <f t="shared" si="1"/>
        <v>APP091</v>
      </c>
      <c r="B92" s="2">
        <v>53</v>
      </c>
      <c r="C92" s="2">
        <v>215826</v>
      </c>
      <c r="D92" s="2" t="s">
        <v>14</v>
      </c>
      <c r="E92" s="2">
        <v>2</v>
      </c>
      <c r="F92" s="2">
        <v>882</v>
      </c>
      <c r="G92" s="2">
        <v>2</v>
      </c>
      <c r="H92" s="2">
        <v>3365167</v>
      </c>
      <c r="I92" s="2">
        <v>19</v>
      </c>
      <c r="J92" s="2">
        <v>68617</v>
      </c>
      <c r="K92" s="2">
        <v>2532429</v>
      </c>
      <c r="L92" s="2" t="s">
        <v>15</v>
      </c>
    </row>
    <row r="93" spans="1:12" x14ac:dyDescent="0.25">
      <c r="A93" s="2" t="str">
        <f t="shared" si="1"/>
        <v>APP092</v>
      </c>
      <c r="B93" s="2">
        <v>30</v>
      </c>
      <c r="C93" s="2">
        <v>417680</v>
      </c>
      <c r="D93" s="2" t="s">
        <v>16</v>
      </c>
      <c r="E93" s="2">
        <v>25</v>
      </c>
      <c r="F93" s="2">
        <v>650</v>
      </c>
      <c r="G93" s="2">
        <v>0</v>
      </c>
      <c r="H93" s="2">
        <v>3673917</v>
      </c>
      <c r="I93" s="2">
        <v>27</v>
      </c>
      <c r="J93" s="2">
        <v>66132</v>
      </c>
      <c r="K93" s="2">
        <v>8041066</v>
      </c>
      <c r="L93" s="2" t="s">
        <v>13</v>
      </c>
    </row>
    <row r="94" spans="1:12" x14ac:dyDescent="0.25">
      <c r="A94" s="2" t="str">
        <f t="shared" si="1"/>
        <v>APP093</v>
      </c>
      <c r="B94" s="2">
        <v>40</v>
      </c>
      <c r="C94" s="2">
        <v>2332302</v>
      </c>
      <c r="D94" s="2" t="s">
        <v>16</v>
      </c>
      <c r="E94" s="2">
        <v>24</v>
      </c>
      <c r="F94" s="2">
        <v>623</v>
      </c>
      <c r="G94" s="2">
        <v>2</v>
      </c>
      <c r="H94" s="2">
        <v>4257539</v>
      </c>
      <c r="I94" s="2">
        <v>18</v>
      </c>
      <c r="J94" s="2">
        <v>12444</v>
      </c>
      <c r="K94" s="2">
        <v>1487416</v>
      </c>
      <c r="L94" s="2" t="s">
        <v>13</v>
      </c>
    </row>
    <row r="95" spans="1:12" x14ac:dyDescent="0.25">
      <c r="A95" s="2" t="str">
        <f t="shared" si="1"/>
        <v>APP094</v>
      </c>
      <c r="B95" s="2">
        <v>29</v>
      </c>
      <c r="C95" s="2">
        <v>174060</v>
      </c>
      <c r="D95" s="2" t="s">
        <v>16</v>
      </c>
      <c r="E95" s="2">
        <v>0</v>
      </c>
      <c r="F95" s="2">
        <v>761</v>
      </c>
      <c r="G95" s="2">
        <v>5</v>
      </c>
      <c r="H95" s="2">
        <v>980744</v>
      </c>
      <c r="I95" s="2">
        <v>8</v>
      </c>
      <c r="J95" s="2">
        <v>64701</v>
      </c>
      <c r="K95" s="2">
        <v>7102866</v>
      </c>
      <c r="L95" s="2" t="s">
        <v>13</v>
      </c>
    </row>
    <row r="96" spans="1:12" x14ac:dyDescent="0.25">
      <c r="A96" s="2" t="str">
        <f t="shared" si="1"/>
        <v>APP095</v>
      </c>
      <c r="B96" s="2">
        <v>57</v>
      </c>
      <c r="C96" s="2">
        <v>155468</v>
      </c>
      <c r="D96" s="2" t="s">
        <v>12</v>
      </c>
      <c r="E96" s="2">
        <v>22</v>
      </c>
      <c r="F96" s="2">
        <v>540</v>
      </c>
      <c r="G96" s="2">
        <v>2</v>
      </c>
      <c r="H96" s="2">
        <v>2944141</v>
      </c>
      <c r="I96" s="2">
        <v>4</v>
      </c>
      <c r="J96" s="2">
        <v>48512</v>
      </c>
      <c r="K96" s="2">
        <v>147266</v>
      </c>
      <c r="L96" s="2" t="s">
        <v>13</v>
      </c>
    </row>
    <row r="97" spans="1:12" x14ac:dyDescent="0.25">
      <c r="A97" s="2" t="str">
        <f t="shared" si="1"/>
        <v>APP096</v>
      </c>
      <c r="B97" s="2">
        <v>59</v>
      </c>
      <c r="C97" s="2">
        <v>1045929</v>
      </c>
      <c r="D97" s="2" t="s">
        <v>16</v>
      </c>
      <c r="E97" s="2">
        <v>7</v>
      </c>
      <c r="F97" s="2">
        <v>596</v>
      </c>
      <c r="G97" s="2">
        <v>3</v>
      </c>
      <c r="H97" s="2">
        <v>3468535</v>
      </c>
      <c r="I97" s="2">
        <v>2</v>
      </c>
      <c r="J97" s="2">
        <v>11267</v>
      </c>
      <c r="K97" s="2">
        <v>2002117</v>
      </c>
      <c r="L97" s="2" t="s">
        <v>13</v>
      </c>
    </row>
    <row r="98" spans="1:12" x14ac:dyDescent="0.25">
      <c r="A98" s="2" t="str">
        <f t="shared" si="1"/>
        <v>APP097</v>
      </c>
      <c r="B98" s="2">
        <v>54</v>
      </c>
      <c r="C98" s="2">
        <v>970024</v>
      </c>
      <c r="D98" s="2" t="s">
        <v>14</v>
      </c>
      <c r="E98" s="2">
        <v>22</v>
      </c>
      <c r="F98" s="2">
        <v>821</v>
      </c>
      <c r="G98" s="2">
        <v>5</v>
      </c>
      <c r="H98" s="2">
        <v>992486</v>
      </c>
      <c r="I98" s="2">
        <v>27</v>
      </c>
      <c r="J98" s="2">
        <v>52724</v>
      </c>
      <c r="K98" s="2">
        <v>6448505</v>
      </c>
      <c r="L98" s="2" t="s">
        <v>13</v>
      </c>
    </row>
    <row r="99" spans="1:12" x14ac:dyDescent="0.25">
      <c r="A99" s="2" t="str">
        <f t="shared" si="1"/>
        <v>APP098</v>
      </c>
      <c r="B99" s="2">
        <v>59</v>
      </c>
      <c r="C99" s="2">
        <v>1145745</v>
      </c>
      <c r="D99" s="2" t="s">
        <v>16</v>
      </c>
      <c r="E99" s="2">
        <v>16</v>
      </c>
      <c r="F99" s="2">
        <v>627</v>
      </c>
      <c r="G99" s="2">
        <v>3</v>
      </c>
      <c r="H99" s="2">
        <v>2696614</v>
      </c>
      <c r="I99" s="2">
        <v>22</v>
      </c>
      <c r="J99" s="2">
        <v>12396</v>
      </c>
      <c r="K99" s="2">
        <v>3949644</v>
      </c>
      <c r="L99" s="2" t="s">
        <v>13</v>
      </c>
    </row>
    <row r="100" spans="1:12" x14ac:dyDescent="0.25">
      <c r="A100" s="2" t="str">
        <f t="shared" si="1"/>
        <v>APP099</v>
      </c>
      <c r="B100" s="2">
        <v>23</v>
      </c>
      <c r="C100" s="2">
        <v>1134773</v>
      </c>
      <c r="D100" s="2" t="s">
        <v>16</v>
      </c>
      <c r="E100" s="2">
        <v>29</v>
      </c>
      <c r="F100" s="2">
        <v>837</v>
      </c>
      <c r="G100" s="2">
        <v>1</v>
      </c>
      <c r="H100" s="2">
        <v>1939940</v>
      </c>
      <c r="I100" s="2">
        <v>5</v>
      </c>
      <c r="J100" s="2">
        <v>63235</v>
      </c>
      <c r="K100" s="2">
        <v>8196244</v>
      </c>
      <c r="L100" s="2" t="s">
        <v>13</v>
      </c>
    </row>
    <row r="101" spans="1:12" x14ac:dyDescent="0.25">
      <c r="A101" s="2" t="str">
        <f t="shared" si="1"/>
        <v>APP100</v>
      </c>
      <c r="B101" s="2">
        <v>38</v>
      </c>
      <c r="C101" s="2">
        <v>2284715</v>
      </c>
      <c r="D101" s="2" t="s">
        <v>16</v>
      </c>
      <c r="E101" s="2">
        <v>30</v>
      </c>
      <c r="F101" s="2">
        <v>611</v>
      </c>
      <c r="G101" s="2">
        <v>4</v>
      </c>
      <c r="H101" s="2">
        <v>87925</v>
      </c>
      <c r="I101" s="2">
        <v>3</v>
      </c>
      <c r="J101" s="2">
        <v>44786</v>
      </c>
      <c r="K101" s="2">
        <v>7496789</v>
      </c>
      <c r="L101" s="2" t="s">
        <v>13</v>
      </c>
    </row>
    <row r="102" spans="1:12" x14ac:dyDescent="0.25">
      <c r="A102" s="2" t="str">
        <f t="shared" si="1"/>
        <v>APP101</v>
      </c>
      <c r="B102" s="2">
        <v>49</v>
      </c>
      <c r="C102" s="2">
        <v>266341</v>
      </c>
      <c r="D102" s="2" t="s">
        <v>14</v>
      </c>
      <c r="E102" s="2">
        <v>14</v>
      </c>
      <c r="F102" s="2">
        <v>381</v>
      </c>
      <c r="G102" s="2">
        <v>0</v>
      </c>
      <c r="H102" s="2">
        <v>1489556</v>
      </c>
      <c r="I102" s="2">
        <v>14</v>
      </c>
      <c r="J102" s="2">
        <v>65361</v>
      </c>
      <c r="K102" s="2">
        <v>4739281</v>
      </c>
      <c r="L102" s="2" t="s">
        <v>15</v>
      </c>
    </row>
    <row r="103" spans="1:12" x14ac:dyDescent="0.25">
      <c r="A103" s="2" t="str">
        <f t="shared" si="1"/>
        <v>APP102</v>
      </c>
      <c r="B103" s="2">
        <v>31</v>
      </c>
      <c r="C103" s="2">
        <v>2129308</v>
      </c>
      <c r="D103" s="2" t="s">
        <v>14</v>
      </c>
      <c r="E103" s="2">
        <v>21</v>
      </c>
      <c r="F103" s="2">
        <v>569</v>
      </c>
      <c r="G103" s="2">
        <v>3</v>
      </c>
      <c r="H103" s="2">
        <v>915579</v>
      </c>
      <c r="I103" s="2">
        <v>11</v>
      </c>
      <c r="J103" s="2">
        <v>74737</v>
      </c>
      <c r="K103" s="2">
        <v>2484936</v>
      </c>
      <c r="L103" s="2" t="s">
        <v>15</v>
      </c>
    </row>
    <row r="104" spans="1:12" x14ac:dyDescent="0.25">
      <c r="A104" s="2" t="str">
        <f t="shared" si="1"/>
        <v>APP103</v>
      </c>
      <c r="B104" s="2">
        <v>44</v>
      </c>
      <c r="C104" s="2">
        <v>1734968</v>
      </c>
      <c r="D104" s="2" t="s">
        <v>14</v>
      </c>
      <c r="E104" s="2">
        <v>25</v>
      </c>
      <c r="F104" s="2">
        <v>719</v>
      </c>
      <c r="G104" s="2">
        <v>4</v>
      </c>
      <c r="H104" s="2">
        <v>2939006</v>
      </c>
      <c r="I104" s="2">
        <v>30</v>
      </c>
      <c r="J104" s="2">
        <v>57182</v>
      </c>
      <c r="K104" s="2">
        <v>7228460</v>
      </c>
      <c r="L104" s="2" t="s">
        <v>15</v>
      </c>
    </row>
    <row r="105" spans="1:12" x14ac:dyDescent="0.25">
      <c r="A105" s="2" t="str">
        <f t="shared" si="1"/>
        <v>APP104</v>
      </c>
      <c r="B105" s="2">
        <v>27</v>
      </c>
      <c r="C105" s="2">
        <v>1217483</v>
      </c>
      <c r="D105" s="2" t="s">
        <v>16</v>
      </c>
      <c r="E105" s="2">
        <v>7</v>
      </c>
      <c r="F105" s="2">
        <v>340</v>
      </c>
      <c r="G105" s="2">
        <v>0</v>
      </c>
      <c r="H105" s="2">
        <v>1100375</v>
      </c>
      <c r="I105" s="2">
        <v>3</v>
      </c>
      <c r="J105" s="2">
        <v>21831</v>
      </c>
      <c r="K105" s="2">
        <v>2134443</v>
      </c>
      <c r="L105" s="2" t="s">
        <v>13</v>
      </c>
    </row>
    <row r="106" spans="1:12" x14ac:dyDescent="0.25">
      <c r="A106" s="2" t="str">
        <f t="shared" si="1"/>
        <v>APP105</v>
      </c>
      <c r="B106" s="2">
        <v>41</v>
      </c>
      <c r="C106" s="2">
        <v>1015798</v>
      </c>
      <c r="D106" s="2" t="s">
        <v>12</v>
      </c>
      <c r="E106" s="2">
        <v>25</v>
      </c>
      <c r="F106" s="2">
        <v>609</v>
      </c>
      <c r="G106" s="2">
        <v>1</v>
      </c>
      <c r="H106" s="2">
        <v>725250</v>
      </c>
      <c r="I106" s="2">
        <v>21</v>
      </c>
      <c r="J106" s="2">
        <v>65681</v>
      </c>
      <c r="K106" s="2">
        <v>1022299</v>
      </c>
      <c r="L106" s="2" t="s">
        <v>13</v>
      </c>
    </row>
    <row r="107" spans="1:12" x14ac:dyDescent="0.25">
      <c r="A107" s="2" t="str">
        <f t="shared" si="1"/>
        <v>APP106</v>
      </c>
      <c r="B107" s="2">
        <v>59</v>
      </c>
      <c r="C107" s="2">
        <v>1151592</v>
      </c>
      <c r="D107" s="2" t="s">
        <v>12</v>
      </c>
      <c r="E107" s="2">
        <v>31</v>
      </c>
      <c r="F107" s="2">
        <v>396</v>
      </c>
      <c r="G107" s="2">
        <v>3</v>
      </c>
      <c r="H107" s="2">
        <v>4334059</v>
      </c>
      <c r="I107" s="2">
        <v>8</v>
      </c>
      <c r="J107" s="2">
        <v>5583</v>
      </c>
      <c r="K107" s="2">
        <v>733988</v>
      </c>
      <c r="L107" s="2" t="s">
        <v>13</v>
      </c>
    </row>
    <row r="108" spans="1:12" x14ac:dyDescent="0.25">
      <c r="A108" s="2" t="str">
        <f t="shared" si="1"/>
        <v>APP107</v>
      </c>
      <c r="B108" s="2">
        <v>51</v>
      </c>
      <c r="C108" s="2">
        <v>1308240</v>
      </c>
      <c r="D108" s="2" t="s">
        <v>16</v>
      </c>
      <c r="E108" s="2">
        <v>24</v>
      </c>
      <c r="F108" s="2">
        <v>766</v>
      </c>
      <c r="G108" s="2">
        <v>2</v>
      </c>
      <c r="H108" s="2">
        <v>2131247</v>
      </c>
      <c r="I108" s="2">
        <v>2</v>
      </c>
      <c r="J108" s="2">
        <v>12658</v>
      </c>
      <c r="K108" s="2">
        <v>6122517</v>
      </c>
      <c r="L108" s="2" t="s">
        <v>13</v>
      </c>
    </row>
    <row r="109" spans="1:12" x14ac:dyDescent="0.25">
      <c r="A109" s="2" t="str">
        <f t="shared" si="1"/>
        <v>APP108</v>
      </c>
      <c r="B109" s="2">
        <v>55</v>
      </c>
      <c r="C109" s="2">
        <v>2121121</v>
      </c>
      <c r="D109" s="2" t="s">
        <v>14</v>
      </c>
      <c r="E109" s="2">
        <v>33</v>
      </c>
      <c r="F109" s="2">
        <v>762</v>
      </c>
      <c r="G109" s="2">
        <v>4</v>
      </c>
      <c r="H109" s="2">
        <v>360820</v>
      </c>
      <c r="I109" s="2">
        <v>9</v>
      </c>
      <c r="J109" s="2">
        <v>72340</v>
      </c>
      <c r="K109" s="2">
        <v>1493529</v>
      </c>
      <c r="L109" s="2" t="s">
        <v>13</v>
      </c>
    </row>
    <row r="110" spans="1:12" x14ac:dyDescent="0.25">
      <c r="A110" s="2" t="str">
        <f t="shared" si="1"/>
        <v>APP109</v>
      </c>
      <c r="B110" s="2">
        <v>32</v>
      </c>
      <c r="C110" s="2">
        <v>1612703</v>
      </c>
      <c r="D110" s="2" t="s">
        <v>16</v>
      </c>
      <c r="E110" s="2">
        <v>2</v>
      </c>
      <c r="F110" s="2">
        <v>714</v>
      </c>
      <c r="G110" s="2">
        <v>0</v>
      </c>
      <c r="H110" s="2">
        <v>3357012</v>
      </c>
      <c r="I110" s="2">
        <v>20</v>
      </c>
      <c r="J110" s="2">
        <v>24286</v>
      </c>
      <c r="K110" s="2">
        <v>8751772</v>
      </c>
      <c r="L110" s="2" t="s">
        <v>13</v>
      </c>
    </row>
    <row r="111" spans="1:12" x14ac:dyDescent="0.25">
      <c r="A111" s="2" t="str">
        <f t="shared" si="1"/>
        <v>APP110</v>
      </c>
      <c r="B111" s="2">
        <v>63</v>
      </c>
      <c r="C111" s="2">
        <v>153706</v>
      </c>
      <c r="D111" s="2" t="s">
        <v>12</v>
      </c>
      <c r="E111" s="2">
        <v>7</v>
      </c>
      <c r="F111" s="2">
        <v>468</v>
      </c>
      <c r="G111" s="2">
        <v>4</v>
      </c>
      <c r="H111" s="2">
        <v>4441037</v>
      </c>
      <c r="I111" s="2">
        <v>12</v>
      </c>
      <c r="J111" s="2">
        <v>15278</v>
      </c>
      <c r="K111" s="2">
        <v>1600340</v>
      </c>
      <c r="L111" s="2" t="s">
        <v>13</v>
      </c>
    </row>
    <row r="112" spans="1:12" x14ac:dyDescent="0.25">
      <c r="A112" s="2" t="str">
        <f t="shared" si="1"/>
        <v>APP111</v>
      </c>
      <c r="B112" s="2">
        <v>50</v>
      </c>
      <c r="C112" s="2">
        <v>1108163</v>
      </c>
      <c r="D112" s="2" t="s">
        <v>14</v>
      </c>
      <c r="E112" s="2">
        <v>9</v>
      </c>
      <c r="F112" s="2">
        <v>495</v>
      </c>
      <c r="G112" s="2">
        <v>5</v>
      </c>
      <c r="H112" s="2">
        <v>293395</v>
      </c>
      <c r="I112" s="2">
        <v>21</v>
      </c>
      <c r="J112" s="2">
        <v>23010</v>
      </c>
      <c r="K112" s="2">
        <v>3538948</v>
      </c>
      <c r="L112" s="2" t="s">
        <v>13</v>
      </c>
    </row>
    <row r="113" spans="1:12" x14ac:dyDescent="0.25">
      <c r="A113" s="2" t="str">
        <f t="shared" si="1"/>
        <v>APP112</v>
      </c>
      <c r="B113" s="2">
        <v>55</v>
      </c>
      <c r="C113" s="2">
        <v>234811</v>
      </c>
      <c r="D113" s="2" t="s">
        <v>16</v>
      </c>
      <c r="E113" s="2">
        <v>21</v>
      </c>
      <c r="F113" s="2">
        <v>509</v>
      </c>
      <c r="G113" s="2">
        <v>4</v>
      </c>
      <c r="H113" s="2">
        <v>2878681</v>
      </c>
      <c r="I113" s="2">
        <v>1</v>
      </c>
      <c r="J113" s="2">
        <v>6980</v>
      </c>
      <c r="K113" s="2">
        <v>2040740</v>
      </c>
      <c r="L113" s="2" t="s">
        <v>13</v>
      </c>
    </row>
    <row r="114" spans="1:12" x14ac:dyDescent="0.25">
      <c r="A114" s="2" t="str">
        <f t="shared" si="1"/>
        <v>APP113</v>
      </c>
      <c r="B114" s="2">
        <v>54</v>
      </c>
      <c r="C114" s="2">
        <v>2272020</v>
      </c>
      <c r="D114" s="2" t="s">
        <v>16</v>
      </c>
      <c r="E114" s="2">
        <v>31</v>
      </c>
      <c r="F114" s="2">
        <v>838</v>
      </c>
      <c r="G114" s="2">
        <v>1</v>
      </c>
      <c r="H114" s="2">
        <v>4445436</v>
      </c>
      <c r="I114" s="2">
        <v>11</v>
      </c>
      <c r="J114" s="2">
        <v>70130</v>
      </c>
      <c r="K114" s="2">
        <v>6630946</v>
      </c>
      <c r="L114" s="2" t="s">
        <v>13</v>
      </c>
    </row>
    <row r="115" spans="1:12" x14ac:dyDescent="0.25">
      <c r="A115" s="2" t="str">
        <f t="shared" si="1"/>
        <v>APP114</v>
      </c>
      <c r="B115" s="2">
        <v>23</v>
      </c>
      <c r="C115" s="2">
        <v>351135</v>
      </c>
      <c r="D115" s="2" t="s">
        <v>16</v>
      </c>
      <c r="E115" s="2">
        <v>1</v>
      </c>
      <c r="F115" s="2">
        <v>511</v>
      </c>
      <c r="G115" s="2">
        <v>3</v>
      </c>
      <c r="H115" s="2">
        <v>2114838</v>
      </c>
      <c r="I115" s="2">
        <v>19</v>
      </c>
      <c r="J115" s="2">
        <v>45132</v>
      </c>
      <c r="K115" s="2">
        <v>3541124</v>
      </c>
      <c r="L115" s="2" t="s">
        <v>13</v>
      </c>
    </row>
    <row r="116" spans="1:12" x14ac:dyDescent="0.25">
      <c r="A116" s="2" t="str">
        <f t="shared" si="1"/>
        <v>APP115</v>
      </c>
      <c r="B116" s="2">
        <v>46</v>
      </c>
      <c r="C116" s="2">
        <v>1252603</v>
      </c>
      <c r="D116" s="2" t="s">
        <v>12</v>
      </c>
      <c r="E116" s="2">
        <v>29</v>
      </c>
      <c r="F116" s="2">
        <v>705</v>
      </c>
      <c r="G116" s="2">
        <v>4</v>
      </c>
      <c r="H116" s="2">
        <v>3428624</v>
      </c>
      <c r="I116" s="2">
        <v>24</v>
      </c>
      <c r="J116" s="2">
        <v>64524</v>
      </c>
      <c r="K116" s="2">
        <v>2661271</v>
      </c>
      <c r="L116" s="2" t="s">
        <v>13</v>
      </c>
    </row>
    <row r="117" spans="1:12" x14ac:dyDescent="0.25">
      <c r="A117" s="2" t="str">
        <f t="shared" si="1"/>
        <v>APP116</v>
      </c>
      <c r="B117" s="2">
        <v>22</v>
      </c>
      <c r="C117" s="2">
        <v>2181372</v>
      </c>
      <c r="D117" s="2" t="s">
        <v>14</v>
      </c>
      <c r="E117" s="2">
        <v>5</v>
      </c>
      <c r="F117" s="2">
        <v>349</v>
      </c>
      <c r="G117" s="2">
        <v>5</v>
      </c>
      <c r="H117" s="2">
        <v>3147864</v>
      </c>
      <c r="I117" s="2">
        <v>2</v>
      </c>
      <c r="J117" s="2">
        <v>19583</v>
      </c>
      <c r="K117" s="2">
        <v>7084905</v>
      </c>
      <c r="L117" s="2" t="s">
        <v>13</v>
      </c>
    </row>
    <row r="118" spans="1:12" x14ac:dyDescent="0.25">
      <c r="A118" s="2" t="str">
        <f t="shared" si="1"/>
        <v>APP117</v>
      </c>
      <c r="B118" s="2">
        <v>33</v>
      </c>
      <c r="C118" s="2">
        <v>973266</v>
      </c>
      <c r="D118" s="2" t="s">
        <v>14</v>
      </c>
      <c r="E118" s="2">
        <v>4</v>
      </c>
      <c r="F118" s="2">
        <v>342</v>
      </c>
      <c r="G118" s="2">
        <v>5</v>
      </c>
      <c r="H118" s="2">
        <v>1590264</v>
      </c>
      <c r="I118" s="2">
        <v>20</v>
      </c>
      <c r="J118" s="2">
        <v>59195</v>
      </c>
      <c r="K118" s="2">
        <v>3584219</v>
      </c>
      <c r="L118" s="2" t="s">
        <v>13</v>
      </c>
    </row>
    <row r="119" spans="1:12" x14ac:dyDescent="0.25">
      <c r="A119" s="2" t="str">
        <f t="shared" si="1"/>
        <v>APP118</v>
      </c>
      <c r="B119" s="2">
        <v>22</v>
      </c>
      <c r="C119" s="2">
        <v>210065</v>
      </c>
      <c r="D119" s="2" t="s">
        <v>12</v>
      </c>
      <c r="E119" s="2">
        <v>17</v>
      </c>
      <c r="F119" s="2">
        <v>666</v>
      </c>
      <c r="G119" s="2">
        <v>3</v>
      </c>
      <c r="H119" s="2">
        <v>2976681</v>
      </c>
      <c r="I119" s="2">
        <v>8</v>
      </c>
      <c r="J119" s="2">
        <v>24397</v>
      </c>
      <c r="K119" s="2">
        <v>6681645</v>
      </c>
      <c r="L119" s="2" t="s">
        <v>13</v>
      </c>
    </row>
    <row r="120" spans="1:12" x14ac:dyDescent="0.25">
      <c r="A120" s="2" t="str">
        <f t="shared" si="1"/>
        <v>APP119</v>
      </c>
      <c r="B120" s="2">
        <v>36</v>
      </c>
      <c r="C120" s="2">
        <v>504399</v>
      </c>
      <c r="D120" s="2" t="s">
        <v>14</v>
      </c>
      <c r="E120" s="2">
        <v>26</v>
      </c>
      <c r="F120" s="2">
        <v>825</v>
      </c>
      <c r="G120" s="2">
        <v>5</v>
      </c>
      <c r="H120" s="2">
        <v>1680274</v>
      </c>
      <c r="I120" s="2">
        <v>27</v>
      </c>
      <c r="J120" s="2">
        <v>15068</v>
      </c>
      <c r="K120" s="2">
        <v>9790632</v>
      </c>
      <c r="L120" s="2" t="s">
        <v>13</v>
      </c>
    </row>
    <row r="121" spans="1:12" x14ac:dyDescent="0.25">
      <c r="A121" s="2" t="str">
        <f t="shared" si="1"/>
        <v>APP120</v>
      </c>
      <c r="B121" s="2">
        <v>43</v>
      </c>
      <c r="C121" s="2">
        <v>2450335</v>
      </c>
      <c r="D121" s="2" t="s">
        <v>12</v>
      </c>
      <c r="E121" s="2">
        <v>18</v>
      </c>
      <c r="F121" s="2">
        <v>734</v>
      </c>
      <c r="G121" s="2">
        <v>0</v>
      </c>
      <c r="H121" s="2">
        <v>3323193</v>
      </c>
      <c r="I121" s="2">
        <v>18</v>
      </c>
      <c r="J121" s="2">
        <v>6319</v>
      </c>
      <c r="K121" s="2">
        <v>3265438</v>
      </c>
      <c r="L121" s="2" t="s">
        <v>13</v>
      </c>
    </row>
    <row r="122" spans="1:12" x14ac:dyDescent="0.25">
      <c r="A122" s="2" t="str">
        <f t="shared" si="1"/>
        <v>APP121</v>
      </c>
      <c r="B122" s="2">
        <v>36</v>
      </c>
      <c r="C122" s="2">
        <v>2478779</v>
      </c>
      <c r="D122" s="2" t="s">
        <v>16</v>
      </c>
      <c r="E122" s="2">
        <v>32</v>
      </c>
      <c r="F122" s="2">
        <v>518</v>
      </c>
      <c r="G122" s="2">
        <v>3</v>
      </c>
      <c r="H122" s="2">
        <v>4213021</v>
      </c>
      <c r="I122" s="2">
        <v>4</v>
      </c>
      <c r="J122" s="2">
        <v>58558</v>
      </c>
      <c r="K122" s="2">
        <v>5530014</v>
      </c>
      <c r="L122" s="2" t="s">
        <v>13</v>
      </c>
    </row>
    <row r="123" spans="1:12" x14ac:dyDescent="0.25">
      <c r="A123" s="2" t="str">
        <f t="shared" si="1"/>
        <v>APP122</v>
      </c>
      <c r="B123" s="2">
        <v>21</v>
      </c>
      <c r="C123" s="2">
        <v>286034</v>
      </c>
      <c r="D123" s="2" t="s">
        <v>14</v>
      </c>
      <c r="E123" s="2">
        <v>16</v>
      </c>
      <c r="F123" s="2">
        <v>409</v>
      </c>
      <c r="G123" s="2">
        <v>0</v>
      </c>
      <c r="H123" s="2">
        <v>3457591</v>
      </c>
      <c r="I123" s="2">
        <v>23</v>
      </c>
      <c r="J123" s="2">
        <v>24199</v>
      </c>
      <c r="K123" s="2">
        <v>5031546</v>
      </c>
      <c r="L123" s="2" t="s">
        <v>13</v>
      </c>
    </row>
    <row r="124" spans="1:12" x14ac:dyDescent="0.25">
      <c r="A124" s="2" t="str">
        <f t="shared" si="1"/>
        <v>APP123</v>
      </c>
      <c r="B124" s="2">
        <v>25</v>
      </c>
      <c r="C124" s="2">
        <v>1975100</v>
      </c>
      <c r="D124" s="2" t="s">
        <v>16</v>
      </c>
      <c r="E124" s="2">
        <v>29</v>
      </c>
      <c r="F124" s="2">
        <v>569</v>
      </c>
      <c r="G124" s="2">
        <v>2</v>
      </c>
      <c r="H124" s="2">
        <v>471224</v>
      </c>
      <c r="I124" s="2">
        <v>11</v>
      </c>
      <c r="J124" s="2">
        <v>70040</v>
      </c>
      <c r="K124" s="2">
        <v>478791</v>
      </c>
      <c r="L124" s="2" t="s">
        <v>13</v>
      </c>
    </row>
    <row r="125" spans="1:12" x14ac:dyDescent="0.25">
      <c r="A125" s="2" t="str">
        <f t="shared" si="1"/>
        <v>APP124</v>
      </c>
      <c r="B125" s="2">
        <v>28</v>
      </c>
      <c r="C125" s="2">
        <v>536646</v>
      </c>
      <c r="D125" s="2" t="s">
        <v>12</v>
      </c>
      <c r="E125" s="2">
        <v>10</v>
      </c>
      <c r="F125" s="2">
        <v>804</v>
      </c>
      <c r="G125" s="2">
        <v>5</v>
      </c>
      <c r="H125" s="2">
        <v>4635296</v>
      </c>
      <c r="I125" s="2">
        <v>12</v>
      </c>
      <c r="J125" s="2">
        <v>77608</v>
      </c>
      <c r="K125" s="2">
        <v>1057997</v>
      </c>
      <c r="L125" s="2" t="s">
        <v>15</v>
      </c>
    </row>
    <row r="126" spans="1:12" x14ac:dyDescent="0.25">
      <c r="A126" s="2" t="str">
        <f t="shared" si="1"/>
        <v>APP125</v>
      </c>
      <c r="B126" s="2">
        <v>51</v>
      </c>
      <c r="C126" s="2">
        <v>1430702</v>
      </c>
      <c r="D126" s="2" t="s">
        <v>12</v>
      </c>
      <c r="E126" s="2">
        <v>6</v>
      </c>
      <c r="F126" s="2">
        <v>475</v>
      </c>
      <c r="G126" s="2">
        <v>1</v>
      </c>
      <c r="H126" s="2">
        <v>3209133</v>
      </c>
      <c r="I126" s="2">
        <v>29</v>
      </c>
      <c r="J126" s="2">
        <v>28933</v>
      </c>
      <c r="K126" s="2">
        <v>2187590</v>
      </c>
      <c r="L126" s="2" t="s">
        <v>13</v>
      </c>
    </row>
    <row r="127" spans="1:12" x14ac:dyDescent="0.25">
      <c r="A127" s="2" t="str">
        <f t="shared" si="1"/>
        <v>APP126</v>
      </c>
      <c r="B127" s="2">
        <v>38</v>
      </c>
      <c r="C127" s="2">
        <v>770214</v>
      </c>
      <c r="D127" s="2" t="s">
        <v>12</v>
      </c>
      <c r="E127" s="2">
        <v>24</v>
      </c>
      <c r="F127" s="2">
        <v>419</v>
      </c>
      <c r="G127" s="2">
        <v>2</v>
      </c>
      <c r="H127" s="2">
        <v>111396</v>
      </c>
      <c r="I127" s="2">
        <v>21</v>
      </c>
      <c r="J127" s="2">
        <v>63337</v>
      </c>
      <c r="K127" s="2">
        <v>1884789</v>
      </c>
      <c r="L127" s="2" t="s">
        <v>13</v>
      </c>
    </row>
    <row r="128" spans="1:12" x14ac:dyDescent="0.25">
      <c r="A128" s="2" t="str">
        <f t="shared" si="1"/>
        <v>APP127</v>
      </c>
      <c r="B128" s="2">
        <v>30</v>
      </c>
      <c r="C128" s="2">
        <v>1186680</v>
      </c>
      <c r="D128" s="2" t="s">
        <v>14</v>
      </c>
      <c r="E128" s="2">
        <v>1</v>
      </c>
      <c r="F128" s="2">
        <v>402</v>
      </c>
      <c r="G128" s="2">
        <v>4</v>
      </c>
      <c r="H128" s="2">
        <v>284594</v>
      </c>
      <c r="I128" s="2">
        <v>20</v>
      </c>
      <c r="J128" s="2">
        <v>72519</v>
      </c>
      <c r="K128" s="2">
        <v>8123031</v>
      </c>
      <c r="L128" s="2" t="s">
        <v>15</v>
      </c>
    </row>
    <row r="129" spans="1:12" x14ac:dyDescent="0.25">
      <c r="A129" s="2" t="str">
        <f t="shared" si="1"/>
        <v>APP128</v>
      </c>
      <c r="B129" s="2">
        <v>58</v>
      </c>
      <c r="C129" s="2">
        <v>2349995</v>
      </c>
      <c r="D129" s="2" t="s">
        <v>16</v>
      </c>
      <c r="E129" s="2">
        <v>7</v>
      </c>
      <c r="F129" s="2">
        <v>447</v>
      </c>
      <c r="G129" s="2">
        <v>5</v>
      </c>
      <c r="H129" s="2">
        <v>3395150</v>
      </c>
      <c r="I129" s="2">
        <v>26</v>
      </c>
      <c r="J129" s="2">
        <v>36368</v>
      </c>
      <c r="K129" s="2">
        <v>9759799</v>
      </c>
      <c r="L129" s="2" t="s">
        <v>13</v>
      </c>
    </row>
    <row r="130" spans="1:12" x14ac:dyDescent="0.25">
      <c r="A130" s="2" t="str">
        <f t="shared" si="1"/>
        <v>APP129</v>
      </c>
      <c r="B130" s="2">
        <v>29</v>
      </c>
      <c r="C130" s="2">
        <v>1998951</v>
      </c>
      <c r="D130" s="2" t="s">
        <v>14</v>
      </c>
      <c r="E130" s="2">
        <v>27</v>
      </c>
      <c r="F130" s="2">
        <v>607</v>
      </c>
      <c r="G130" s="2">
        <v>3</v>
      </c>
      <c r="H130" s="2">
        <v>1333209</v>
      </c>
      <c r="I130" s="2">
        <v>21</v>
      </c>
      <c r="J130" s="2">
        <v>45514</v>
      </c>
      <c r="K130" s="2">
        <v>3083508</v>
      </c>
      <c r="L130" s="2" t="s">
        <v>15</v>
      </c>
    </row>
    <row r="131" spans="1:12" x14ac:dyDescent="0.25">
      <c r="A131" s="2" t="str">
        <f t="shared" ref="A131:A194" si="2">"APP"&amp;TEXT(ROW()-1,"000")</f>
        <v>APP130</v>
      </c>
      <c r="B131" s="2">
        <v>51</v>
      </c>
      <c r="C131" s="2">
        <v>1610070</v>
      </c>
      <c r="D131" s="2" t="s">
        <v>16</v>
      </c>
      <c r="E131" s="2">
        <v>34</v>
      </c>
      <c r="F131" s="2">
        <v>900</v>
      </c>
      <c r="G131" s="2">
        <v>1</v>
      </c>
      <c r="H131" s="2">
        <v>4537072</v>
      </c>
      <c r="I131" s="2">
        <v>26</v>
      </c>
      <c r="J131" s="2">
        <v>77589</v>
      </c>
      <c r="K131" s="2">
        <v>2439249</v>
      </c>
      <c r="L131" s="2" t="s">
        <v>13</v>
      </c>
    </row>
    <row r="132" spans="1:12" x14ac:dyDescent="0.25">
      <c r="A132" s="2" t="str">
        <f t="shared" si="2"/>
        <v>APP131</v>
      </c>
      <c r="B132" s="2">
        <v>55</v>
      </c>
      <c r="C132" s="2">
        <v>1603840</v>
      </c>
      <c r="D132" s="2" t="s">
        <v>14</v>
      </c>
      <c r="E132" s="2">
        <v>8</v>
      </c>
      <c r="F132" s="2">
        <v>465</v>
      </c>
      <c r="G132" s="2">
        <v>1</v>
      </c>
      <c r="H132" s="2">
        <v>3623825</v>
      </c>
      <c r="I132" s="2">
        <v>30</v>
      </c>
      <c r="J132" s="2">
        <v>51480</v>
      </c>
      <c r="K132" s="2">
        <v>9325014</v>
      </c>
      <c r="L132" s="2" t="s">
        <v>13</v>
      </c>
    </row>
    <row r="133" spans="1:12" x14ac:dyDescent="0.25">
      <c r="A133" s="2" t="str">
        <f t="shared" si="2"/>
        <v>APP132</v>
      </c>
      <c r="B133" s="2">
        <v>40</v>
      </c>
      <c r="C133" s="2">
        <v>1419845</v>
      </c>
      <c r="D133" s="2" t="s">
        <v>16</v>
      </c>
      <c r="E133" s="2">
        <v>30</v>
      </c>
      <c r="F133" s="2">
        <v>520</v>
      </c>
      <c r="G133" s="2">
        <v>3</v>
      </c>
      <c r="H133" s="2">
        <v>3968853</v>
      </c>
      <c r="I133" s="2">
        <v>17</v>
      </c>
      <c r="J133" s="2">
        <v>25121</v>
      </c>
      <c r="K133" s="2">
        <v>1473716</v>
      </c>
      <c r="L133" s="2" t="s">
        <v>13</v>
      </c>
    </row>
    <row r="134" spans="1:12" x14ac:dyDescent="0.25">
      <c r="A134" s="2" t="str">
        <f t="shared" si="2"/>
        <v>APP133</v>
      </c>
      <c r="B134" s="2">
        <v>24</v>
      </c>
      <c r="C134" s="2">
        <v>309107</v>
      </c>
      <c r="D134" s="2" t="s">
        <v>16</v>
      </c>
      <c r="E134" s="2">
        <v>34</v>
      </c>
      <c r="F134" s="2">
        <v>435</v>
      </c>
      <c r="G134" s="2">
        <v>2</v>
      </c>
      <c r="H134" s="2">
        <v>2007050</v>
      </c>
      <c r="I134" s="2">
        <v>29</v>
      </c>
      <c r="J134" s="2">
        <v>55822</v>
      </c>
      <c r="K134" s="2">
        <v>9808159</v>
      </c>
      <c r="L134" s="2" t="s">
        <v>13</v>
      </c>
    </row>
    <row r="135" spans="1:12" x14ac:dyDescent="0.25">
      <c r="A135" s="2" t="str">
        <f t="shared" si="2"/>
        <v>APP134</v>
      </c>
      <c r="B135" s="2">
        <v>52</v>
      </c>
      <c r="C135" s="2">
        <v>1023988</v>
      </c>
      <c r="D135" s="2" t="s">
        <v>16</v>
      </c>
      <c r="E135" s="2">
        <v>17</v>
      </c>
      <c r="F135" s="2">
        <v>696</v>
      </c>
      <c r="G135" s="2">
        <v>5</v>
      </c>
      <c r="H135" s="2">
        <v>2406912</v>
      </c>
      <c r="I135" s="2">
        <v>19</v>
      </c>
      <c r="J135" s="2">
        <v>76575</v>
      </c>
      <c r="K135" s="2">
        <v>200271</v>
      </c>
      <c r="L135" s="2" t="s">
        <v>15</v>
      </c>
    </row>
    <row r="136" spans="1:12" x14ac:dyDescent="0.25">
      <c r="A136" s="2" t="str">
        <f t="shared" si="2"/>
        <v>APP135</v>
      </c>
      <c r="B136" s="2">
        <v>33</v>
      </c>
      <c r="C136" s="2">
        <v>2320012</v>
      </c>
      <c r="D136" s="2" t="s">
        <v>14</v>
      </c>
      <c r="E136" s="2">
        <v>8</v>
      </c>
      <c r="F136" s="2">
        <v>325</v>
      </c>
      <c r="G136" s="2">
        <v>0</v>
      </c>
      <c r="H136" s="2">
        <v>4067997</v>
      </c>
      <c r="I136" s="2">
        <v>27</v>
      </c>
      <c r="J136" s="2">
        <v>65697</v>
      </c>
      <c r="K136" s="2">
        <v>463776</v>
      </c>
      <c r="L136" s="2" t="s">
        <v>13</v>
      </c>
    </row>
    <row r="137" spans="1:12" x14ac:dyDescent="0.25">
      <c r="A137" s="2" t="str">
        <f t="shared" si="2"/>
        <v>APP136</v>
      </c>
      <c r="B137" s="2">
        <v>41</v>
      </c>
      <c r="C137" s="2">
        <v>1044086</v>
      </c>
      <c r="D137" s="2" t="s">
        <v>12</v>
      </c>
      <c r="E137" s="2">
        <v>5</v>
      </c>
      <c r="F137" s="2">
        <v>394</v>
      </c>
      <c r="G137" s="2">
        <v>3</v>
      </c>
      <c r="H137" s="2">
        <v>1715260</v>
      </c>
      <c r="I137" s="2">
        <v>8</v>
      </c>
      <c r="J137" s="2">
        <v>78144</v>
      </c>
      <c r="K137" s="2">
        <v>1825760</v>
      </c>
      <c r="L137" s="2" t="s">
        <v>13</v>
      </c>
    </row>
    <row r="138" spans="1:12" x14ac:dyDescent="0.25">
      <c r="A138" s="2" t="str">
        <f t="shared" si="2"/>
        <v>APP137</v>
      </c>
      <c r="B138" s="2">
        <v>21</v>
      </c>
      <c r="C138" s="2">
        <v>1980971</v>
      </c>
      <c r="D138" s="2" t="s">
        <v>16</v>
      </c>
      <c r="E138" s="2">
        <v>34</v>
      </c>
      <c r="F138" s="2">
        <v>544</v>
      </c>
      <c r="G138" s="2">
        <v>1</v>
      </c>
      <c r="H138" s="2">
        <v>2666647</v>
      </c>
      <c r="I138" s="2">
        <v>1</v>
      </c>
      <c r="J138" s="2">
        <v>7297</v>
      </c>
      <c r="K138" s="2">
        <v>6765095</v>
      </c>
      <c r="L138" s="2" t="s">
        <v>13</v>
      </c>
    </row>
    <row r="139" spans="1:12" x14ac:dyDescent="0.25">
      <c r="A139" s="2" t="str">
        <f t="shared" si="2"/>
        <v>APP138</v>
      </c>
      <c r="B139" s="2">
        <v>39</v>
      </c>
      <c r="C139" s="2">
        <v>1256038</v>
      </c>
      <c r="D139" s="2" t="s">
        <v>14</v>
      </c>
      <c r="E139" s="2">
        <v>26</v>
      </c>
      <c r="F139" s="2">
        <v>607</v>
      </c>
      <c r="G139" s="2">
        <v>1</v>
      </c>
      <c r="H139" s="2">
        <v>1298372</v>
      </c>
      <c r="I139" s="2">
        <v>2</v>
      </c>
      <c r="J139" s="2">
        <v>53523</v>
      </c>
      <c r="K139" s="2">
        <v>7681344</v>
      </c>
      <c r="L139" s="2" t="s">
        <v>13</v>
      </c>
    </row>
    <row r="140" spans="1:12" x14ac:dyDescent="0.25">
      <c r="A140" s="2" t="str">
        <f t="shared" si="2"/>
        <v>APP139</v>
      </c>
      <c r="B140" s="2">
        <v>54</v>
      </c>
      <c r="C140" s="2">
        <v>1282378</v>
      </c>
      <c r="D140" s="2" t="s">
        <v>16</v>
      </c>
      <c r="E140" s="2">
        <v>1</v>
      </c>
      <c r="F140" s="2">
        <v>885</v>
      </c>
      <c r="G140" s="2">
        <v>1</v>
      </c>
      <c r="H140" s="2">
        <v>1078440</v>
      </c>
      <c r="I140" s="2">
        <v>18</v>
      </c>
      <c r="J140" s="2">
        <v>33398</v>
      </c>
      <c r="K140" s="2">
        <v>4501620</v>
      </c>
      <c r="L140" s="2" t="s">
        <v>15</v>
      </c>
    </row>
    <row r="141" spans="1:12" x14ac:dyDescent="0.25">
      <c r="A141" s="2" t="str">
        <f t="shared" si="2"/>
        <v>APP140</v>
      </c>
      <c r="B141" s="2">
        <v>37</v>
      </c>
      <c r="C141" s="2">
        <v>726603</v>
      </c>
      <c r="D141" s="2" t="s">
        <v>14</v>
      </c>
      <c r="E141" s="2">
        <v>6</v>
      </c>
      <c r="F141" s="2">
        <v>726</v>
      </c>
      <c r="G141" s="2">
        <v>3</v>
      </c>
      <c r="H141" s="2">
        <v>1183993</v>
      </c>
      <c r="I141" s="2">
        <v>27</v>
      </c>
      <c r="J141" s="2">
        <v>68074</v>
      </c>
      <c r="K141" s="2">
        <v>780110</v>
      </c>
      <c r="L141" s="2" t="s">
        <v>13</v>
      </c>
    </row>
    <row r="142" spans="1:12" x14ac:dyDescent="0.25">
      <c r="A142" s="2" t="str">
        <f t="shared" si="2"/>
        <v>APP141</v>
      </c>
      <c r="B142" s="2">
        <v>38</v>
      </c>
      <c r="C142" s="2">
        <v>1059402</v>
      </c>
      <c r="D142" s="2" t="s">
        <v>12</v>
      </c>
      <c r="E142" s="2">
        <v>13</v>
      </c>
      <c r="F142" s="2">
        <v>727</v>
      </c>
      <c r="G142" s="2">
        <v>0</v>
      </c>
      <c r="H142" s="2">
        <v>4986668</v>
      </c>
      <c r="I142" s="2">
        <v>10</v>
      </c>
      <c r="J142" s="2">
        <v>13865</v>
      </c>
      <c r="K142" s="2">
        <v>465897</v>
      </c>
      <c r="L142" s="2" t="s">
        <v>13</v>
      </c>
    </row>
    <row r="143" spans="1:12" x14ac:dyDescent="0.25">
      <c r="A143" s="2" t="str">
        <f t="shared" si="2"/>
        <v>APP142</v>
      </c>
      <c r="B143" s="2">
        <v>52</v>
      </c>
      <c r="C143" s="2">
        <v>1523631</v>
      </c>
      <c r="D143" s="2" t="s">
        <v>16</v>
      </c>
      <c r="E143" s="2">
        <v>1</v>
      </c>
      <c r="F143" s="2">
        <v>643</v>
      </c>
      <c r="G143" s="2">
        <v>2</v>
      </c>
      <c r="H143" s="2">
        <v>946890</v>
      </c>
      <c r="I143" s="2">
        <v>23</v>
      </c>
      <c r="J143" s="2">
        <v>1147</v>
      </c>
      <c r="K143" s="2">
        <v>1722333</v>
      </c>
      <c r="L143" s="2" t="s">
        <v>13</v>
      </c>
    </row>
    <row r="144" spans="1:12" x14ac:dyDescent="0.25">
      <c r="A144" s="2" t="str">
        <f t="shared" si="2"/>
        <v>APP143</v>
      </c>
      <c r="B144" s="2">
        <v>21</v>
      </c>
      <c r="C144" s="2">
        <v>654541</v>
      </c>
      <c r="D144" s="2" t="s">
        <v>12</v>
      </c>
      <c r="E144" s="2">
        <v>7</v>
      </c>
      <c r="F144" s="2">
        <v>611</v>
      </c>
      <c r="G144" s="2">
        <v>4</v>
      </c>
      <c r="H144" s="2">
        <v>4150957</v>
      </c>
      <c r="I144" s="2">
        <v>23</v>
      </c>
      <c r="J144" s="2">
        <v>38744</v>
      </c>
      <c r="K144" s="2">
        <v>8539500</v>
      </c>
      <c r="L144" s="2" t="s">
        <v>13</v>
      </c>
    </row>
    <row r="145" spans="1:12" x14ac:dyDescent="0.25">
      <c r="A145" s="2" t="str">
        <f t="shared" si="2"/>
        <v>APP144</v>
      </c>
      <c r="B145" s="2">
        <v>37</v>
      </c>
      <c r="C145" s="2">
        <v>823061</v>
      </c>
      <c r="D145" s="2" t="s">
        <v>14</v>
      </c>
      <c r="E145" s="2">
        <v>1</v>
      </c>
      <c r="F145" s="2">
        <v>330</v>
      </c>
      <c r="G145" s="2">
        <v>0</v>
      </c>
      <c r="H145" s="2">
        <v>1048019</v>
      </c>
      <c r="I145" s="2">
        <v>24</v>
      </c>
      <c r="J145" s="2">
        <v>25702</v>
      </c>
      <c r="K145" s="2">
        <v>9355807</v>
      </c>
      <c r="L145" s="2" t="s">
        <v>15</v>
      </c>
    </row>
    <row r="146" spans="1:12" x14ac:dyDescent="0.25">
      <c r="A146" s="2" t="str">
        <f t="shared" si="2"/>
        <v>APP145</v>
      </c>
      <c r="B146" s="2">
        <v>30</v>
      </c>
      <c r="C146" s="2">
        <v>732239</v>
      </c>
      <c r="D146" s="2" t="s">
        <v>14</v>
      </c>
      <c r="E146" s="2">
        <v>1</v>
      </c>
      <c r="F146" s="2">
        <v>784</v>
      </c>
      <c r="G146" s="2">
        <v>2</v>
      </c>
      <c r="H146" s="2">
        <v>4957772</v>
      </c>
      <c r="I146" s="2">
        <v>2</v>
      </c>
      <c r="J146" s="2">
        <v>49108</v>
      </c>
      <c r="K146" s="2">
        <v>2062526</v>
      </c>
      <c r="L146" s="2" t="s">
        <v>13</v>
      </c>
    </row>
    <row r="147" spans="1:12" x14ac:dyDescent="0.25">
      <c r="A147" s="2" t="str">
        <f t="shared" si="2"/>
        <v>APP146</v>
      </c>
      <c r="B147" s="2">
        <v>45</v>
      </c>
      <c r="C147" s="2">
        <v>892640</v>
      </c>
      <c r="D147" s="2" t="s">
        <v>14</v>
      </c>
      <c r="E147" s="2">
        <v>24</v>
      </c>
      <c r="F147" s="2">
        <v>403</v>
      </c>
      <c r="G147" s="2">
        <v>1</v>
      </c>
      <c r="H147" s="2">
        <v>3730471</v>
      </c>
      <c r="I147" s="2">
        <v>22</v>
      </c>
      <c r="J147" s="2">
        <v>32794</v>
      </c>
      <c r="K147" s="2">
        <v>2808718</v>
      </c>
      <c r="L147" s="2" t="s">
        <v>13</v>
      </c>
    </row>
    <row r="148" spans="1:12" x14ac:dyDescent="0.25">
      <c r="A148" s="2" t="str">
        <f t="shared" si="2"/>
        <v>APP147</v>
      </c>
      <c r="B148" s="2">
        <v>29</v>
      </c>
      <c r="C148" s="2">
        <v>2003681</v>
      </c>
      <c r="D148" s="2" t="s">
        <v>16</v>
      </c>
      <c r="E148" s="2">
        <v>21</v>
      </c>
      <c r="F148" s="2">
        <v>870</v>
      </c>
      <c r="G148" s="2">
        <v>5</v>
      </c>
      <c r="H148" s="2">
        <v>1450934</v>
      </c>
      <c r="I148" s="2">
        <v>27</v>
      </c>
      <c r="J148" s="2">
        <v>69362</v>
      </c>
      <c r="K148" s="2">
        <v>7756102</v>
      </c>
      <c r="L148" s="2" t="s">
        <v>13</v>
      </c>
    </row>
    <row r="149" spans="1:12" x14ac:dyDescent="0.25">
      <c r="A149" s="2" t="str">
        <f t="shared" si="2"/>
        <v>APP148</v>
      </c>
      <c r="B149" s="2">
        <v>39</v>
      </c>
      <c r="C149" s="2">
        <v>902389</v>
      </c>
      <c r="D149" s="2" t="s">
        <v>12</v>
      </c>
      <c r="E149" s="2">
        <v>34</v>
      </c>
      <c r="F149" s="2">
        <v>525</v>
      </c>
      <c r="G149" s="2">
        <v>1</v>
      </c>
      <c r="H149" s="2">
        <v>730431</v>
      </c>
      <c r="I149" s="2">
        <v>14</v>
      </c>
      <c r="J149" s="2">
        <v>68140</v>
      </c>
      <c r="K149" s="2">
        <v>6558418</v>
      </c>
      <c r="L149" s="2" t="s">
        <v>13</v>
      </c>
    </row>
    <row r="150" spans="1:12" x14ac:dyDescent="0.25">
      <c r="A150" s="2" t="str">
        <f t="shared" si="2"/>
        <v>APP149</v>
      </c>
      <c r="B150" s="2">
        <v>23</v>
      </c>
      <c r="C150" s="2">
        <v>1852033</v>
      </c>
      <c r="D150" s="2" t="s">
        <v>14</v>
      </c>
      <c r="E150" s="2">
        <v>32</v>
      </c>
      <c r="F150" s="2">
        <v>848</v>
      </c>
      <c r="G150" s="2">
        <v>4</v>
      </c>
      <c r="H150" s="2">
        <v>3822221</v>
      </c>
      <c r="I150" s="2">
        <v>12</v>
      </c>
      <c r="J150" s="2">
        <v>9833</v>
      </c>
      <c r="K150" s="2">
        <v>1374494</v>
      </c>
      <c r="L150" s="2" t="s">
        <v>13</v>
      </c>
    </row>
    <row r="151" spans="1:12" x14ac:dyDescent="0.25">
      <c r="A151" s="2" t="str">
        <f t="shared" si="2"/>
        <v>APP150</v>
      </c>
      <c r="B151" s="2">
        <v>64</v>
      </c>
      <c r="C151" s="2">
        <v>537411</v>
      </c>
      <c r="D151" s="2" t="s">
        <v>16</v>
      </c>
      <c r="E151" s="2">
        <v>30</v>
      </c>
      <c r="F151" s="2">
        <v>374</v>
      </c>
      <c r="G151" s="2">
        <v>2</v>
      </c>
      <c r="H151" s="2">
        <v>120447</v>
      </c>
      <c r="I151" s="2">
        <v>24</v>
      </c>
      <c r="J151" s="2">
        <v>16838</v>
      </c>
      <c r="K151" s="2">
        <v>2461735</v>
      </c>
      <c r="L151" s="2" t="s">
        <v>15</v>
      </c>
    </row>
    <row r="152" spans="1:12" x14ac:dyDescent="0.25">
      <c r="A152" s="2" t="str">
        <f t="shared" si="2"/>
        <v>APP151</v>
      </c>
      <c r="B152" s="2">
        <v>24</v>
      </c>
      <c r="C152" s="2">
        <v>865788</v>
      </c>
      <c r="D152" s="2" t="s">
        <v>12</v>
      </c>
      <c r="E152" s="2">
        <v>34</v>
      </c>
      <c r="F152" s="2">
        <v>527</v>
      </c>
      <c r="G152" s="2">
        <v>5</v>
      </c>
      <c r="H152" s="2">
        <v>307809</v>
      </c>
      <c r="I152" s="2">
        <v>11</v>
      </c>
      <c r="J152" s="2">
        <v>2541</v>
      </c>
      <c r="K152" s="2">
        <v>3380557</v>
      </c>
      <c r="L152" s="2" t="s">
        <v>13</v>
      </c>
    </row>
    <row r="153" spans="1:12" x14ac:dyDescent="0.25">
      <c r="A153" s="2" t="str">
        <f t="shared" si="2"/>
        <v>APP152</v>
      </c>
      <c r="B153" s="2">
        <v>30</v>
      </c>
      <c r="C153" s="2">
        <v>746501</v>
      </c>
      <c r="D153" s="2" t="s">
        <v>16</v>
      </c>
      <c r="E153" s="2">
        <v>31</v>
      </c>
      <c r="F153" s="2">
        <v>492</v>
      </c>
      <c r="G153" s="2">
        <v>1</v>
      </c>
      <c r="H153" s="2">
        <v>992688</v>
      </c>
      <c r="I153" s="2">
        <v>1</v>
      </c>
      <c r="J153" s="2">
        <v>25122</v>
      </c>
      <c r="K153" s="2">
        <v>8334827</v>
      </c>
      <c r="L153" s="2" t="s">
        <v>13</v>
      </c>
    </row>
    <row r="154" spans="1:12" x14ac:dyDescent="0.25">
      <c r="A154" s="2" t="str">
        <f t="shared" si="2"/>
        <v>APP153</v>
      </c>
      <c r="B154" s="2">
        <v>55</v>
      </c>
      <c r="C154" s="2">
        <v>996395</v>
      </c>
      <c r="D154" s="2" t="s">
        <v>12</v>
      </c>
      <c r="E154" s="2">
        <v>31</v>
      </c>
      <c r="F154" s="2">
        <v>616</v>
      </c>
      <c r="G154" s="2">
        <v>4</v>
      </c>
      <c r="H154" s="2">
        <v>4765669</v>
      </c>
      <c r="I154" s="2">
        <v>20</v>
      </c>
      <c r="J154" s="2">
        <v>78007</v>
      </c>
      <c r="K154" s="2">
        <v>3519785</v>
      </c>
      <c r="L154" s="2" t="s">
        <v>13</v>
      </c>
    </row>
    <row r="155" spans="1:12" x14ac:dyDescent="0.25">
      <c r="A155" s="2" t="str">
        <f t="shared" si="2"/>
        <v>APP154</v>
      </c>
      <c r="B155" s="2">
        <v>51</v>
      </c>
      <c r="C155" s="2">
        <v>1710997</v>
      </c>
      <c r="D155" s="2" t="s">
        <v>16</v>
      </c>
      <c r="E155" s="2">
        <v>31</v>
      </c>
      <c r="F155" s="2">
        <v>758</v>
      </c>
      <c r="G155" s="2">
        <v>5</v>
      </c>
      <c r="H155" s="2">
        <v>4830048</v>
      </c>
      <c r="I155" s="2">
        <v>19</v>
      </c>
      <c r="J155" s="2">
        <v>65760</v>
      </c>
      <c r="K155" s="2">
        <v>8746141</v>
      </c>
      <c r="L155" s="2" t="s">
        <v>13</v>
      </c>
    </row>
    <row r="156" spans="1:12" x14ac:dyDescent="0.25">
      <c r="A156" s="2" t="str">
        <f t="shared" si="2"/>
        <v>APP155</v>
      </c>
      <c r="B156" s="2">
        <v>35</v>
      </c>
      <c r="C156" s="2">
        <v>492956</v>
      </c>
      <c r="D156" s="2" t="s">
        <v>14</v>
      </c>
      <c r="E156" s="2">
        <v>23</v>
      </c>
      <c r="F156" s="2">
        <v>870</v>
      </c>
      <c r="G156" s="2">
        <v>4</v>
      </c>
      <c r="H156" s="2">
        <v>1555034</v>
      </c>
      <c r="I156" s="2">
        <v>28</v>
      </c>
      <c r="J156" s="2">
        <v>50157</v>
      </c>
      <c r="K156" s="2">
        <v>7147047</v>
      </c>
      <c r="L156" s="2" t="s">
        <v>13</v>
      </c>
    </row>
    <row r="157" spans="1:12" x14ac:dyDescent="0.25">
      <c r="A157" s="2" t="str">
        <f t="shared" si="2"/>
        <v>APP156</v>
      </c>
      <c r="B157" s="2">
        <v>59</v>
      </c>
      <c r="C157" s="2">
        <v>1828078</v>
      </c>
      <c r="D157" s="2" t="s">
        <v>14</v>
      </c>
      <c r="E157" s="2">
        <v>23</v>
      </c>
      <c r="F157" s="2">
        <v>309</v>
      </c>
      <c r="G157" s="2">
        <v>4</v>
      </c>
      <c r="H157" s="2">
        <v>4783011</v>
      </c>
      <c r="I157" s="2">
        <v>18</v>
      </c>
      <c r="J157" s="2">
        <v>60334</v>
      </c>
      <c r="K157" s="2">
        <v>9452426</v>
      </c>
      <c r="L157" s="2" t="s">
        <v>13</v>
      </c>
    </row>
    <row r="158" spans="1:12" x14ac:dyDescent="0.25">
      <c r="A158" s="2" t="str">
        <f t="shared" si="2"/>
        <v>APP157</v>
      </c>
      <c r="B158" s="2">
        <v>32</v>
      </c>
      <c r="C158" s="2">
        <v>180593</v>
      </c>
      <c r="D158" s="2" t="s">
        <v>12</v>
      </c>
      <c r="E158" s="2">
        <v>10</v>
      </c>
      <c r="F158" s="2">
        <v>738</v>
      </c>
      <c r="G158" s="2">
        <v>5</v>
      </c>
      <c r="H158" s="2">
        <v>1510606</v>
      </c>
      <c r="I158" s="2">
        <v>17</v>
      </c>
      <c r="J158" s="2">
        <v>34504</v>
      </c>
      <c r="K158" s="2">
        <v>2533860</v>
      </c>
      <c r="L158" s="2" t="s">
        <v>15</v>
      </c>
    </row>
    <row r="159" spans="1:12" x14ac:dyDescent="0.25">
      <c r="A159" s="2" t="str">
        <f t="shared" si="2"/>
        <v>APP158</v>
      </c>
      <c r="B159" s="2">
        <v>50</v>
      </c>
      <c r="C159" s="2">
        <v>1771818</v>
      </c>
      <c r="D159" s="2" t="s">
        <v>16</v>
      </c>
      <c r="E159" s="2">
        <v>32</v>
      </c>
      <c r="F159" s="2">
        <v>573</v>
      </c>
      <c r="G159" s="2">
        <v>0</v>
      </c>
      <c r="H159" s="2">
        <v>2985741</v>
      </c>
      <c r="I159" s="2">
        <v>19</v>
      </c>
      <c r="J159" s="2">
        <v>66704</v>
      </c>
      <c r="K159" s="2">
        <v>1364761</v>
      </c>
      <c r="L159" s="2" t="s">
        <v>13</v>
      </c>
    </row>
    <row r="160" spans="1:12" x14ac:dyDescent="0.25">
      <c r="A160" s="2" t="str">
        <f t="shared" si="2"/>
        <v>APP159</v>
      </c>
      <c r="B160" s="2">
        <v>55</v>
      </c>
      <c r="C160" s="2">
        <v>2111541</v>
      </c>
      <c r="D160" s="2" t="s">
        <v>14</v>
      </c>
      <c r="E160" s="2">
        <v>0</v>
      </c>
      <c r="F160" s="2">
        <v>349</v>
      </c>
      <c r="G160" s="2">
        <v>3</v>
      </c>
      <c r="H160" s="2">
        <v>4524205</v>
      </c>
      <c r="I160" s="2">
        <v>30</v>
      </c>
      <c r="J160" s="2">
        <v>76382</v>
      </c>
      <c r="K160" s="2">
        <v>6673598</v>
      </c>
      <c r="L160" s="2" t="s">
        <v>13</v>
      </c>
    </row>
    <row r="161" spans="1:12" x14ac:dyDescent="0.25">
      <c r="A161" s="2" t="str">
        <f t="shared" si="2"/>
        <v>APP160</v>
      </c>
      <c r="B161" s="2">
        <v>48</v>
      </c>
      <c r="C161" s="2">
        <v>1991888</v>
      </c>
      <c r="D161" s="2" t="s">
        <v>16</v>
      </c>
      <c r="E161" s="2">
        <v>15</v>
      </c>
      <c r="F161" s="2">
        <v>303</v>
      </c>
      <c r="G161" s="2">
        <v>2</v>
      </c>
      <c r="H161" s="2">
        <v>3754433</v>
      </c>
      <c r="I161" s="2">
        <v>19</v>
      </c>
      <c r="J161" s="2">
        <v>66031</v>
      </c>
      <c r="K161" s="2">
        <v>9759244</v>
      </c>
      <c r="L161" s="2" t="s">
        <v>13</v>
      </c>
    </row>
    <row r="162" spans="1:12" x14ac:dyDescent="0.25">
      <c r="A162" s="2" t="str">
        <f t="shared" si="2"/>
        <v>APP161</v>
      </c>
      <c r="B162" s="2">
        <v>39</v>
      </c>
      <c r="C162" s="2">
        <v>1377763</v>
      </c>
      <c r="D162" s="2" t="s">
        <v>12</v>
      </c>
      <c r="E162" s="2">
        <v>15</v>
      </c>
      <c r="F162" s="2">
        <v>420</v>
      </c>
      <c r="G162" s="2">
        <v>1</v>
      </c>
      <c r="H162" s="2">
        <v>2540511</v>
      </c>
      <c r="I162" s="2">
        <v>19</v>
      </c>
      <c r="J162" s="2">
        <v>62457</v>
      </c>
      <c r="K162" s="2">
        <v>3118027</v>
      </c>
      <c r="L162" s="2" t="s">
        <v>15</v>
      </c>
    </row>
    <row r="163" spans="1:12" x14ac:dyDescent="0.25">
      <c r="A163" s="2" t="str">
        <f t="shared" si="2"/>
        <v>APP162</v>
      </c>
      <c r="B163" s="2">
        <v>32</v>
      </c>
      <c r="C163" s="2">
        <v>1694553</v>
      </c>
      <c r="D163" s="2" t="s">
        <v>14</v>
      </c>
      <c r="E163" s="2">
        <v>26</v>
      </c>
      <c r="F163" s="2">
        <v>678</v>
      </c>
      <c r="G163" s="2">
        <v>2</v>
      </c>
      <c r="H163" s="2">
        <v>1340567</v>
      </c>
      <c r="I163" s="2">
        <v>12</v>
      </c>
      <c r="J163" s="2">
        <v>67652</v>
      </c>
      <c r="K163" s="2">
        <v>7858066</v>
      </c>
      <c r="L163" s="2" t="s">
        <v>13</v>
      </c>
    </row>
    <row r="164" spans="1:12" x14ac:dyDescent="0.25">
      <c r="A164" s="2" t="str">
        <f t="shared" si="2"/>
        <v>APP163</v>
      </c>
      <c r="B164" s="2">
        <v>49</v>
      </c>
      <c r="C164" s="2">
        <v>167817</v>
      </c>
      <c r="D164" s="2" t="s">
        <v>14</v>
      </c>
      <c r="E164" s="2">
        <v>24</v>
      </c>
      <c r="F164" s="2">
        <v>781</v>
      </c>
      <c r="G164" s="2">
        <v>1</v>
      </c>
      <c r="H164" s="2">
        <v>3615808</v>
      </c>
      <c r="I164" s="2">
        <v>27</v>
      </c>
      <c r="J164" s="2">
        <v>28077</v>
      </c>
      <c r="K164" s="2">
        <v>199873</v>
      </c>
      <c r="L164" s="2" t="s">
        <v>13</v>
      </c>
    </row>
    <row r="165" spans="1:12" x14ac:dyDescent="0.25">
      <c r="A165" s="2" t="str">
        <f t="shared" si="2"/>
        <v>APP164</v>
      </c>
      <c r="B165" s="2">
        <v>57</v>
      </c>
      <c r="C165" s="2">
        <v>2032452</v>
      </c>
      <c r="D165" s="2" t="s">
        <v>12</v>
      </c>
      <c r="E165" s="2">
        <v>21</v>
      </c>
      <c r="F165" s="2">
        <v>338</v>
      </c>
      <c r="G165" s="2">
        <v>5</v>
      </c>
      <c r="H165" s="2">
        <v>2729266</v>
      </c>
      <c r="I165" s="2">
        <v>20</v>
      </c>
      <c r="J165" s="2">
        <v>66827</v>
      </c>
      <c r="K165" s="2">
        <v>5973841</v>
      </c>
      <c r="L165" s="2" t="s">
        <v>13</v>
      </c>
    </row>
    <row r="166" spans="1:12" x14ac:dyDescent="0.25">
      <c r="A166" s="2" t="str">
        <f t="shared" si="2"/>
        <v>APP165</v>
      </c>
      <c r="B166" s="2">
        <v>55</v>
      </c>
      <c r="C166" s="2">
        <v>437910</v>
      </c>
      <c r="D166" s="2" t="s">
        <v>12</v>
      </c>
      <c r="E166" s="2">
        <v>24</v>
      </c>
      <c r="F166" s="2">
        <v>802</v>
      </c>
      <c r="G166" s="2">
        <v>2</v>
      </c>
      <c r="H166" s="2">
        <v>3892405</v>
      </c>
      <c r="I166" s="2">
        <v>21</v>
      </c>
      <c r="J166" s="2">
        <v>54351</v>
      </c>
      <c r="K166" s="2">
        <v>6543389</v>
      </c>
      <c r="L166" s="2" t="s">
        <v>15</v>
      </c>
    </row>
    <row r="167" spans="1:12" x14ac:dyDescent="0.25">
      <c r="A167" s="2" t="str">
        <f t="shared" si="2"/>
        <v>APP166</v>
      </c>
      <c r="B167" s="2">
        <v>37</v>
      </c>
      <c r="C167" s="2">
        <v>1051208</v>
      </c>
      <c r="D167" s="2" t="s">
        <v>14</v>
      </c>
      <c r="E167" s="2">
        <v>30</v>
      </c>
      <c r="F167" s="2">
        <v>610</v>
      </c>
      <c r="G167" s="2">
        <v>2</v>
      </c>
      <c r="H167" s="2">
        <v>4104646</v>
      </c>
      <c r="I167" s="2">
        <v>29</v>
      </c>
      <c r="J167" s="2">
        <v>3493</v>
      </c>
      <c r="K167" s="2">
        <v>8358951</v>
      </c>
      <c r="L167" s="2" t="s">
        <v>13</v>
      </c>
    </row>
    <row r="168" spans="1:12" x14ac:dyDescent="0.25">
      <c r="A168" s="2" t="str">
        <f t="shared" si="2"/>
        <v>APP167</v>
      </c>
      <c r="B168" s="2">
        <v>58</v>
      </c>
      <c r="C168" s="2">
        <v>365291</v>
      </c>
      <c r="D168" s="2" t="s">
        <v>14</v>
      </c>
      <c r="E168" s="2">
        <v>33</v>
      </c>
      <c r="F168" s="2">
        <v>519</v>
      </c>
      <c r="G168" s="2">
        <v>5</v>
      </c>
      <c r="H168" s="2">
        <v>3537810</v>
      </c>
      <c r="I168" s="2">
        <v>3</v>
      </c>
      <c r="J168" s="2">
        <v>17514</v>
      </c>
      <c r="K168" s="2">
        <v>4785453</v>
      </c>
      <c r="L168" s="2" t="s">
        <v>13</v>
      </c>
    </row>
    <row r="169" spans="1:12" x14ac:dyDescent="0.25">
      <c r="A169" s="2" t="str">
        <f t="shared" si="2"/>
        <v>APP168</v>
      </c>
      <c r="B169" s="2">
        <v>46</v>
      </c>
      <c r="C169" s="2">
        <v>385524</v>
      </c>
      <c r="D169" s="2" t="s">
        <v>14</v>
      </c>
      <c r="E169" s="2">
        <v>14</v>
      </c>
      <c r="F169" s="2">
        <v>395</v>
      </c>
      <c r="G169" s="2">
        <v>2</v>
      </c>
      <c r="H169" s="2">
        <v>857121</v>
      </c>
      <c r="I169" s="2">
        <v>10</v>
      </c>
      <c r="J169" s="2">
        <v>66641</v>
      </c>
      <c r="K169" s="2">
        <v>7283427</v>
      </c>
      <c r="L169" s="2" t="s">
        <v>13</v>
      </c>
    </row>
    <row r="170" spans="1:12" x14ac:dyDescent="0.25">
      <c r="A170" s="2" t="str">
        <f t="shared" si="2"/>
        <v>APP169</v>
      </c>
      <c r="B170" s="2">
        <v>36</v>
      </c>
      <c r="C170" s="2">
        <v>2222333</v>
      </c>
      <c r="D170" s="2" t="s">
        <v>12</v>
      </c>
      <c r="E170" s="2">
        <v>0</v>
      </c>
      <c r="F170" s="2">
        <v>779</v>
      </c>
      <c r="G170" s="2">
        <v>0</v>
      </c>
      <c r="H170" s="2">
        <v>2630044</v>
      </c>
      <c r="I170" s="2">
        <v>20</v>
      </c>
      <c r="J170" s="2">
        <v>52384</v>
      </c>
      <c r="K170" s="2">
        <v>7633422</v>
      </c>
      <c r="L170" s="2" t="s">
        <v>15</v>
      </c>
    </row>
    <row r="171" spans="1:12" x14ac:dyDescent="0.25">
      <c r="A171" s="2" t="str">
        <f t="shared" si="2"/>
        <v>APP170</v>
      </c>
      <c r="B171" s="2">
        <v>28</v>
      </c>
      <c r="C171" s="2">
        <v>2451831</v>
      </c>
      <c r="D171" s="2" t="s">
        <v>16</v>
      </c>
      <c r="E171" s="2">
        <v>18</v>
      </c>
      <c r="F171" s="2">
        <v>455</v>
      </c>
      <c r="G171" s="2">
        <v>0</v>
      </c>
      <c r="H171" s="2">
        <v>2939849</v>
      </c>
      <c r="I171" s="2">
        <v>12</v>
      </c>
      <c r="J171" s="2">
        <v>43427</v>
      </c>
      <c r="K171" s="2">
        <v>5643612</v>
      </c>
      <c r="L171" s="2" t="s">
        <v>13</v>
      </c>
    </row>
    <row r="172" spans="1:12" x14ac:dyDescent="0.25">
      <c r="A172" s="2" t="str">
        <f t="shared" si="2"/>
        <v>APP171</v>
      </c>
      <c r="B172" s="2">
        <v>23</v>
      </c>
      <c r="C172" s="2">
        <v>358854</v>
      </c>
      <c r="D172" s="2" t="s">
        <v>14</v>
      </c>
      <c r="E172" s="2">
        <v>0</v>
      </c>
      <c r="F172" s="2">
        <v>773</v>
      </c>
      <c r="G172" s="2">
        <v>4</v>
      </c>
      <c r="H172" s="2">
        <v>3183643</v>
      </c>
      <c r="I172" s="2">
        <v>13</v>
      </c>
      <c r="J172" s="2">
        <v>5685</v>
      </c>
      <c r="K172" s="2">
        <v>331378</v>
      </c>
      <c r="L172" s="2" t="s">
        <v>13</v>
      </c>
    </row>
    <row r="173" spans="1:12" x14ac:dyDescent="0.25">
      <c r="A173" s="2" t="str">
        <f t="shared" si="2"/>
        <v>APP172</v>
      </c>
      <c r="B173" s="2">
        <v>63</v>
      </c>
      <c r="C173" s="2">
        <v>1821856</v>
      </c>
      <c r="D173" s="2" t="s">
        <v>12</v>
      </c>
      <c r="E173" s="2">
        <v>34</v>
      </c>
      <c r="F173" s="2">
        <v>336</v>
      </c>
      <c r="G173" s="2">
        <v>2</v>
      </c>
      <c r="H173" s="2">
        <v>2598879</v>
      </c>
      <c r="I173" s="2">
        <v>13</v>
      </c>
      <c r="J173" s="2">
        <v>62971</v>
      </c>
      <c r="K173" s="2">
        <v>9116412</v>
      </c>
      <c r="L173" s="2" t="s">
        <v>13</v>
      </c>
    </row>
    <row r="174" spans="1:12" x14ac:dyDescent="0.25">
      <c r="A174" s="2" t="str">
        <f t="shared" si="2"/>
        <v>APP173</v>
      </c>
      <c r="B174" s="2">
        <v>25</v>
      </c>
      <c r="C174" s="2">
        <v>1231737</v>
      </c>
      <c r="D174" s="2" t="s">
        <v>16</v>
      </c>
      <c r="E174" s="2">
        <v>33</v>
      </c>
      <c r="F174" s="2">
        <v>376</v>
      </c>
      <c r="G174" s="2">
        <v>1</v>
      </c>
      <c r="H174" s="2">
        <v>4022604</v>
      </c>
      <c r="I174" s="2">
        <v>5</v>
      </c>
      <c r="J174" s="2">
        <v>30743</v>
      </c>
      <c r="K174" s="2">
        <v>8135864</v>
      </c>
      <c r="L174" s="2" t="s">
        <v>13</v>
      </c>
    </row>
    <row r="175" spans="1:12" x14ac:dyDescent="0.25">
      <c r="A175" s="2" t="str">
        <f t="shared" si="2"/>
        <v>APP174</v>
      </c>
      <c r="B175" s="2">
        <v>33</v>
      </c>
      <c r="C175" s="2">
        <v>289401</v>
      </c>
      <c r="D175" s="2" t="s">
        <v>14</v>
      </c>
      <c r="E175" s="2">
        <v>33</v>
      </c>
      <c r="F175" s="2">
        <v>557</v>
      </c>
      <c r="G175" s="2">
        <v>4</v>
      </c>
      <c r="H175" s="2">
        <v>1773378</v>
      </c>
      <c r="I175" s="2">
        <v>11</v>
      </c>
      <c r="J175" s="2">
        <v>30439</v>
      </c>
      <c r="K175" s="2">
        <v>1111175</v>
      </c>
      <c r="L175" s="2" t="s">
        <v>15</v>
      </c>
    </row>
    <row r="176" spans="1:12" x14ac:dyDescent="0.25">
      <c r="A176" s="2" t="str">
        <f t="shared" si="2"/>
        <v>APP175</v>
      </c>
      <c r="B176" s="2">
        <v>22</v>
      </c>
      <c r="C176" s="2">
        <v>511451</v>
      </c>
      <c r="D176" s="2" t="s">
        <v>14</v>
      </c>
      <c r="E176" s="2">
        <v>12</v>
      </c>
      <c r="F176" s="2">
        <v>565</v>
      </c>
      <c r="G176" s="2">
        <v>0</v>
      </c>
      <c r="H176" s="2">
        <v>4876810</v>
      </c>
      <c r="I176" s="2">
        <v>18</v>
      </c>
      <c r="J176" s="2">
        <v>65530</v>
      </c>
      <c r="K176" s="2">
        <v>1876869</v>
      </c>
      <c r="L176" s="2" t="s">
        <v>13</v>
      </c>
    </row>
    <row r="177" spans="1:12" x14ac:dyDescent="0.25">
      <c r="A177" s="2" t="str">
        <f t="shared" si="2"/>
        <v>APP176</v>
      </c>
      <c r="B177" s="2">
        <v>46</v>
      </c>
      <c r="C177" s="2">
        <v>753820</v>
      </c>
      <c r="D177" s="2" t="s">
        <v>14</v>
      </c>
      <c r="E177" s="2">
        <v>15</v>
      </c>
      <c r="F177" s="2">
        <v>539</v>
      </c>
      <c r="G177" s="2">
        <v>2</v>
      </c>
      <c r="H177" s="2">
        <v>4578866</v>
      </c>
      <c r="I177" s="2">
        <v>16</v>
      </c>
      <c r="J177" s="2">
        <v>74412</v>
      </c>
      <c r="K177" s="2">
        <v>1792665</v>
      </c>
      <c r="L177" s="2" t="s">
        <v>13</v>
      </c>
    </row>
    <row r="178" spans="1:12" x14ac:dyDescent="0.25">
      <c r="A178" s="2" t="str">
        <f t="shared" si="2"/>
        <v>APP177</v>
      </c>
      <c r="B178" s="2">
        <v>53</v>
      </c>
      <c r="C178" s="2">
        <v>1420022</v>
      </c>
      <c r="D178" s="2" t="s">
        <v>16</v>
      </c>
      <c r="E178" s="2">
        <v>1</v>
      </c>
      <c r="F178" s="2">
        <v>625</v>
      </c>
      <c r="G178" s="2">
        <v>4</v>
      </c>
      <c r="H178" s="2">
        <v>2156889</v>
      </c>
      <c r="I178" s="2">
        <v>10</v>
      </c>
      <c r="J178" s="2">
        <v>72879</v>
      </c>
      <c r="K178" s="2">
        <v>9399150</v>
      </c>
      <c r="L178" s="2" t="s">
        <v>15</v>
      </c>
    </row>
    <row r="179" spans="1:12" x14ac:dyDescent="0.25">
      <c r="A179" s="2" t="str">
        <f t="shared" si="2"/>
        <v>APP178</v>
      </c>
      <c r="B179" s="2">
        <v>26</v>
      </c>
      <c r="C179" s="2">
        <v>2442582</v>
      </c>
      <c r="D179" s="2" t="s">
        <v>14</v>
      </c>
      <c r="E179" s="2">
        <v>20</v>
      </c>
      <c r="F179" s="2">
        <v>736</v>
      </c>
      <c r="G179" s="2">
        <v>4</v>
      </c>
      <c r="H179" s="2">
        <v>3506077</v>
      </c>
      <c r="I179" s="2">
        <v>2</v>
      </c>
      <c r="J179" s="2">
        <v>50351</v>
      </c>
      <c r="K179" s="2">
        <v>8123002</v>
      </c>
      <c r="L179" s="2" t="s">
        <v>13</v>
      </c>
    </row>
    <row r="180" spans="1:12" x14ac:dyDescent="0.25">
      <c r="A180" s="2" t="str">
        <f t="shared" si="2"/>
        <v>APP179</v>
      </c>
      <c r="B180" s="2">
        <v>32</v>
      </c>
      <c r="C180" s="2">
        <v>208067</v>
      </c>
      <c r="D180" s="2" t="s">
        <v>12</v>
      </c>
      <c r="E180" s="2">
        <v>21</v>
      </c>
      <c r="F180" s="2">
        <v>578</v>
      </c>
      <c r="G180" s="2">
        <v>0</v>
      </c>
      <c r="H180" s="2">
        <v>4233031</v>
      </c>
      <c r="I180" s="2">
        <v>6</v>
      </c>
      <c r="J180" s="2">
        <v>9210</v>
      </c>
      <c r="K180" s="2">
        <v>2497474</v>
      </c>
      <c r="L180" s="2" t="s">
        <v>13</v>
      </c>
    </row>
    <row r="181" spans="1:12" x14ac:dyDescent="0.25">
      <c r="A181" s="2" t="str">
        <f t="shared" si="2"/>
        <v>APP180</v>
      </c>
      <c r="B181" s="2">
        <v>40</v>
      </c>
      <c r="C181" s="2">
        <v>2460688</v>
      </c>
      <c r="D181" s="2" t="s">
        <v>16</v>
      </c>
      <c r="E181" s="2">
        <v>24</v>
      </c>
      <c r="F181" s="2">
        <v>357</v>
      </c>
      <c r="G181" s="2">
        <v>4</v>
      </c>
      <c r="H181" s="2">
        <v>4779466</v>
      </c>
      <c r="I181" s="2">
        <v>25</v>
      </c>
      <c r="J181" s="2">
        <v>44700</v>
      </c>
      <c r="K181" s="2">
        <v>4206525</v>
      </c>
      <c r="L181" s="2" t="s">
        <v>13</v>
      </c>
    </row>
    <row r="182" spans="1:12" x14ac:dyDescent="0.25">
      <c r="A182" s="2" t="str">
        <f t="shared" si="2"/>
        <v>APP181</v>
      </c>
      <c r="B182" s="2">
        <v>63</v>
      </c>
      <c r="C182" s="2">
        <v>978136</v>
      </c>
      <c r="D182" s="2" t="s">
        <v>14</v>
      </c>
      <c r="E182" s="2">
        <v>34</v>
      </c>
      <c r="F182" s="2">
        <v>839</v>
      </c>
      <c r="G182" s="2">
        <v>5</v>
      </c>
      <c r="H182" s="2">
        <v>4068110</v>
      </c>
      <c r="I182" s="2">
        <v>7</v>
      </c>
      <c r="J182" s="2">
        <v>48612</v>
      </c>
      <c r="K182" s="2">
        <v>7885299</v>
      </c>
      <c r="L182" s="2" t="s">
        <v>13</v>
      </c>
    </row>
    <row r="183" spans="1:12" x14ac:dyDescent="0.25">
      <c r="A183" s="2" t="str">
        <f t="shared" si="2"/>
        <v>APP182</v>
      </c>
      <c r="B183" s="2">
        <v>39</v>
      </c>
      <c r="C183" s="2">
        <v>1102427</v>
      </c>
      <c r="D183" s="2" t="s">
        <v>12</v>
      </c>
      <c r="E183" s="2">
        <v>33</v>
      </c>
      <c r="F183" s="2">
        <v>544</v>
      </c>
      <c r="G183" s="2">
        <v>4</v>
      </c>
      <c r="H183" s="2">
        <v>87757</v>
      </c>
      <c r="I183" s="2">
        <v>4</v>
      </c>
      <c r="J183" s="2">
        <v>59230</v>
      </c>
      <c r="K183" s="2">
        <v>4206152</v>
      </c>
      <c r="L183" s="2" t="s">
        <v>13</v>
      </c>
    </row>
    <row r="184" spans="1:12" x14ac:dyDescent="0.25">
      <c r="A184" s="2" t="str">
        <f t="shared" si="2"/>
        <v>APP183</v>
      </c>
      <c r="B184" s="2">
        <v>61</v>
      </c>
      <c r="C184" s="2">
        <v>756193</v>
      </c>
      <c r="D184" s="2" t="s">
        <v>16</v>
      </c>
      <c r="E184" s="2">
        <v>1</v>
      </c>
      <c r="F184" s="2">
        <v>658</v>
      </c>
      <c r="G184" s="2">
        <v>3</v>
      </c>
      <c r="H184" s="2">
        <v>2969197</v>
      </c>
      <c r="I184" s="2">
        <v>16</v>
      </c>
      <c r="J184" s="2">
        <v>76174</v>
      </c>
      <c r="K184" s="2">
        <v>9492657</v>
      </c>
      <c r="L184" s="2" t="s">
        <v>13</v>
      </c>
    </row>
    <row r="185" spans="1:12" x14ac:dyDescent="0.25">
      <c r="A185" s="2" t="str">
        <f t="shared" si="2"/>
        <v>APP184</v>
      </c>
      <c r="B185" s="2">
        <v>62</v>
      </c>
      <c r="C185" s="2">
        <v>1968849</v>
      </c>
      <c r="D185" s="2" t="s">
        <v>12</v>
      </c>
      <c r="E185" s="2">
        <v>16</v>
      </c>
      <c r="F185" s="2">
        <v>342</v>
      </c>
      <c r="G185" s="2">
        <v>1</v>
      </c>
      <c r="H185" s="2">
        <v>2654387</v>
      </c>
      <c r="I185" s="2">
        <v>3</v>
      </c>
      <c r="J185" s="2">
        <v>18326</v>
      </c>
      <c r="K185" s="2">
        <v>3059519</v>
      </c>
      <c r="L185" s="2" t="s">
        <v>13</v>
      </c>
    </row>
    <row r="186" spans="1:12" x14ac:dyDescent="0.25">
      <c r="A186" s="2" t="str">
        <f t="shared" si="2"/>
        <v>APP185</v>
      </c>
      <c r="B186" s="2">
        <v>34</v>
      </c>
      <c r="C186" s="2">
        <v>2410192</v>
      </c>
      <c r="D186" s="2" t="s">
        <v>12</v>
      </c>
      <c r="E186" s="2">
        <v>9</v>
      </c>
      <c r="F186" s="2">
        <v>573</v>
      </c>
      <c r="G186" s="2">
        <v>3</v>
      </c>
      <c r="H186" s="2">
        <v>3242873</v>
      </c>
      <c r="I186" s="2">
        <v>9</v>
      </c>
      <c r="J186" s="2">
        <v>72746</v>
      </c>
      <c r="K186" s="2">
        <v>9069877</v>
      </c>
      <c r="L186" s="2" t="s">
        <v>13</v>
      </c>
    </row>
    <row r="187" spans="1:12" x14ac:dyDescent="0.25">
      <c r="A187" s="2" t="str">
        <f t="shared" si="2"/>
        <v>APP186</v>
      </c>
      <c r="B187" s="2">
        <v>58</v>
      </c>
      <c r="C187" s="2">
        <v>1165403</v>
      </c>
      <c r="D187" s="2" t="s">
        <v>12</v>
      </c>
      <c r="E187" s="2">
        <v>10</v>
      </c>
      <c r="F187" s="2">
        <v>772</v>
      </c>
      <c r="G187" s="2">
        <v>1</v>
      </c>
      <c r="H187" s="2">
        <v>4304676</v>
      </c>
      <c r="I187" s="2">
        <v>29</v>
      </c>
      <c r="J187" s="2">
        <v>39088</v>
      </c>
      <c r="K187" s="2">
        <v>2586774</v>
      </c>
      <c r="L187" s="2" t="s">
        <v>13</v>
      </c>
    </row>
    <row r="188" spans="1:12" x14ac:dyDescent="0.25">
      <c r="A188" s="2" t="str">
        <f t="shared" si="2"/>
        <v>APP187</v>
      </c>
      <c r="B188" s="2">
        <v>33</v>
      </c>
      <c r="C188" s="2">
        <v>1013642</v>
      </c>
      <c r="D188" s="2" t="s">
        <v>12</v>
      </c>
      <c r="E188" s="2">
        <v>6</v>
      </c>
      <c r="F188" s="2">
        <v>807</v>
      </c>
      <c r="G188" s="2">
        <v>5</v>
      </c>
      <c r="H188" s="2">
        <v>3504143</v>
      </c>
      <c r="I188" s="2">
        <v>7</v>
      </c>
      <c r="J188" s="2">
        <v>43498</v>
      </c>
      <c r="K188" s="2">
        <v>2687811</v>
      </c>
      <c r="L188" s="2" t="s">
        <v>13</v>
      </c>
    </row>
    <row r="189" spans="1:12" x14ac:dyDescent="0.25">
      <c r="A189" s="2" t="str">
        <f t="shared" si="2"/>
        <v>APP188</v>
      </c>
      <c r="B189" s="2">
        <v>51</v>
      </c>
      <c r="C189" s="2">
        <v>2070083</v>
      </c>
      <c r="D189" s="2" t="s">
        <v>14</v>
      </c>
      <c r="E189" s="2">
        <v>19</v>
      </c>
      <c r="F189" s="2">
        <v>740</v>
      </c>
      <c r="G189" s="2">
        <v>2</v>
      </c>
      <c r="H189" s="2">
        <v>2115813</v>
      </c>
      <c r="I189" s="2">
        <v>12</v>
      </c>
      <c r="J189" s="2">
        <v>59186</v>
      </c>
      <c r="K189" s="2">
        <v>2764250</v>
      </c>
      <c r="L189" s="2" t="s">
        <v>13</v>
      </c>
    </row>
    <row r="190" spans="1:12" x14ac:dyDescent="0.25">
      <c r="A190" s="2" t="str">
        <f t="shared" si="2"/>
        <v>APP189</v>
      </c>
      <c r="B190" s="2">
        <v>61</v>
      </c>
      <c r="C190" s="2">
        <v>1944503</v>
      </c>
      <c r="D190" s="2" t="s">
        <v>14</v>
      </c>
      <c r="E190" s="2">
        <v>1</v>
      </c>
      <c r="F190" s="2">
        <v>360</v>
      </c>
      <c r="G190" s="2">
        <v>4</v>
      </c>
      <c r="H190" s="2">
        <v>3525122</v>
      </c>
      <c r="I190" s="2">
        <v>25</v>
      </c>
      <c r="J190" s="2">
        <v>42108</v>
      </c>
      <c r="K190" s="2">
        <v>5374566</v>
      </c>
      <c r="L190" s="2" t="s">
        <v>15</v>
      </c>
    </row>
    <row r="191" spans="1:12" x14ac:dyDescent="0.25">
      <c r="A191" s="2" t="str">
        <f t="shared" si="2"/>
        <v>APP190</v>
      </c>
      <c r="B191" s="2">
        <v>28</v>
      </c>
      <c r="C191" s="2">
        <v>942895</v>
      </c>
      <c r="D191" s="2" t="s">
        <v>16</v>
      </c>
      <c r="E191" s="2">
        <v>1</v>
      </c>
      <c r="F191" s="2">
        <v>509</v>
      </c>
      <c r="G191" s="2">
        <v>3</v>
      </c>
      <c r="H191" s="2">
        <v>4881025</v>
      </c>
      <c r="I191" s="2">
        <v>7</v>
      </c>
      <c r="J191" s="2">
        <v>63318</v>
      </c>
      <c r="K191" s="2">
        <v>1362941</v>
      </c>
      <c r="L191" s="2" t="s">
        <v>13</v>
      </c>
    </row>
    <row r="192" spans="1:12" x14ac:dyDescent="0.25">
      <c r="A192" s="2" t="str">
        <f t="shared" si="2"/>
        <v>APP191</v>
      </c>
      <c r="B192" s="2">
        <v>21</v>
      </c>
      <c r="C192" s="2">
        <v>2395708</v>
      </c>
      <c r="D192" s="2" t="s">
        <v>12</v>
      </c>
      <c r="E192" s="2">
        <v>18</v>
      </c>
      <c r="F192" s="2">
        <v>866</v>
      </c>
      <c r="G192" s="2">
        <v>5</v>
      </c>
      <c r="H192" s="2">
        <v>381702</v>
      </c>
      <c r="I192" s="2">
        <v>30</v>
      </c>
      <c r="J192" s="2">
        <v>27191</v>
      </c>
      <c r="K192" s="2">
        <v>4357600</v>
      </c>
      <c r="L192" s="2" t="s">
        <v>13</v>
      </c>
    </row>
    <row r="193" spans="1:12" x14ac:dyDescent="0.25">
      <c r="A193" s="2" t="str">
        <f t="shared" si="2"/>
        <v>APP192</v>
      </c>
      <c r="B193" s="2">
        <v>33</v>
      </c>
      <c r="C193" s="2">
        <v>1151169</v>
      </c>
      <c r="D193" s="2" t="s">
        <v>16</v>
      </c>
      <c r="E193" s="2">
        <v>23</v>
      </c>
      <c r="F193" s="2">
        <v>578</v>
      </c>
      <c r="G193" s="2">
        <v>1</v>
      </c>
      <c r="H193" s="2">
        <v>836554</v>
      </c>
      <c r="I193" s="2">
        <v>4</v>
      </c>
      <c r="J193" s="2">
        <v>43694</v>
      </c>
      <c r="K193" s="2">
        <v>1894953</v>
      </c>
      <c r="L193" s="2" t="s">
        <v>13</v>
      </c>
    </row>
    <row r="194" spans="1:12" x14ac:dyDescent="0.25">
      <c r="A194" s="2" t="str">
        <f t="shared" si="2"/>
        <v>APP193</v>
      </c>
      <c r="B194" s="2">
        <v>34</v>
      </c>
      <c r="C194" s="2">
        <v>2349563</v>
      </c>
      <c r="D194" s="2" t="s">
        <v>16</v>
      </c>
      <c r="E194" s="2">
        <v>35</v>
      </c>
      <c r="F194" s="2">
        <v>895</v>
      </c>
      <c r="G194" s="2">
        <v>0</v>
      </c>
      <c r="H194" s="2">
        <v>2518816</v>
      </c>
      <c r="I194" s="2">
        <v>21</v>
      </c>
      <c r="J194" s="2">
        <v>71823</v>
      </c>
      <c r="K194" s="2">
        <v>8074345</v>
      </c>
      <c r="L194" s="2" t="s">
        <v>13</v>
      </c>
    </row>
    <row r="195" spans="1:12" x14ac:dyDescent="0.25">
      <c r="A195" s="2" t="str">
        <f t="shared" ref="A195:A258" si="3">"APP"&amp;TEXT(ROW()-1,"000")</f>
        <v>APP194</v>
      </c>
      <c r="B195" s="2">
        <v>31</v>
      </c>
      <c r="C195" s="2">
        <v>561009</v>
      </c>
      <c r="D195" s="2" t="s">
        <v>14</v>
      </c>
      <c r="E195" s="2">
        <v>11</v>
      </c>
      <c r="F195" s="2">
        <v>825</v>
      </c>
      <c r="G195" s="2">
        <v>2</v>
      </c>
      <c r="H195" s="2">
        <v>4336274</v>
      </c>
      <c r="I195" s="2">
        <v>2</v>
      </c>
      <c r="J195" s="2">
        <v>66743</v>
      </c>
      <c r="K195" s="2">
        <v>7769205</v>
      </c>
      <c r="L195" s="2" t="s">
        <v>15</v>
      </c>
    </row>
    <row r="196" spans="1:12" x14ac:dyDescent="0.25">
      <c r="A196" s="2" t="str">
        <f t="shared" si="3"/>
        <v>APP195</v>
      </c>
      <c r="B196" s="2">
        <v>65</v>
      </c>
      <c r="C196" s="2">
        <v>1773361</v>
      </c>
      <c r="D196" s="2" t="s">
        <v>16</v>
      </c>
      <c r="E196" s="2">
        <v>15</v>
      </c>
      <c r="F196" s="2">
        <v>543</v>
      </c>
      <c r="G196" s="2">
        <v>2</v>
      </c>
      <c r="H196" s="2">
        <v>3743123</v>
      </c>
      <c r="I196" s="2">
        <v>27</v>
      </c>
      <c r="J196" s="2">
        <v>61939</v>
      </c>
      <c r="K196" s="2">
        <v>3157114</v>
      </c>
      <c r="L196" s="2" t="s">
        <v>13</v>
      </c>
    </row>
    <row r="197" spans="1:12" x14ac:dyDescent="0.25">
      <c r="A197" s="2" t="str">
        <f t="shared" si="3"/>
        <v>APP196</v>
      </c>
      <c r="B197" s="2">
        <v>37</v>
      </c>
      <c r="C197" s="2">
        <v>1373715</v>
      </c>
      <c r="D197" s="2" t="s">
        <v>12</v>
      </c>
      <c r="E197" s="2">
        <v>24</v>
      </c>
      <c r="F197" s="2">
        <v>317</v>
      </c>
      <c r="G197" s="2">
        <v>3</v>
      </c>
      <c r="H197" s="2">
        <v>2271511</v>
      </c>
      <c r="I197" s="2">
        <v>18</v>
      </c>
      <c r="J197" s="2">
        <v>10123</v>
      </c>
      <c r="K197" s="2">
        <v>2045931</v>
      </c>
      <c r="L197" s="2" t="s">
        <v>13</v>
      </c>
    </row>
    <row r="198" spans="1:12" x14ac:dyDescent="0.25">
      <c r="A198" s="2" t="str">
        <f t="shared" si="3"/>
        <v>APP197</v>
      </c>
      <c r="B198" s="2">
        <v>30</v>
      </c>
      <c r="C198" s="2">
        <v>1187166</v>
      </c>
      <c r="D198" s="2" t="s">
        <v>16</v>
      </c>
      <c r="E198" s="2">
        <v>25</v>
      </c>
      <c r="F198" s="2">
        <v>861</v>
      </c>
      <c r="G198" s="2">
        <v>2</v>
      </c>
      <c r="H198" s="2">
        <v>1761139</v>
      </c>
      <c r="I198" s="2">
        <v>18</v>
      </c>
      <c r="J198" s="2">
        <v>10395</v>
      </c>
      <c r="K198" s="2">
        <v>4621044</v>
      </c>
      <c r="L198" s="2" t="s">
        <v>13</v>
      </c>
    </row>
    <row r="199" spans="1:12" x14ac:dyDescent="0.25">
      <c r="A199" s="2" t="str">
        <f t="shared" si="3"/>
        <v>APP198</v>
      </c>
      <c r="B199" s="2">
        <v>59</v>
      </c>
      <c r="C199" s="2">
        <v>1434094</v>
      </c>
      <c r="D199" s="2" t="s">
        <v>16</v>
      </c>
      <c r="E199" s="2">
        <v>34</v>
      </c>
      <c r="F199" s="2">
        <v>704</v>
      </c>
      <c r="G199" s="2">
        <v>4</v>
      </c>
      <c r="H199" s="2">
        <v>3405893</v>
      </c>
      <c r="I199" s="2">
        <v>9</v>
      </c>
      <c r="J199" s="2">
        <v>10830</v>
      </c>
      <c r="K199" s="2">
        <v>8241044</v>
      </c>
      <c r="L199" s="2" t="s">
        <v>13</v>
      </c>
    </row>
    <row r="200" spans="1:12" x14ac:dyDescent="0.25">
      <c r="A200" s="2" t="str">
        <f t="shared" si="3"/>
        <v>APP199</v>
      </c>
      <c r="B200" s="2">
        <v>58</v>
      </c>
      <c r="C200" s="2">
        <v>321742</v>
      </c>
      <c r="D200" s="2" t="s">
        <v>14</v>
      </c>
      <c r="E200" s="2">
        <v>15</v>
      </c>
      <c r="F200" s="2">
        <v>688</v>
      </c>
      <c r="G200" s="2">
        <v>0</v>
      </c>
      <c r="H200" s="2">
        <v>1892021</v>
      </c>
      <c r="I200" s="2">
        <v>10</v>
      </c>
      <c r="J200" s="2">
        <v>16372</v>
      </c>
      <c r="K200" s="2">
        <v>694349</v>
      </c>
      <c r="L200" s="2" t="s">
        <v>15</v>
      </c>
    </row>
    <row r="201" spans="1:12" x14ac:dyDescent="0.25">
      <c r="A201" s="2" t="str">
        <f t="shared" si="3"/>
        <v>APP200</v>
      </c>
      <c r="B201" s="2">
        <v>44</v>
      </c>
      <c r="C201" s="2">
        <v>350353</v>
      </c>
      <c r="D201" s="2" t="s">
        <v>12</v>
      </c>
      <c r="E201" s="2">
        <v>22</v>
      </c>
      <c r="F201" s="2">
        <v>512</v>
      </c>
      <c r="G201" s="2">
        <v>5</v>
      </c>
      <c r="H201" s="2">
        <v>2311270</v>
      </c>
      <c r="I201" s="2">
        <v>14</v>
      </c>
      <c r="J201" s="2">
        <v>8549</v>
      </c>
      <c r="K201" s="2">
        <v>1557278</v>
      </c>
      <c r="L201" s="2" t="s">
        <v>15</v>
      </c>
    </row>
    <row r="202" spans="1:12" x14ac:dyDescent="0.25">
      <c r="A202" s="2" t="str">
        <f t="shared" si="3"/>
        <v>APP201</v>
      </c>
      <c r="B202" s="2">
        <v>55</v>
      </c>
      <c r="C202" s="2">
        <v>732516</v>
      </c>
      <c r="D202" s="2" t="s">
        <v>14</v>
      </c>
      <c r="E202" s="2">
        <v>10</v>
      </c>
      <c r="F202" s="2">
        <v>361</v>
      </c>
      <c r="G202" s="2">
        <v>4</v>
      </c>
      <c r="H202" s="2">
        <v>3758598</v>
      </c>
      <c r="I202" s="2">
        <v>10</v>
      </c>
      <c r="J202" s="2">
        <v>74941</v>
      </c>
      <c r="K202" s="2">
        <v>9243313</v>
      </c>
      <c r="L202" s="2" t="s">
        <v>13</v>
      </c>
    </row>
    <row r="203" spans="1:12" x14ac:dyDescent="0.25">
      <c r="A203" s="2" t="str">
        <f t="shared" si="3"/>
        <v>APP202</v>
      </c>
      <c r="B203" s="2">
        <v>61</v>
      </c>
      <c r="C203" s="2">
        <v>797630</v>
      </c>
      <c r="D203" s="2" t="s">
        <v>12</v>
      </c>
      <c r="E203" s="2">
        <v>22</v>
      </c>
      <c r="F203" s="2">
        <v>441</v>
      </c>
      <c r="G203" s="2">
        <v>2</v>
      </c>
      <c r="H203" s="2">
        <v>373230</v>
      </c>
      <c r="I203" s="2">
        <v>3</v>
      </c>
      <c r="J203" s="2">
        <v>18219</v>
      </c>
      <c r="K203" s="2">
        <v>6200112</v>
      </c>
      <c r="L203" s="2" t="s">
        <v>13</v>
      </c>
    </row>
    <row r="204" spans="1:12" x14ac:dyDescent="0.25">
      <c r="A204" s="2" t="str">
        <f t="shared" si="3"/>
        <v>APP203</v>
      </c>
      <c r="B204" s="2">
        <v>65</v>
      </c>
      <c r="C204" s="2">
        <v>459725</v>
      </c>
      <c r="D204" s="2" t="s">
        <v>16</v>
      </c>
      <c r="E204" s="2">
        <v>16</v>
      </c>
      <c r="F204" s="2">
        <v>767</v>
      </c>
      <c r="G204" s="2">
        <v>1</v>
      </c>
      <c r="H204" s="2">
        <v>2154263</v>
      </c>
      <c r="I204" s="2">
        <v>4</v>
      </c>
      <c r="J204" s="2">
        <v>23579</v>
      </c>
      <c r="K204" s="2">
        <v>7673175</v>
      </c>
      <c r="L204" s="2" t="s">
        <v>13</v>
      </c>
    </row>
    <row r="205" spans="1:12" x14ac:dyDescent="0.25">
      <c r="A205" s="2" t="str">
        <f t="shared" si="3"/>
        <v>APP204</v>
      </c>
      <c r="B205" s="2">
        <v>33</v>
      </c>
      <c r="C205" s="2">
        <v>1563557</v>
      </c>
      <c r="D205" s="2" t="s">
        <v>14</v>
      </c>
      <c r="E205" s="2">
        <v>0</v>
      </c>
      <c r="F205" s="2">
        <v>570</v>
      </c>
      <c r="G205" s="2">
        <v>5</v>
      </c>
      <c r="H205" s="2">
        <v>1924242</v>
      </c>
      <c r="I205" s="2">
        <v>20</v>
      </c>
      <c r="J205" s="2">
        <v>60954</v>
      </c>
      <c r="K205" s="2">
        <v>5175862</v>
      </c>
      <c r="L205" s="2" t="s">
        <v>15</v>
      </c>
    </row>
    <row r="206" spans="1:12" x14ac:dyDescent="0.25">
      <c r="A206" s="2" t="str">
        <f t="shared" si="3"/>
        <v>APP205</v>
      </c>
      <c r="B206" s="2">
        <v>53</v>
      </c>
      <c r="C206" s="2">
        <v>1039963</v>
      </c>
      <c r="D206" s="2" t="s">
        <v>14</v>
      </c>
      <c r="E206" s="2">
        <v>22</v>
      </c>
      <c r="F206" s="2">
        <v>411</v>
      </c>
      <c r="G206" s="2">
        <v>2</v>
      </c>
      <c r="H206" s="2">
        <v>4267446</v>
      </c>
      <c r="I206" s="2">
        <v>12</v>
      </c>
      <c r="J206" s="2">
        <v>16797</v>
      </c>
      <c r="K206" s="2">
        <v>7831981</v>
      </c>
      <c r="L206" s="2" t="s">
        <v>15</v>
      </c>
    </row>
    <row r="207" spans="1:12" x14ac:dyDescent="0.25">
      <c r="A207" s="2" t="str">
        <f t="shared" si="3"/>
        <v>APP206</v>
      </c>
      <c r="B207" s="2">
        <v>29</v>
      </c>
      <c r="C207" s="2">
        <v>2170700</v>
      </c>
      <c r="D207" s="2" t="s">
        <v>12</v>
      </c>
      <c r="E207" s="2">
        <v>26</v>
      </c>
      <c r="F207" s="2">
        <v>814</v>
      </c>
      <c r="G207" s="2">
        <v>5</v>
      </c>
      <c r="H207" s="2">
        <v>2183170</v>
      </c>
      <c r="I207" s="2">
        <v>5</v>
      </c>
      <c r="J207" s="2">
        <v>35782</v>
      </c>
      <c r="K207" s="2">
        <v>3702263</v>
      </c>
      <c r="L207" s="2" t="s">
        <v>13</v>
      </c>
    </row>
    <row r="208" spans="1:12" x14ac:dyDescent="0.25">
      <c r="A208" s="2" t="str">
        <f t="shared" si="3"/>
        <v>APP207</v>
      </c>
      <c r="B208" s="2">
        <v>57</v>
      </c>
      <c r="C208" s="2">
        <v>1725763</v>
      </c>
      <c r="D208" s="2" t="s">
        <v>16</v>
      </c>
      <c r="E208" s="2">
        <v>35</v>
      </c>
      <c r="F208" s="2">
        <v>651</v>
      </c>
      <c r="G208" s="2">
        <v>5</v>
      </c>
      <c r="H208" s="2">
        <v>2125126</v>
      </c>
      <c r="I208" s="2">
        <v>28</v>
      </c>
      <c r="J208" s="2">
        <v>11489</v>
      </c>
      <c r="K208" s="2">
        <v>4147644</v>
      </c>
      <c r="L208" s="2" t="s">
        <v>13</v>
      </c>
    </row>
    <row r="209" spans="1:12" x14ac:dyDescent="0.25">
      <c r="A209" s="2" t="str">
        <f t="shared" si="3"/>
        <v>APP208</v>
      </c>
      <c r="B209" s="2">
        <v>46</v>
      </c>
      <c r="C209" s="2">
        <v>491766</v>
      </c>
      <c r="D209" s="2" t="s">
        <v>12</v>
      </c>
      <c r="E209" s="2">
        <v>29</v>
      </c>
      <c r="F209" s="2">
        <v>437</v>
      </c>
      <c r="G209" s="2">
        <v>4</v>
      </c>
      <c r="H209" s="2">
        <v>325823</v>
      </c>
      <c r="I209" s="2">
        <v>23</v>
      </c>
      <c r="J209" s="2">
        <v>27178</v>
      </c>
      <c r="K209" s="2">
        <v>5865413</v>
      </c>
      <c r="L209" s="2" t="s">
        <v>13</v>
      </c>
    </row>
    <row r="210" spans="1:12" x14ac:dyDescent="0.25">
      <c r="A210" s="2" t="str">
        <f t="shared" si="3"/>
        <v>APP209</v>
      </c>
      <c r="B210" s="2">
        <v>62</v>
      </c>
      <c r="C210" s="2">
        <v>428901</v>
      </c>
      <c r="D210" s="2" t="s">
        <v>16</v>
      </c>
      <c r="E210" s="2">
        <v>14</v>
      </c>
      <c r="F210" s="2">
        <v>422</v>
      </c>
      <c r="G210" s="2">
        <v>3</v>
      </c>
      <c r="H210" s="2">
        <v>2675987</v>
      </c>
      <c r="I210" s="2">
        <v>24</v>
      </c>
      <c r="J210" s="2">
        <v>50145</v>
      </c>
      <c r="K210" s="2">
        <v>7618403</v>
      </c>
      <c r="L210" s="2" t="s">
        <v>13</v>
      </c>
    </row>
    <row r="211" spans="1:12" x14ac:dyDescent="0.25">
      <c r="A211" s="2" t="str">
        <f t="shared" si="3"/>
        <v>APP210</v>
      </c>
      <c r="B211" s="2">
        <v>52</v>
      </c>
      <c r="C211" s="2">
        <v>410756</v>
      </c>
      <c r="D211" s="2" t="s">
        <v>12</v>
      </c>
      <c r="E211" s="2">
        <v>24</v>
      </c>
      <c r="F211" s="2">
        <v>451</v>
      </c>
      <c r="G211" s="2">
        <v>2</v>
      </c>
      <c r="H211" s="2">
        <v>797332</v>
      </c>
      <c r="I211" s="2">
        <v>2</v>
      </c>
      <c r="J211" s="2">
        <v>65423</v>
      </c>
      <c r="K211" s="2">
        <v>9383227</v>
      </c>
      <c r="L211" s="2" t="s">
        <v>13</v>
      </c>
    </row>
    <row r="212" spans="1:12" x14ac:dyDescent="0.25">
      <c r="A212" s="2" t="str">
        <f t="shared" si="3"/>
        <v>APP211</v>
      </c>
      <c r="B212" s="2">
        <v>43</v>
      </c>
      <c r="C212" s="2">
        <v>1871845</v>
      </c>
      <c r="D212" s="2" t="s">
        <v>16</v>
      </c>
      <c r="E212" s="2">
        <v>14</v>
      </c>
      <c r="F212" s="2">
        <v>647</v>
      </c>
      <c r="G212" s="2">
        <v>5</v>
      </c>
      <c r="H212" s="2">
        <v>272788</v>
      </c>
      <c r="I212" s="2">
        <v>30</v>
      </c>
      <c r="J212" s="2">
        <v>64048</v>
      </c>
      <c r="K212" s="2">
        <v>3016837</v>
      </c>
      <c r="L212" s="2" t="s">
        <v>13</v>
      </c>
    </row>
    <row r="213" spans="1:12" x14ac:dyDescent="0.25">
      <c r="A213" s="2" t="str">
        <f t="shared" si="3"/>
        <v>APP212</v>
      </c>
      <c r="B213" s="2">
        <v>39</v>
      </c>
      <c r="C213" s="2">
        <v>1326771</v>
      </c>
      <c r="D213" s="2" t="s">
        <v>16</v>
      </c>
      <c r="E213" s="2">
        <v>34</v>
      </c>
      <c r="F213" s="2">
        <v>515</v>
      </c>
      <c r="G213" s="2">
        <v>3</v>
      </c>
      <c r="H213" s="2">
        <v>371326</v>
      </c>
      <c r="I213" s="2">
        <v>7</v>
      </c>
      <c r="J213" s="2">
        <v>25155</v>
      </c>
      <c r="K213" s="2">
        <v>8110337</v>
      </c>
      <c r="L213" s="2" t="s">
        <v>13</v>
      </c>
    </row>
    <row r="214" spans="1:12" x14ac:dyDescent="0.25">
      <c r="A214" s="2" t="str">
        <f t="shared" si="3"/>
        <v>APP213</v>
      </c>
      <c r="B214" s="2">
        <v>45</v>
      </c>
      <c r="C214" s="2">
        <v>339519</v>
      </c>
      <c r="D214" s="2" t="s">
        <v>12</v>
      </c>
      <c r="E214" s="2">
        <v>9</v>
      </c>
      <c r="F214" s="2">
        <v>569</v>
      </c>
      <c r="G214" s="2">
        <v>1</v>
      </c>
      <c r="H214" s="2">
        <v>3026435</v>
      </c>
      <c r="I214" s="2">
        <v>14</v>
      </c>
      <c r="J214" s="2">
        <v>37889</v>
      </c>
      <c r="K214" s="2">
        <v>8378584</v>
      </c>
      <c r="L214" s="2" t="s">
        <v>13</v>
      </c>
    </row>
    <row r="215" spans="1:12" x14ac:dyDescent="0.25">
      <c r="A215" s="2" t="str">
        <f t="shared" si="3"/>
        <v>APP214</v>
      </c>
      <c r="B215" s="2">
        <v>48</v>
      </c>
      <c r="C215" s="2">
        <v>765335</v>
      </c>
      <c r="D215" s="2" t="s">
        <v>12</v>
      </c>
      <c r="E215" s="2">
        <v>22</v>
      </c>
      <c r="F215" s="2">
        <v>868</v>
      </c>
      <c r="G215" s="2">
        <v>0</v>
      </c>
      <c r="H215" s="2">
        <v>393020</v>
      </c>
      <c r="I215" s="2">
        <v>29</v>
      </c>
      <c r="J215" s="2">
        <v>31324</v>
      </c>
      <c r="K215" s="2">
        <v>8785086</v>
      </c>
      <c r="L215" s="2" t="s">
        <v>13</v>
      </c>
    </row>
    <row r="216" spans="1:12" x14ac:dyDescent="0.25">
      <c r="A216" s="2" t="str">
        <f t="shared" si="3"/>
        <v>APP215</v>
      </c>
      <c r="B216" s="2">
        <v>56</v>
      </c>
      <c r="C216" s="2">
        <v>1057222</v>
      </c>
      <c r="D216" s="2" t="s">
        <v>14</v>
      </c>
      <c r="E216" s="2">
        <v>33</v>
      </c>
      <c r="F216" s="2">
        <v>581</v>
      </c>
      <c r="G216" s="2">
        <v>4</v>
      </c>
      <c r="H216" s="2">
        <v>470663</v>
      </c>
      <c r="I216" s="2">
        <v>28</v>
      </c>
      <c r="J216" s="2">
        <v>76035</v>
      </c>
      <c r="K216" s="2">
        <v>7904100</v>
      </c>
      <c r="L216" s="2" t="s">
        <v>13</v>
      </c>
    </row>
    <row r="217" spans="1:12" x14ac:dyDescent="0.25">
      <c r="A217" s="2" t="str">
        <f t="shared" si="3"/>
        <v>APP216</v>
      </c>
      <c r="B217" s="2">
        <v>63</v>
      </c>
      <c r="C217" s="2">
        <v>1515726</v>
      </c>
      <c r="D217" s="2" t="s">
        <v>16</v>
      </c>
      <c r="E217" s="2">
        <v>33</v>
      </c>
      <c r="F217" s="2">
        <v>851</v>
      </c>
      <c r="G217" s="2">
        <v>5</v>
      </c>
      <c r="H217" s="2">
        <v>2540512</v>
      </c>
      <c r="I217" s="2">
        <v>12</v>
      </c>
      <c r="J217" s="2">
        <v>20450</v>
      </c>
      <c r="K217" s="2">
        <v>7109416</v>
      </c>
      <c r="L217" s="2" t="s">
        <v>15</v>
      </c>
    </row>
    <row r="218" spans="1:12" x14ac:dyDescent="0.25">
      <c r="A218" s="2" t="str">
        <f t="shared" si="3"/>
        <v>APP217</v>
      </c>
      <c r="B218" s="2">
        <v>49</v>
      </c>
      <c r="C218" s="2">
        <v>1958438</v>
      </c>
      <c r="D218" s="2" t="s">
        <v>16</v>
      </c>
      <c r="E218" s="2">
        <v>20</v>
      </c>
      <c r="F218" s="2">
        <v>576</v>
      </c>
      <c r="G218" s="2">
        <v>4</v>
      </c>
      <c r="H218" s="2">
        <v>1556350</v>
      </c>
      <c r="I218" s="2">
        <v>14</v>
      </c>
      <c r="J218" s="2">
        <v>41524</v>
      </c>
      <c r="K218" s="2">
        <v>7680198</v>
      </c>
      <c r="L218" s="2" t="s">
        <v>15</v>
      </c>
    </row>
    <row r="219" spans="1:12" x14ac:dyDescent="0.25">
      <c r="A219" s="2" t="str">
        <f t="shared" si="3"/>
        <v>APP218</v>
      </c>
      <c r="B219" s="2">
        <v>30</v>
      </c>
      <c r="C219" s="2">
        <v>1049978</v>
      </c>
      <c r="D219" s="2" t="s">
        <v>14</v>
      </c>
      <c r="E219" s="2">
        <v>10</v>
      </c>
      <c r="F219" s="2">
        <v>628</v>
      </c>
      <c r="G219" s="2">
        <v>5</v>
      </c>
      <c r="H219" s="2">
        <v>1987617</v>
      </c>
      <c r="I219" s="2">
        <v>3</v>
      </c>
      <c r="J219" s="2">
        <v>58266</v>
      </c>
      <c r="K219" s="2">
        <v>6393166</v>
      </c>
      <c r="L219" s="2" t="s">
        <v>15</v>
      </c>
    </row>
    <row r="220" spans="1:12" x14ac:dyDescent="0.25">
      <c r="A220" s="2" t="str">
        <f t="shared" si="3"/>
        <v>APP219</v>
      </c>
      <c r="B220" s="2">
        <v>32</v>
      </c>
      <c r="C220" s="2">
        <v>844208</v>
      </c>
      <c r="D220" s="2" t="s">
        <v>14</v>
      </c>
      <c r="E220" s="2">
        <v>1</v>
      </c>
      <c r="F220" s="2">
        <v>500</v>
      </c>
      <c r="G220" s="2">
        <v>4</v>
      </c>
      <c r="H220" s="2">
        <v>3671768</v>
      </c>
      <c r="I220" s="2">
        <v>30</v>
      </c>
      <c r="J220" s="2">
        <v>70649</v>
      </c>
      <c r="K220" s="2">
        <v>5564044</v>
      </c>
      <c r="L220" s="2" t="s">
        <v>13</v>
      </c>
    </row>
    <row r="221" spans="1:12" x14ac:dyDescent="0.25">
      <c r="A221" s="2" t="str">
        <f t="shared" si="3"/>
        <v>APP220</v>
      </c>
      <c r="B221" s="2">
        <v>56</v>
      </c>
      <c r="C221" s="2">
        <v>2391158</v>
      </c>
      <c r="D221" s="2" t="s">
        <v>16</v>
      </c>
      <c r="E221" s="2">
        <v>15</v>
      </c>
      <c r="F221" s="2">
        <v>421</v>
      </c>
      <c r="G221" s="2">
        <v>4</v>
      </c>
      <c r="H221" s="2">
        <v>383079</v>
      </c>
      <c r="I221" s="2">
        <v>2</v>
      </c>
      <c r="J221" s="2">
        <v>63829</v>
      </c>
      <c r="K221" s="2">
        <v>6931854</v>
      </c>
      <c r="L221" s="2" t="s">
        <v>15</v>
      </c>
    </row>
    <row r="222" spans="1:12" x14ac:dyDescent="0.25">
      <c r="A222" s="2" t="str">
        <f t="shared" si="3"/>
        <v>APP221</v>
      </c>
      <c r="B222" s="2">
        <v>54</v>
      </c>
      <c r="C222" s="2">
        <v>1965441</v>
      </c>
      <c r="D222" s="2" t="s">
        <v>12</v>
      </c>
      <c r="E222" s="2">
        <v>31</v>
      </c>
      <c r="F222" s="2">
        <v>895</v>
      </c>
      <c r="G222" s="2">
        <v>0</v>
      </c>
      <c r="H222" s="2">
        <v>2614651</v>
      </c>
      <c r="I222" s="2">
        <v>23</v>
      </c>
      <c r="J222" s="2">
        <v>76791</v>
      </c>
      <c r="K222" s="2">
        <v>4759620</v>
      </c>
      <c r="L222" s="2" t="s">
        <v>13</v>
      </c>
    </row>
    <row r="223" spans="1:12" x14ac:dyDescent="0.25">
      <c r="A223" s="2" t="str">
        <f t="shared" si="3"/>
        <v>APP222</v>
      </c>
      <c r="B223" s="2">
        <v>51</v>
      </c>
      <c r="C223" s="2">
        <v>201677</v>
      </c>
      <c r="D223" s="2" t="s">
        <v>14</v>
      </c>
      <c r="E223" s="2">
        <v>21</v>
      </c>
      <c r="F223" s="2">
        <v>650</v>
      </c>
      <c r="G223" s="2">
        <v>5</v>
      </c>
      <c r="H223" s="2">
        <v>970489</v>
      </c>
      <c r="I223" s="2">
        <v>28</v>
      </c>
      <c r="J223" s="2">
        <v>41838</v>
      </c>
      <c r="K223" s="2">
        <v>6288180</v>
      </c>
      <c r="L223" s="2" t="s">
        <v>15</v>
      </c>
    </row>
    <row r="224" spans="1:12" x14ac:dyDescent="0.25">
      <c r="A224" s="2" t="str">
        <f t="shared" si="3"/>
        <v>APP223</v>
      </c>
      <c r="B224" s="2">
        <v>43</v>
      </c>
      <c r="C224" s="2">
        <v>1063834</v>
      </c>
      <c r="D224" s="2" t="s">
        <v>14</v>
      </c>
      <c r="E224" s="2">
        <v>28</v>
      </c>
      <c r="F224" s="2">
        <v>302</v>
      </c>
      <c r="G224" s="2">
        <v>1</v>
      </c>
      <c r="H224" s="2">
        <v>2768166</v>
      </c>
      <c r="I224" s="2">
        <v>8</v>
      </c>
      <c r="J224" s="2">
        <v>28951</v>
      </c>
      <c r="K224" s="2">
        <v>8015389</v>
      </c>
      <c r="L224" s="2" t="s">
        <v>13</v>
      </c>
    </row>
    <row r="225" spans="1:12" x14ac:dyDescent="0.25">
      <c r="A225" s="2" t="str">
        <f t="shared" si="3"/>
        <v>APP224</v>
      </c>
      <c r="B225" s="2">
        <v>50</v>
      </c>
      <c r="C225" s="2">
        <v>1060308</v>
      </c>
      <c r="D225" s="2" t="s">
        <v>14</v>
      </c>
      <c r="E225" s="2">
        <v>18</v>
      </c>
      <c r="F225" s="2">
        <v>545</v>
      </c>
      <c r="G225" s="2">
        <v>5</v>
      </c>
      <c r="H225" s="2">
        <v>1257391</v>
      </c>
      <c r="I225" s="2">
        <v>26</v>
      </c>
      <c r="J225" s="2">
        <v>27358</v>
      </c>
      <c r="K225" s="2">
        <v>9397635</v>
      </c>
      <c r="L225" s="2" t="s">
        <v>15</v>
      </c>
    </row>
    <row r="226" spans="1:12" x14ac:dyDescent="0.25">
      <c r="A226" s="2" t="str">
        <f t="shared" si="3"/>
        <v>APP225</v>
      </c>
      <c r="B226" s="2">
        <v>63</v>
      </c>
      <c r="C226" s="2">
        <v>1749654</v>
      </c>
      <c r="D226" s="2" t="s">
        <v>14</v>
      </c>
      <c r="E226" s="2">
        <v>3</v>
      </c>
      <c r="F226" s="2">
        <v>565</v>
      </c>
      <c r="G226" s="2">
        <v>5</v>
      </c>
      <c r="H226" s="2">
        <v>850993</v>
      </c>
      <c r="I226" s="2">
        <v>7</v>
      </c>
      <c r="J226" s="2">
        <v>28496</v>
      </c>
      <c r="K226" s="2">
        <v>2625249</v>
      </c>
      <c r="L226" s="2" t="s">
        <v>13</v>
      </c>
    </row>
    <row r="227" spans="1:12" x14ac:dyDescent="0.25">
      <c r="A227" s="2" t="str">
        <f t="shared" si="3"/>
        <v>APP226</v>
      </c>
      <c r="B227" s="2">
        <v>31</v>
      </c>
      <c r="C227" s="2">
        <v>1411037</v>
      </c>
      <c r="D227" s="2" t="s">
        <v>16</v>
      </c>
      <c r="E227" s="2">
        <v>26</v>
      </c>
      <c r="F227" s="2">
        <v>794</v>
      </c>
      <c r="G227" s="2">
        <v>5</v>
      </c>
      <c r="H227" s="2">
        <v>3446054</v>
      </c>
      <c r="I227" s="2">
        <v>12</v>
      </c>
      <c r="J227" s="2">
        <v>32147</v>
      </c>
      <c r="K227" s="2">
        <v>3125641</v>
      </c>
      <c r="L227" s="2" t="s">
        <v>15</v>
      </c>
    </row>
    <row r="228" spans="1:12" x14ac:dyDescent="0.25">
      <c r="A228" s="2" t="str">
        <f t="shared" si="3"/>
        <v>APP227</v>
      </c>
      <c r="B228" s="2">
        <v>64</v>
      </c>
      <c r="C228" s="2">
        <v>774542</v>
      </c>
      <c r="D228" s="2" t="s">
        <v>12</v>
      </c>
      <c r="E228" s="2">
        <v>15</v>
      </c>
      <c r="F228" s="2">
        <v>495</v>
      </c>
      <c r="G228" s="2">
        <v>1</v>
      </c>
      <c r="H228" s="2">
        <v>960599</v>
      </c>
      <c r="I228" s="2">
        <v>27</v>
      </c>
      <c r="J228" s="2">
        <v>55026</v>
      </c>
      <c r="K228" s="2">
        <v>5592740</v>
      </c>
      <c r="L228" s="2" t="s">
        <v>15</v>
      </c>
    </row>
    <row r="229" spans="1:12" x14ac:dyDescent="0.25">
      <c r="A229" s="2" t="str">
        <f t="shared" si="3"/>
        <v>APP228</v>
      </c>
      <c r="B229" s="2">
        <v>34</v>
      </c>
      <c r="C229" s="2">
        <v>2478994</v>
      </c>
      <c r="D229" s="2" t="s">
        <v>14</v>
      </c>
      <c r="E229" s="2">
        <v>31</v>
      </c>
      <c r="F229" s="2">
        <v>408</v>
      </c>
      <c r="G229" s="2">
        <v>0</v>
      </c>
      <c r="H229" s="2">
        <v>3120075</v>
      </c>
      <c r="I229" s="2">
        <v>21</v>
      </c>
      <c r="J229" s="2">
        <v>29632</v>
      </c>
      <c r="K229" s="2">
        <v>1001971</v>
      </c>
      <c r="L229" s="2" t="s">
        <v>13</v>
      </c>
    </row>
    <row r="230" spans="1:12" x14ac:dyDescent="0.25">
      <c r="A230" s="2" t="str">
        <f t="shared" si="3"/>
        <v>APP229</v>
      </c>
      <c r="B230" s="2">
        <v>59</v>
      </c>
      <c r="C230" s="2">
        <v>660700</v>
      </c>
      <c r="D230" s="2" t="s">
        <v>16</v>
      </c>
      <c r="E230" s="2">
        <v>33</v>
      </c>
      <c r="F230" s="2">
        <v>824</v>
      </c>
      <c r="G230" s="2">
        <v>0</v>
      </c>
      <c r="H230" s="2">
        <v>1491281</v>
      </c>
      <c r="I230" s="2">
        <v>22</v>
      </c>
      <c r="J230" s="2">
        <v>32977</v>
      </c>
      <c r="K230" s="2">
        <v>5647841</v>
      </c>
      <c r="L230" s="2" t="s">
        <v>15</v>
      </c>
    </row>
    <row r="231" spans="1:12" x14ac:dyDescent="0.25">
      <c r="A231" s="2" t="str">
        <f t="shared" si="3"/>
        <v>APP230</v>
      </c>
      <c r="B231" s="2">
        <v>34</v>
      </c>
      <c r="C231" s="2">
        <v>2398621</v>
      </c>
      <c r="D231" s="2" t="s">
        <v>16</v>
      </c>
      <c r="E231" s="2">
        <v>34</v>
      </c>
      <c r="F231" s="2">
        <v>760</v>
      </c>
      <c r="G231" s="2">
        <v>2</v>
      </c>
      <c r="H231" s="2">
        <v>1519887</v>
      </c>
      <c r="I231" s="2">
        <v>28</v>
      </c>
      <c r="J231" s="2">
        <v>51702</v>
      </c>
      <c r="K231" s="2">
        <v>4348763</v>
      </c>
      <c r="L231" s="2" t="s">
        <v>13</v>
      </c>
    </row>
    <row r="232" spans="1:12" x14ac:dyDescent="0.25">
      <c r="A232" s="2" t="str">
        <f t="shared" si="3"/>
        <v>APP231</v>
      </c>
      <c r="B232" s="2">
        <v>59</v>
      </c>
      <c r="C232" s="2">
        <v>1885303</v>
      </c>
      <c r="D232" s="2" t="s">
        <v>12</v>
      </c>
      <c r="E232" s="2">
        <v>8</v>
      </c>
      <c r="F232" s="2">
        <v>715</v>
      </c>
      <c r="G232" s="2">
        <v>4</v>
      </c>
      <c r="H232" s="2">
        <v>474870</v>
      </c>
      <c r="I232" s="2">
        <v>4</v>
      </c>
      <c r="J232" s="2">
        <v>46639</v>
      </c>
      <c r="K232" s="2">
        <v>7895712</v>
      </c>
      <c r="L232" s="2" t="s">
        <v>15</v>
      </c>
    </row>
    <row r="233" spans="1:12" x14ac:dyDescent="0.25">
      <c r="A233" s="2" t="str">
        <f t="shared" si="3"/>
        <v>APP232</v>
      </c>
      <c r="B233" s="2">
        <v>45</v>
      </c>
      <c r="C233" s="2">
        <v>781075</v>
      </c>
      <c r="D233" s="2" t="s">
        <v>14</v>
      </c>
      <c r="E233" s="2">
        <v>14</v>
      </c>
      <c r="F233" s="2">
        <v>684</v>
      </c>
      <c r="G233" s="2">
        <v>4</v>
      </c>
      <c r="H233" s="2">
        <v>4940637</v>
      </c>
      <c r="I233" s="2">
        <v>1</v>
      </c>
      <c r="J233" s="2">
        <v>11801</v>
      </c>
      <c r="K233" s="2">
        <v>6805708</v>
      </c>
      <c r="L233" s="2" t="s">
        <v>13</v>
      </c>
    </row>
    <row r="234" spans="1:12" x14ac:dyDescent="0.25">
      <c r="A234" s="2" t="str">
        <f t="shared" si="3"/>
        <v>APP233</v>
      </c>
      <c r="B234" s="2">
        <v>35</v>
      </c>
      <c r="C234" s="2">
        <v>1945852</v>
      </c>
      <c r="D234" s="2" t="s">
        <v>16</v>
      </c>
      <c r="E234" s="2">
        <v>34</v>
      </c>
      <c r="F234" s="2">
        <v>408</v>
      </c>
      <c r="G234" s="2">
        <v>5</v>
      </c>
      <c r="H234" s="2">
        <v>4586493</v>
      </c>
      <c r="I234" s="2">
        <v>25</v>
      </c>
      <c r="J234" s="2">
        <v>739</v>
      </c>
      <c r="K234" s="2">
        <v>2078992</v>
      </c>
      <c r="L234" s="2" t="s">
        <v>15</v>
      </c>
    </row>
    <row r="235" spans="1:12" x14ac:dyDescent="0.25">
      <c r="A235" s="2" t="str">
        <f t="shared" si="3"/>
        <v>APP234</v>
      </c>
      <c r="B235" s="2">
        <v>45</v>
      </c>
      <c r="C235" s="2">
        <v>2405182</v>
      </c>
      <c r="D235" s="2" t="s">
        <v>14</v>
      </c>
      <c r="E235" s="2">
        <v>32</v>
      </c>
      <c r="F235" s="2">
        <v>796</v>
      </c>
      <c r="G235" s="2">
        <v>4</v>
      </c>
      <c r="H235" s="2">
        <v>4764529</v>
      </c>
      <c r="I235" s="2">
        <v>30</v>
      </c>
      <c r="J235" s="2">
        <v>46675</v>
      </c>
      <c r="K235" s="2">
        <v>5896056</v>
      </c>
      <c r="L235" s="2" t="s">
        <v>13</v>
      </c>
    </row>
    <row r="236" spans="1:12" x14ac:dyDescent="0.25">
      <c r="A236" s="2" t="str">
        <f t="shared" si="3"/>
        <v>APP235</v>
      </c>
      <c r="B236" s="2">
        <v>64</v>
      </c>
      <c r="C236" s="2">
        <v>2430299</v>
      </c>
      <c r="D236" s="2" t="s">
        <v>16</v>
      </c>
      <c r="E236" s="2">
        <v>14</v>
      </c>
      <c r="F236" s="2">
        <v>460</v>
      </c>
      <c r="G236" s="2">
        <v>5</v>
      </c>
      <c r="H236" s="2">
        <v>3138406</v>
      </c>
      <c r="I236" s="2">
        <v>9</v>
      </c>
      <c r="J236" s="2">
        <v>908</v>
      </c>
      <c r="K236" s="2">
        <v>6004981</v>
      </c>
      <c r="L236" s="2" t="s">
        <v>13</v>
      </c>
    </row>
    <row r="237" spans="1:12" x14ac:dyDescent="0.25">
      <c r="A237" s="2" t="str">
        <f t="shared" si="3"/>
        <v>APP236</v>
      </c>
      <c r="B237" s="2">
        <v>58</v>
      </c>
      <c r="C237" s="2">
        <v>423920</v>
      </c>
      <c r="D237" s="2" t="s">
        <v>16</v>
      </c>
      <c r="E237" s="2">
        <v>19</v>
      </c>
      <c r="F237" s="2">
        <v>347</v>
      </c>
      <c r="G237" s="2">
        <v>4</v>
      </c>
      <c r="H237" s="2">
        <v>967019</v>
      </c>
      <c r="I237" s="2">
        <v>28</v>
      </c>
      <c r="J237" s="2">
        <v>39335</v>
      </c>
      <c r="K237" s="2">
        <v>5897533</v>
      </c>
      <c r="L237" s="2" t="s">
        <v>15</v>
      </c>
    </row>
    <row r="238" spans="1:12" x14ac:dyDescent="0.25">
      <c r="A238" s="2" t="str">
        <f t="shared" si="3"/>
        <v>APP237</v>
      </c>
      <c r="B238" s="2">
        <v>22</v>
      </c>
      <c r="C238" s="2">
        <v>2432235</v>
      </c>
      <c r="D238" s="2" t="s">
        <v>14</v>
      </c>
      <c r="E238" s="2">
        <v>30</v>
      </c>
      <c r="F238" s="2">
        <v>553</v>
      </c>
      <c r="G238" s="2">
        <v>3</v>
      </c>
      <c r="H238" s="2">
        <v>4550064</v>
      </c>
      <c r="I238" s="2">
        <v>29</v>
      </c>
      <c r="J238" s="2">
        <v>67651</v>
      </c>
      <c r="K238" s="2">
        <v>371936</v>
      </c>
      <c r="L238" s="2" t="s">
        <v>13</v>
      </c>
    </row>
    <row r="239" spans="1:12" x14ac:dyDescent="0.25">
      <c r="A239" s="2" t="str">
        <f t="shared" si="3"/>
        <v>APP238</v>
      </c>
      <c r="B239" s="2">
        <v>55</v>
      </c>
      <c r="C239" s="2">
        <v>2159935</v>
      </c>
      <c r="D239" s="2" t="s">
        <v>16</v>
      </c>
      <c r="E239" s="2">
        <v>19</v>
      </c>
      <c r="F239" s="2">
        <v>561</v>
      </c>
      <c r="G239" s="2">
        <v>4</v>
      </c>
      <c r="H239" s="2">
        <v>4763118</v>
      </c>
      <c r="I239" s="2">
        <v>22</v>
      </c>
      <c r="J239" s="2">
        <v>41873</v>
      </c>
      <c r="K239" s="2">
        <v>6286276</v>
      </c>
      <c r="L239" s="2" t="s">
        <v>15</v>
      </c>
    </row>
    <row r="240" spans="1:12" x14ac:dyDescent="0.25">
      <c r="A240" s="2" t="str">
        <f t="shared" si="3"/>
        <v>APP239</v>
      </c>
      <c r="B240" s="2">
        <v>52</v>
      </c>
      <c r="C240" s="2">
        <v>777859</v>
      </c>
      <c r="D240" s="2" t="s">
        <v>12</v>
      </c>
      <c r="E240" s="2">
        <v>21</v>
      </c>
      <c r="F240" s="2">
        <v>633</v>
      </c>
      <c r="G240" s="2">
        <v>3</v>
      </c>
      <c r="H240" s="2">
        <v>1538104</v>
      </c>
      <c r="I240" s="2">
        <v>7</v>
      </c>
      <c r="J240" s="2">
        <v>39141</v>
      </c>
      <c r="K240" s="2">
        <v>2581680</v>
      </c>
      <c r="L240" s="2" t="s">
        <v>13</v>
      </c>
    </row>
    <row r="241" spans="1:12" x14ac:dyDescent="0.25">
      <c r="A241" s="2" t="str">
        <f t="shared" si="3"/>
        <v>APP240</v>
      </c>
      <c r="B241" s="2">
        <v>57</v>
      </c>
      <c r="C241" s="2">
        <v>196917</v>
      </c>
      <c r="D241" s="2" t="s">
        <v>14</v>
      </c>
      <c r="E241" s="2">
        <v>7</v>
      </c>
      <c r="F241" s="2">
        <v>667</v>
      </c>
      <c r="G241" s="2">
        <v>1</v>
      </c>
      <c r="H241" s="2">
        <v>1263670</v>
      </c>
      <c r="I241" s="2">
        <v>1</v>
      </c>
      <c r="J241" s="2">
        <v>45849</v>
      </c>
      <c r="K241" s="2">
        <v>3893248</v>
      </c>
      <c r="L241" s="2" t="s">
        <v>13</v>
      </c>
    </row>
    <row r="242" spans="1:12" x14ac:dyDescent="0.25">
      <c r="A242" s="2" t="str">
        <f t="shared" si="3"/>
        <v>APP241</v>
      </c>
      <c r="B242" s="2">
        <v>43</v>
      </c>
      <c r="C242" s="2">
        <v>2333500</v>
      </c>
      <c r="D242" s="2" t="s">
        <v>12</v>
      </c>
      <c r="E242" s="2">
        <v>0</v>
      </c>
      <c r="F242" s="2">
        <v>805</v>
      </c>
      <c r="G242" s="2">
        <v>5</v>
      </c>
      <c r="H242" s="2">
        <v>3086471</v>
      </c>
      <c r="I242" s="2">
        <v>7</v>
      </c>
      <c r="J242" s="2">
        <v>13557</v>
      </c>
      <c r="K242" s="2">
        <v>3996618</v>
      </c>
      <c r="L242" s="2" t="s">
        <v>13</v>
      </c>
    </row>
    <row r="243" spans="1:12" x14ac:dyDescent="0.25">
      <c r="A243" s="2" t="str">
        <f t="shared" si="3"/>
        <v>APP242</v>
      </c>
      <c r="B243" s="2">
        <v>32</v>
      </c>
      <c r="C243" s="2">
        <v>2156313</v>
      </c>
      <c r="D243" s="2" t="s">
        <v>16</v>
      </c>
      <c r="E243" s="2">
        <v>2</v>
      </c>
      <c r="F243" s="2">
        <v>598</v>
      </c>
      <c r="G243" s="2">
        <v>2</v>
      </c>
      <c r="H243" s="2">
        <v>3163431</v>
      </c>
      <c r="I243" s="2">
        <v>26</v>
      </c>
      <c r="J243" s="2">
        <v>66668</v>
      </c>
      <c r="K243" s="2">
        <v>4038601</v>
      </c>
      <c r="L243" s="2" t="s">
        <v>13</v>
      </c>
    </row>
    <row r="244" spans="1:12" x14ac:dyDescent="0.25">
      <c r="A244" s="2" t="str">
        <f t="shared" si="3"/>
        <v>APP243</v>
      </c>
      <c r="B244" s="2">
        <v>61</v>
      </c>
      <c r="C244" s="2">
        <v>473879</v>
      </c>
      <c r="D244" s="2" t="s">
        <v>12</v>
      </c>
      <c r="E244" s="2">
        <v>33</v>
      </c>
      <c r="F244" s="2">
        <v>677</v>
      </c>
      <c r="G244" s="2">
        <v>5</v>
      </c>
      <c r="H244" s="2">
        <v>3209331</v>
      </c>
      <c r="I244" s="2">
        <v>17</v>
      </c>
      <c r="J244" s="2">
        <v>44144</v>
      </c>
      <c r="K244" s="2">
        <v>8116941</v>
      </c>
      <c r="L244" s="2" t="s">
        <v>13</v>
      </c>
    </row>
    <row r="245" spans="1:12" x14ac:dyDescent="0.25">
      <c r="A245" s="2" t="str">
        <f t="shared" si="3"/>
        <v>APP244</v>
      </c>
      <c r="B245" s="2">
        <v>41</v>
      </c>
      <c r="C245" s="2">
        <v>2297013</v>
      </c>
      <c r="D245" s="2" t="s">
        <v>12</v>
      </c>
      <c r="E245" s="2">
        <v>22</v>
      </c>
      <c r="F245" s="2">
        <v>795</v>
      </c>
      <c r="G245" s="2">
        <v>5</v>
      </c>
      <c r="H245" s="2">
        <v>1136189</v>
      </c>
      <c r="I245" s="2">
        <v>24</v>
      </c>
      <c r="J245" s="2">
        <v>72633</v>
      </c>
      <c r="K245" s="2">
        <v>5544711</v>
      </c>
      <c r="L245" s="2" t="s">
        <v>15</v>
      </c>
    </row>
    <row r="246" spans="1:12" x14ac:dyDescent="0.25">
      <c r="A246" s="2" t="str">
        <f t="shared" si="3"/>
        <v>APP245</v>
      </c>
      <c r="B246" s="2">
        <v>49</v>
      </c>
      <c r="C246" s="2">
        <v>2090689</v>
      </c>
      <c r="D246" s="2" t="s">
        <v>16</v>
      </c>
      <c r="E246" s="2">
        <v>35</v>
      </c>
      <c r="F246" s="2">
        <v>473</v>
      </c>
      <c r="G246" s="2">
        <v>2</v>
      </c>
      <c r="H246" s="2">
        <v>4026859</v>
      </c>
      <c r="I246" s="2">
        <v>1</v>
      </c>
      <c r="J246" s="2">
        <v>17060</v>
      </c>
      <c r="K246" s="2">
        <v>2106476</v>
      </c>
      <c r="L246" s="2" t="s">
        <v>13</v>
      </c>
    </row>
    <row r="247" spans="1:12" x14ac:dyDescent="0.25">
      <c r="A247" s="2" t="str">
        <f t="shared" si="3"/>
        <v>APP246</v>
      </c>
      <c r="B247" s="2">
        <v>64</v>
      </c>
      <c r="C247" s="2">
        <v>341781</v>
      </c>
      <c r="D247" s="2" t="s">
        <v>12</v>
      </c>
      <c r="E247" s="2">
        <v>25</v>
      </c>
      <c r="F247" s="2">
        <v>692</v>
      </c>
      <c r="G247" s="2">
        <v>1</v>
      </c>
      <c r="H247" s="2">
        <v>1485944</v>
      </c>
      <c r="I247" s="2">
        <v>18</v>
      </c>
      <c r="J247" s="2">
        <v>8651</v>
      </c>
      <c r="K247" s="2">
        <v>769863</v>
      </c>
      <c r="L247" s="2" t="s">
        <v>13</v>
      </c>
    </row>
    <row r="248" spans="1:12" x14ac:dyDescent="0.25">
      <c r="A248" s="2" t="str">
        <f t="shared" si="3"/>
        <v>APP247</v>
      </c>
      <c r="B248" s="2">
        <v>38</v>
      </c>
      <c r="C248" s="2">
        <v>1364782</v>
      </c>
      <c r="D248" s="2" t="s">
        <v>14</v>
      </c>
      <c r="E248" s="2">
        <v>2</v>
      </c>
      <c r="F248" s="2">
        <v>534</v>
      </c>
      <c r="G248" s="2">
        <v>4</v>
      </c>
      <c r="H248" s="2">
        <v>3245737</v>
      </c>
      <c r="I248" s="2">
        <v>25</v>
      </c>
      <c r="J248" s="2">
        <v>53936</v>
      </c>
      <c r="K248" s="2">
        <v>1382814</v>
      </c>
      <c r="L248" s="2" t="s">
        <v>13</v>
      </c>
    </row>
    <row r="249" spans="1:12" x14ac:dyDescent="0.25">
      <c r="A249" s="2" t="str">
        <f t="shared" si="3"/>
        <v>APP248</v>
      </c>
      <c r="B249" s="2">
        <v>33</v>
      </c>
      <c r="C249" s="2">
        <v>164142</v>
      </c>
      <c r="D249" s="2" t="s">
        <v>12</v>
      </c>
      <c r="E249" s="2">
        <v>30</v>
      </c>
      <c r="F249" s="2">
        <v>487</v>
      </c>
      <c r="G249" s="2">
        <v>3</v>
      </c>
      <c r="H249" s="2">
        <v>1590074</v>
      </c>
      <c r="I249" s="2">
        <v>17</v>
      </c>
      <c r="J249" s="2">
        <v>37411</v>
      </c>
      <c r="K249" s="2">
        <v>2542382</v>
      </c>
      <c r="L249" s="2" t="s">
        <v>13</v>
      </c>
    </row>
    <row r="250" spans="1:12" x14ac:dyDescent="0.25">
      <c r="A250" s="2" t="str">
        <f t="shared" si="3"/>
        <v>APP249</v>
      </c>
      <c r="B250" s="2">
        <v>51</v>
      </c>
      <c r="C250" s="2">
        <v>985593</v>
      </c>
      <c r="D250" s="2" t="s">
        <v>16</v>
      </c>
      <c r="E250" s="2">
        <v>10</v>
      </c>
      <c r="F250" s="2">
        <v>790</v>
      </c>
      <c r="G250" s="2">
        <v>4</v>
      </c>
      <c r="H250" s="2">
        <v>1678028</v>
      </c>
      <c r="I250" s="2">
        <v>7</v>
      </c>
      <c r="J250" s="2">
        <v>15811</v>
      </c>
      <c r="K250" s="2">
        <v>5745055</v>
      </c>
      <c r="L250" s="2" t="s">
        <v>13</v>
      </c>
    </row>
    <row r="251" spans="1:12" x14ac:dyDescent="0.25">
      <c r="A251" s="2" t="str">
        <f t="shared" si="3"/>
        <v>APP250</v>
      </c>
      <c r="B251" s="2">
        <v>27</v>
      </c>
      <c r="C251" s="2">
        <v>560418</v>
      </c>
      <c r="D251" s="2" t="s">
        <v>16</v>
      </c>
      <c r="E251" s="2">
        <v>15</v>
      </c>
      <c r="F251" s="2">
        <v>449</v>
      </c>
      <c r="G251" s="2">
        <v>0</v>
      </c>
      <c r="H251" s="2">
        <v>4495716</v>
      </c>
      <c r="I251" s="2">
        <v>22</v>
      </c>
      <c r="J251" s="2">
        <v>6798</v>
      </c>
      <c r="K251" s="2">
        <v>7498801</v>
      </c>
      <c r="L251" s="2" t="s">
        <v>13</v>
      </c>
    </row>
    <row r="252" spans="1:12" x14ac:dyDescent="0.25">
      <c r="A252" s="2" t="str">
        <f t="shared" si="3"/>
        <v>APP251</v>
      </c>
      <c r="B252" s="2">
        <v>33</v>
      </c>
      <c r="C252" s="2">
        <v>773339</v>
      </c>
      <c r="D252" s="2" t="s">
        <v>16</v>
      </c>
      <c r="E252" s="2">
        <v>8</v>
      </c>
      <c r="F252" s="2">
        <v>506</v>
      </c>
      <c r="G252" s="2">
        <v>0</v>
      </c>
      <c r="H252" s="2">
        <v>982335</v>
      </c>
      <c r="I252" s="2">
        <v>3</v>
      </c>
      <c r="J252" s="2">
        <v>13628</v>
      </c>
      <c r="K252" s="2">
        <v>5134377</v>
      </c>
      <c r="L252" s="2" t="s">
        <v>13</v>
      </c>
    </row>
    <row r="253" spans="1:12" x14ac:dyDescent="0.25">
      <c r="A253" s="2" t="str">
        <f t="shared" si="3"/>
        <v>APP252</v>
      </c>
      <c r="B253" s="2">
        <v>46</v>
      </c>
      <c r="C253" s="2">
        <v>1377335</v>
      </c>
      <c r="D253" s="2" t="s">
        <v>14</v>
      </c>
      <c r="E253" s="2">
        <v>4</v>
      </c>
      <c r="F253" s="2">
        <v>533</v>
      </c>
      <c r="G253" s="2">
        <v>0</v>
      </c>
      <c r="H253" s="2">
        <v>3428341</v>
      </c>
      <c r="I253" s="2">
        <v>19</v>
      </c>
      <c r="J253" s="2">
        <v>70074</v>
      </c>
      <c r="K253" s="2">
        <v>2940962</v>
      </c>
      <c r="L253" s="2" t="s">
        <v>15</v>
      </c>
    </row>
    <row r="254" spans="1:12" x14ac:dyDescent="0.25">
      <c r="A254" s="2" t="str">
        <f t="shared" si="3"/>
        <v>APP253</v>
      </c>
      <c r="B254" s="2">
        <v>51</v>
      </c>
      <c r="C254" s="2">
        <v>2241689</v>
      </c>
      <c r="D254" s="2" t="s">
        <v>14</v>
      </c>
      <c r="E254" s="2">
        <v>32</v>
      </c>
      <c r="F254" s="2">
        <v>473</v>
      </c>
      <c r="G254" s="2">
        <v>0</v>
      </c>
      <c r="H254" s="2">
        <v>908017</v>
      </c>
      <c r="I254" s="2">
        <v>6</v>
      </c>
      <c r="J254" s="2">
        <v>30976</v>
      </c>
      <c r="K254" s="2">
        <v>3367544</v>
      </c>
      <c r="L254" s="2" t="s">
        <v>13</v>
      </c>
    </row>
    <row r="255" spans="1:12" x14ac:dyDescent="0.25">
      <c r="A255" s="2" t="str">
        <f t="shared" si="3"/>
        <v>APP254</v>
      </c>
      <c r="B255" s="2">
        <v>23</v>
      </c>
      <c r="C255" s="2">
        <v>290999</v>
      </c>
      <c r="D255" s="2" t="s">
        <v>16</v>
      </c>
      <c r="E255" s="2">
        <v>22</v>
      </c>
      <c r="F255" s="2">
        <v>628</v>
      </c>
      <c r="G255" s="2">
        <v>5</v>
      </c>
      <c r="H255" s="2">
        <v>4543749</v>
      </c>
      <c r="I255" s="2">
        <v>28</v>
      </c>
      <c r="J255" s="2">
        <v>33478</v>
      </c>
      <c r="K255" s="2">
        <v>1049073</v>
      </c>
      <c r="L255" s="2" t="s">
        <v>13</v>
      </c>
    </row>
    <row r="256" spans="1:12" x14ac:dyDescent="0.25">
      <c r="A256" s="2" t="str">
        <f t="shared" si="3"/>
        <v>APP255</v>
      </c>
      <c r="B256" s="2">
        <v>64</v>
      </c>
      <c r="C256" s="2">
        <v>1859574</v>
      </c>
      <c r="D256" s="2" t="s">
        <v>16</v>
      </c>
      <c r="E256" s="2">
        <v>16</v>
      </c>
      <c r="F256" s="2">
        <v>755</v>
      </c>
      <c r="G256" s="2">
        <v>5</v>
      </c>
      <c r="H256" s="2">
        <v>2263243</v>
      </c>
      <c r="I256" s="2">
        <v>22</v>
      </c>
      <c r="J256" s="2">
        <v>59557</v>
      </c>
      <c r="K256" s="2">
        <v>9052634</v>
      </c>
      <c r="L256" s="2" t="s">
        <v>15</v>
      </c>
    </row>
    <row r="257" spans="1:12" x14ac:dyDescent="0.25">
      <c r="A257" s="2" t="str">
        <f t="shared" si="3"/>
        <v>APP256</v>
      </c>
      <c r="B257" s="2">
        <v>40</v>
      </c>
      <c r="C257" s="2">
        <v>1358279</v>
      </c>
      <c r="D257" s="2" t="s">
        <v>14</v>
      </c>
      <c r="E257" s="2">
        <v>26</v>
      </c>
      <c r="F257" s="2">
        <v>858</v>
      </c>
      <c r="G257" s="2">
        <v>5</v>
      </c>
      <c r="H257" s="2">
        <v>3443081</v>
      </c>
      <c r="I257" s="2">
        <v>10</v>
      </c>
      <c r="J257" s="2">
        <v>5536</v>
      </c>
      <c r="K257" s="2">
        <v>4397768</v>
      </c>
      <c r="L257" s="2" t="s">
        <v>13</v>
      </c>
    </row>
    <row r="258" spans="1:12" x14ac:dyDescent="0.25">
      <c r="A258" s="2" t="str">
        <f t="shared" si="3"/>
        <v>APP257</v>
      </c>
      <c r="B258" s="2">
        <v>43</v>
      </c>
      <c r="C258" s="2">
        <v>228399</v>
      </c>
      <c r="D258" s="2" t="s">
        <v>16</v>
      </c>
      <c r="E258" s="2">
        <v>30</v>
      </c>
      <c r="F258" s="2">
        <v>523</v>
      </c>
      <c r="G258" s="2">
        <v>2</v>
      </c>
      <c r="H258" s="2">
        <v>3968619</v>
      </c>
      <c r="I258" s="2">
        <v>23</v>
      </c>
      <c r="J258" s="2">
        <v>79118</v>
      </c>
      <c r="K258" s="2">
        <v>1579845</v>
      </c>
      <c r="L258" s="2" t="s">
        <v>15</v>
      </c>
    </row>
    <row r="259" spans="1:12" x14ac:dyDescent="0.25">
      <c r="A259" s="2" t="str">
        <f t="shared" ref="A259:A322" si="4">"APP"&amp;TEXT(ROW()-1,"000")</f>
        <v>APP258</v>
      </c>
      <c r="B259" s="2">
        <v>25</v>
      </c>
      <c r="C259" s="2">
        <v>1211372</v>
      </c>
      <c r="D259" s="2" t="s">
        <v>16</v>
      </c>
      <c r="E259" s="2">
        <v>28</v>
      </c>
      <c r="F259" s="2">
        <v>373</v>
      </c>
      <c r="G259" s="2">
        <v>1</v>
      </c>
      <c r="H259" s="2">
        <v>3361388</v>
      </c>
      <c r="I259" s="2">
        <v>28</v>
      </c>
      <c r="J259" s="2">
        <v>59705</v>
      </c>
      <c r="K259" s="2">
        <v>4063994</v>
      </c>
      <c r="L259" s="2" t="s">
        <v>15</v>
      </c>
    </row>
    <row r="260" spans="1:12" x14ac:dyDescent="0.25">
      <c r="A260" s="2" t="str">
        <f t="shared" si="4"/>
        <v>APP259</v>
      </c>
      <c r="B260" s="2">
        <v>36</v>
      </c>
      <c r="C260" s="2">
        <v>340598</v>
      </c>
      <c r="D260" s="2" t="s">
        <v>14</v>
      </c>
      <c r="E260" s="2">
        <v>9</v>
      </c>
      <c r="F260" s="2">
        <v>778</v>
      </c>
      <c r="G260" s="2">
        <v>2</v>
      </c>
      <c r="H260" s="2">
        <v>1454256</v>
      </c>
      <c r="I260" s="2">
        <v>23</v>
      </c>
      <c r="J260" s="2">
        <v>6270</v>
      </c>
      <c r="K260" s="2">
        <v>2348347</v>
      </c>
      <c r="L260" s="2" t="s">
        <v>13</v>
      </c>
    </row>
    <row r="261" spans="1:12" x14ac:dyDescent="0.25">
      <c r="A261" s="2" t="str">
        <f t="shared" si="4"/>
        <v>APP260</v>
      </c>
      <c r="B261" s="2">
        <v>44</v>
      </c>
      <c r="C261" s="2">
        <v>365195</v>
      </c>
      <c r="D261" s="2" t="s">
        <v>16</v>
      </c>
      <c r="E261" s="2">
        <v>25</v>
      </c>
      <c r="F261" s="2">
        <v>717</v>
      </c>
      <c r="G261" s="2">
        <v>0</v>
      </c>
      <c r="H261" s="2">
        <v>1958385</v>
      </c>
      <c r="I261" s="2">
        <v>26</v>
      </c>
      <c r="J261" s="2">
        <v>14895</v>
      </c>
      <c r="K261" s="2">
        <v>1345015</v>
      </c>
      <c r="L261" s="2" t="s">
        <v>13</v>
      </c>
    </row>
    <row r="262" spans="1:12" x14ac:dyDescent="0.25">
      <c r="A262" s="2" t="str">
        <f t="shared" si="4"/>
        <v>APP261</v>
      </c>
      <c r="B262" s="2">
        <v>34</v>
      </c>
      <c r="C262" s="2">
        <v>1171535</v>
      </c>
      <c r="D262" s="2" t="s">
        <v>16</v>
      </c>
      <c r="E262" s="2">
        <v>23</v>
      </c>
      <c r="F262" s="2">
        <v>796</v>
      </c>
      <c r="G262" s="2">
        <v>4</v>
      </c>
      <c r="H262" s="2">
        <v>3631928</v>
      </c>
      <c r="I262" s="2">
        <v>8</v>
      </c>
      <c r="J262" s="2">
        <v>51873</v>
      </c>
      <c r="K262" s="2">
        <v>6411803</v>
      </c>
      <c r="L262" s="2" t="s">
        <v>13</v>
      </c>
    </row>
    <row r="263" spans="1:12" x14ac:dyDescent="0.25">
      <c r="A263" s="2" t="str">
        <f t="shared" si="4"/>
        <v>APP262</v>
      </c>
      <c r="B263" s="2">
        <v>41</v>
      </c>
      <c r="C263" s="2">
        <v>705700</v>
      </c>
      <c r="D263" s="2" t="s">
        <v>12</v>
      </c>
      <c r="E263" s="2">
        <v>9</v>
      </c>
      <c r="F263" s="2">
        <v>391</v>
      </c>
      <c r="G263" s="2">
        <v>1</v>
      </c>
      <c r="H263" s="2">
        <v>3598284</v>
      </c>
      <c r="I263" s="2">
        <v>9</v>
      </c>
      <c r="J263" s="2">
        <v>67524</v>
      </c>
      <c r="K263" s="2">
        <v>2763092</v>
      </c>
      <c r="L263" s="2" t="s">
        <v>13</v>
      </c>
    </row>
    <row r="264" spans="1:12" x14ac:dyDescent="0.25">
      <c r="A264" s="2" t="str">
        <f t="shared" si="4"/>
        <v>APP263</v>
      </c>
      <c r="B264" s="2">
        <v>56</v>
      </c>
      <c r="C264" s="2">
        <v>792406</v>
      </c>
      <c r="D264" s="2" t="s">
        <v>12</v>
      </c>
      <c r="E264" s="2">
        <v>11</v>
      </c>
      <c r="F264" s="2">
        <v>474</v>
      </c>
      <c r="G264" s="2">
        <v>5</v>
      </c>
      <c r="H264" s="2">
        <v>1127473</v>
      </c>
      <c r="I264" s="2">
        <v>24</v>
      </c>
      <c r="J264" s="2">
        <v>7581</v>
      </c>
      <c r="K264" s="2">
        <v>8328433</v>
      </c>
      <c r="L264" s="2" t="s">
        <v>13</v>
      </c>
    </row>
    <row r="265" spans="1:12" x14ac:dyDescent="0.25">
      <c r="A265" s="2" t="str">
        <f t="shared" si="4"/>
        <v>APP264</v>
      </c>
      <c r="B265" s="2">
        <v>38</v>
      </c>
      <c r="C265" s="2">
        <v>1192534</v>
      </c>
      <c r="D265" s="2" t="s">
        <v>16</v>
      </c>
      <c r="E265" s="2">
        <v>21</v>
      </c>
      <c r="F265" s="2">
        <v>470</v>
      </c>
      <c r="G265" s="2">
        <v>2</v>
      </c>
      <c r="H265" s="2">
        <v>1789377</v>
      </c>
      <c r="I265" s="2">
        <v>24</v>
      </c>
      <c r="J265" s="2">
        <v>10689</v>
      </c>
      <c r="K265" s="2">
        <v>2173214</v>
      </c>
      <c r="L265" s="2" t="s">
        <v>13</v>
      </c>
    </row>
    <row r="266" spans="1:12" x14ac:dyDescent="0.25">
      <c r="A266" s="2" t="str">
        <f t="shared" si="4"/>
        <v>APP265</v>
      </c>
      <c r="B266" s="2">
        <v>51</v>
      </c>
      <c r="C266" s="2">
        <v>1668616</v>
      </c>
      <c r="D266" s="2" t="s">
        <v>16</v>
      </c>
      <c r="E266" s="2">
        <v>0</v>
      </c>
      <c r="F266" s="2">
        <v>380</v>
      </c>
      <c r="G266" s="2">
        <v>2</v>
      </c>
      <c r="H266" s="2">
        <v>4538533</v>
      </c>
      <c r="I266" s="2">
        <v>16</v>
      </c>
      <c r="J266" s="2">
        <v>35888</v>
      </c>
      <c r="K266" s="2">
        <v>6951885</v>
      </c>
      <c r="L266" s="2" t="s">
        <v>13</v>
      </c>
    </row>
    <row r="267" spans="1:12" x14ac:dyDescent="0.25">
      <c r="A267" s="2" t="str">
        <f t="shared" si="4"/>
        <v>APP266</v>
      </c>
      <c r="B267" s="2">
        <v>55</v>
      </c>
      <c r="C267" s="2">
        <v>231810</v>
      </c>
      <c r="D267" s="2" t="s">
        <v>12</v>
      </c>
      <c r="E267" s="2">
        <v>5</v>
      </c>
      <c r="F267" s="2">
        <v>696</v>
      </c>
      <c r="G267" s="2">
        <v>0</v>
      </c>
      <c r="H267" s="2">
        <v>4053079</v>
      </c>
      <c r="I267" s="2">
        <v>4</v>
      </c>
      <c r="J267" s="2">
        <v>10097</v>
      </c>
      <c r="K267" s="2">
        <v>8477438</v>
      </c>
      <c r="L267" s="2" t="s">
        <v>15</v>
      </c>
    </row>
    <row r="268" spans="1:12" x14ac:dyDescent="0.25">
      <c r="A268" s="2" t="str">
        <f t="shared" si="4"/>
        <v>APP267</v>
      </c>
      <c r="B268" s="2">
        <v>33</v>
      </c>
      <c r="C268" s="2">
        <v>2332787</v>
      </c>
      <c r="D268" s="2" t="s">
        <v>12</v>
      </c>
      <c r="E268" s="2">
        <v>7</v>
      </c>
      <c r="F268" s="2">
        <v>635</v>
      </c>
      <c r="G268" s="2">
        <v>2</v>
      </c>
      <c r="H268" s="2">
        <v>4502852</v>
      </c>
      <c r="I268" s="2">
        <v>22</v>
      </c>
      <c r="J268" s="2">
        <v>46397</v>
      </c>
      <c r="K268" s="2">
        <v>1737259</v>
      </c>
      <c r="L268" s="2" t="s">
        <v>13</v>
      </c>
    </row>
    <row r="269" spans="1:12" x14ac:dyDescent="0.25">
      <c r="A269" s="2" t="str">
        <f t="shared" si="4"/>
        <v>APP268</v>
      </c>
      <c r="B269" s="2">
        <v>56</v>
      </c>
      <c r="C269" s="2">
        <v>1649247</v>
      </c>
      <c r="D269" s="2" t="s">
        <v>16</v>
      </c>
      <c r="E269" s="2">
        <v>30</v>
      </c>
      <c r="F269" s="2">
        <v>756</v>
      </c>
      <c r="G269" s="2">
        <v>3</v>
      </c>
      <c r="H269" s="2">
        <v>2778435</v>
      </c>
      <c r="I269" s="2">
        <v>30</v>
      </c>
      <c r="J269" s="2">
        <v>35739</v>
      </c>
      <c r="K269" s="2">
        <v>4993795</v>
      </c>
      <c r="L269" s="2" t="s">
        <v>13</v>
      </c>
    </row>
    <row r="270" spans="1:12" x14ac:dyDescent="0.25">
      <c r="A270" s="2" t="str">
        <f t="shared" si="4"/>
        <v>APP269</v>
      </c>
      <c r="B270" s="2">
        <v>27</v>
      </c>
      <c r="C270" s="2">
        <v>220520</v>
      </c>
      <c r="D270" s="2" t="s">
        <v>12</v>
      </c>
      <c r="E270" s="2">
        <v>15</v>
      </c>
      <c r="F270" s="2">
        <v>876</v>
      </c>
      <c r="G270" s="2">
        <v>1</v>
      </c>
      <c r="H270" s="2">
        <v>3312843</v>
      </c>
      <c r="I270" s="2">
        <v>27</v>
      </c>
      <c r="J270" s="2">
        <v>5134</v>
      </c>
      <c r="K270" s="2">
        <v>8931757</v>
      </c>
      <c r="L270" s="2" t="s">
        <v>15</v>
      </c>
    </row>
    <row r="271" spans="1:12" x14ac:dyDescent="0.25">
      <c r="A271" s="2" t="str">
        <f t="shared" si="4"/>
        <v>APP270</v>
      </c>
      <c r="B271" s="2">
        <v>61</v>
      </c>
      <c r="C271" s="2">
        <v>748308</v>
      </c>
      <c r="D271" s="2" t="s">
        <v>12</v>
      </c>
      <c r="E271" s="2">
        <v>2</v>
      </c>
      <c r="F271" s="2">
        <v>826</v>
      </c>
      <c r="G271" s="2">
        <v>4</v>
      </c>
      <c r="H271" s="2">
        <v>3691047</v>
      </c>
      <c r="I271" s="2">
        <v>3</v>
      </c>
      <c r="J271" s="2">
        <v>14384</v>
      </c>
      <c r="K271" s="2">
        <v>6445482</v>
      </c>
      <c r="L271" s="2" t="s">
        <v>15</v>
      </c>
    </row>
    <row r="272" spans="1:12" x14ac:dyDescent="0.25">
      <c r="A272" s="2" t="str">
        <f t="shared" si="4"/>
        <v>APP271</v>
      </c>
      <c r="B272" s="2">
        <v>33</v>
      </c>
      <c r="C272" s="2">
        <v>674086</v>
      </c>
      <c r="D272" s="2" t="s">
        <v>16</v>
      </c>
      <c r="E272" s="2">
        <v>17</v>
      </c>
      <c r="F272" s="2">
        <v>778</v>
      </c>
      <c r="G272" s="2">
        <v>0</v>
      </c>
      <c r="H272" s="2">
        <v>4470909</v>
      </c>
      <c r="I272" s="2">
        <v>15</v>
      </c>
      <c r="J272" s="2">
        <v>32827</v>
      </c>
      <c r="K272" s="2">
        <v>6959474</v>
      </c>
      <c r="L272" s="2" t="s">
        <v>15</v>
      </c>
    </row>
    <row r="273" spans="1:12" x14ac:dyDescent="0.25">
      <c r="A273" s="2" t="str">
        <f t="shared" si="4"/>
        <v>APP272</v>
      </c>
      <c r="B273" s="2">
        <v>52</v>
      </c>
      <c r="C273" s="2">
        <v>2455104</v>
      </c>
      <c r="D273" s="2" t="s">
        <v>12</v>
      </c>
      <c r="E273" s="2">
        <v>18</v>
      </c>
      <c r="F273" s="2">
        <v>381</v>
      </c>
      <c r="G273" s="2">
        <v>1</v>
      </c>
      <c r="H273" s="2">
        <v>3865530</v>
      </c>
      <c r="I273" s="2">
        <v>9</v>
      </c>
      <c r="J273" s="2">
        <v>56523</v>
      </c>
      <c r="K273" s="2">
        <v>2467912</v>
      </c>
      <c r="L273" s="2" t="s">
        <v>13</v>
      </c>
    </row>
    <row r="274" spans="1:12" x14ac:dyDescent="0.25">
      <c r="A274" s="2" t="str">
        <f t="shared" si="4"/>
        <v>APP273</v>
      </c>
      <c r="B274" s="2">
        <v>21</v>
      </c>
      <c r="C274" s="2">
        <v>1954626</v>
      </c>
      <c r="D274" s="2" t="s">
        <v>14</v>
      </c>
      <c r="E274" s="2">
        <v>32</v>
      </c>
      <c r="F274" s="2">
        <v>831</v>
      </c>
      <c r="G274" s="2">
        <v>3</v>
      </c>
      <c r="H274" s="2">
        <v>3374328</v>
      </c>
      <c r="I274" s="2">
        <v>10</v>
      </c>
      <c r="J274" s="2">
        <v>22552</v>
      </c>
      <c r="K274" s="2">
        <v>6436225</v>
      </c>
      <c r="L274" s="2" t="s">
        <v>13</v>
      </c>
    </row>
    <row r="275" spans="1:12" x14ac:dyDescent="0.25">
      <c r="A275" s="2" t="str">
        <f t="shared" si="4"/>
        <v>APP274</v>
      </c>
      <c r="B275" s="2">
        <v>29</v>
      </c>
      <c r="C275" s="2">
        <v>797015</v>
      </c>
      <c r="D275" s="2" t="s">
        <v>14</v>
      </c>
      <c r="E275" s="2">
        <v>32</v>
      </c>
      <c r="F275" s="2">
        <v>493</v>
      </c>
      <c r="G275" s="2">
        <v>3</v>
      </c>
      <c r="H275" s="2">
        <v>4926153</v>
      </c>
      <c r="I275" s="2">
        <v>3</v>
      </c>
      <c r="J275" s="2">
        <v>14962</v>
      </c>
      <c r="K275" s="2">
        <v>8053868</v>
      </c>
      <c r="L275" s="2" t="s">
        <v>13</v>
      </c>
    </row>
    <row r="276" spans="1:12" x14ac:dyDescent="0.25">
      <c r="A276" s="2" t="str">
        <f t="shared" si="4"/>
        <v>APP275</v>
      </c>
      <c r="B276" s="2">
        <v>50</v>
      </c>
      <c r="C276" s="2">
        <v>2017524</v>
      </c>
      <c r="D276" s="2" t="s">
        <v>14</v>
      </c>
      <c r="E276" s="2">
        <v>28</v>
      </c>
      <c r="F276" s="2">
        <v>335</v>
      </c>
      <c r="G276" s="2">
        <v>4</v>
      </c>
      <c r="H276" s="2">
        <v>1901776</v>
      </c>
      <c r="I276" s="2">
        <v>27</v>
      </c>
      <c r="J276" s="2">
        <v>60734</v>
      </c>
      <c r="K276" s="2">
        <v>178834</v>
      </c>
      <c r="L276" s="2" t="s">
        <v>13</v>
      </c>
    </row>
    <row r="277" spans="1:12" x14ac:dyDescent="0.25">
      <c r="A277" s="2" t="str">
        <f t="shared" si="4"/>
        <v>APP276</v>
      </c>
      <c r="B277" s="2">
        <v>52</v>
      </c>
      <c r="C277" s="2">
        <v>1145621</v>
      </c>
      <c r="D277" s="2" t="s">
        <v>12</v>
      </c>
      <c r="E277" s="2">
        <v>22</v>
      </c>
      <c r="F277" s="2">
        <v>856</v>
      </c>
      <c r="G277" s="2">
        <v>2</v>
      </c>
      <c r="H277" s="2">
        <v>1557593</v>
      </c>
      <c r="I277" s="2">
        <v>9</v>
      </c>
      <c r="J277" s="2">
        <v>47144</v>
      </c>
      <c r="K277" s="2">
        <v>4963096</v>
      </c>
      <c r="L277" s="2" t="s">
        <v>13</v>
      </c>
    </row>
    <row r="278" spans="1:12" x14ac:dyDescent="0.25">
      <c r="A278" s="2" t="str">
        <f t="shared" si="4"/>
        <v>APP277</v>
      </c>
      <c r="B278" s="2">
        <v>55</v>
      </c>
      <c r="C278" s="2">
        <v>823421</v>
      </c>
      <c r="D278" s="2" t="s">
        <v>14</v>
      </c>
      <c r="E278" s="2">
        <v>30</v>
      </c>
      <c r="F278" s="2">
        <v>402</v>
      </c>
      <c r="G278" s="2">
        <v>4</v>
      </c>
      <c r="H278" s="2">
        <v>950585</v>
      </c>
      <c r="I278" s="2">
        <v>7</v>
      </c>
      <c r="J278" s="2">
        <v>1645</v>
      </c>
      <c r="K278" s="2">
        <v>1416739</v>
      </c>
      <c r="L278" s="2" t="s">
        <v>13</v>
      </c>
    </row>
    <row r="279" spans="1:12" x14ac:dyDescent="0.25">
      <c r="A279" s="2" t="str">
        <f t="shared" si="4"/>
        <v>APP278</v>
      </c>
      <c r="B279" s="2">
        <v>40</v>
      </c>
      <c r="C279" s="2">
        <v>2240576</v>
      </c>
      <c r="D279" s="2" t="s">
        <v>12</v>
      </c>
      <c r="E279" s="2">
        <v>27</v>
      </c>
      <c r="F279" s="2">
        <v>576</v>
      </c>
      <c r="G279" s="2">
        <v>4</v>
      </c>
      <c r="H279" s="2">
        <v>1774165</v>
      </c>
      <c r="I279" s="2">
        <v>6</v>
      </c>
      <c r="J279" s="2">
        <v>50682</v>
      </c>
      <c r="K279" s="2">
        <v>2576524</v>
      </c>
      <c r="L279" s="2" t="s">
        <v>13</v>
      </c>
    </row>
    <row r="280" spans="1:12" x14ac:dyDescent="0.25">
      <c r="A280" s="2" t="str">
        <f t="shared" si="4"/>
        <v>APP279</v>
      </c>
      <c r="B280" s="2">
        <v>52</v>
      </c>
      <c r="C280" s="2">
        <v>2413508</v>
      </c>
      <c r="D280" s="2" t="s">
        <v>16</v>
      </c>
      <c r="E280" s="2">
        <v>33</v>
      </c>
      <c r="F280" s="2">
        <v>739</v>
      </c>
      <c r="G280" s="2">
        <v>2</v>
      </c>
      <c r="H280" s="2">
        <v>4929928</v>
      </c>
      <c r="I280" s="2">
        <v>6</v>
      </c>
      <c r="J280" s="2">
        <v>61899</v>
      </c>
      <c r="K280" s="2">
        <v>4601493</v>
      </c>
      <c r="L280" s="2" t="s">
        <v>13</v>
      </c>
    </row>
    <row r="281" spans="1:12" x14ac:dyDescent="0.25">
      <c r="A281" s="2" t="str">
        <f t="shared" si="4"/>
        <v>APP280</v>
      </c>
      <c r="B281" s="2">
        <v>25</v>
      </c>
      <c r="C281" s="2">
        <v>2465799</v>
      </c>
      <c r="D281" s="2" t="s">
        <v>12</v>
      </c>
      <c r="E281" s="2">
        <v>12</v>
      </c>
      <c r="F281" s="2">
        <v>679</v>
      </c>
      <c r="G281" s="2">
        <v>1</v>
      </c>
      <c r="H281" s="2">
        <v>160062</v>
      </c>
      <c r="I281" s="2">
        <v>29</v>
      </c>
      <c r="J281" s="2">
        <v>9017</v>
      </c>
      <c r="K281" s="2">
        <v>7468664</v>
      </c>
      <c r="L281" s="2" t="s">
        <v>13</v>
      </c>
    </row>
    <row r="282" spans="1:12" x14ac:dyDescent="0.25">
      <c r="A282" s="2" t="str">
        <f t="shared" si="4"/>
        <v>APP281</v>
      </c>
      <c r="B282" s="2">
        <v>53</v>
      </c>
      <c r="C282" s="2">
        <v>1238007</v>
      </c>
      <c r="D282" s="2" t="s">
        <v>14</v>
      </c>
      <c r="E282" s="2">
        <v>2</v>
      </c>
      <c r="F282" s="2">
        <v>629</v>
      </c>
      <c r="G282" s="2">
        <v>4</v>
      </c>
      <c r="H282" s="2">
        <v>1354173</v>
      </c>
      <c r="I282" s="2">
        <v>2</v>
      </c>
      <c r="J282" s="2">
        <v>40374</v>
      </c>
      <c r="K282" s="2">
        <v>7309179</v>
      </c>
      <c r="L282" s="2" t="s">
        <v>13</v>
      </c>
    </row>
    <row r="283" spans="1:12" x14ac:dyDescent="0.25">
      <c r="A283" s="2" t="str">
        <f t="shared" si="4"/>
        <v>APP282</v>
      </c>
      <c r="B283" s="2">
        <v>29</v>
      </c>
      <c r="C283" s="2">
        <v>602993</v>
      </c>
      <c r="D283" s="2" t="s">
        <v>16</v>
      </c>
      <c r="E283" s="2">
        <v>3</v>
      </c>
      <c r="F283" s="2">
        <v>528</v>
      </c>
      <c r="G283" s="2">
        <v>5</v>
      </c>
      <c r="H283" s="2">
        <v>3290219</v>
      </c>
      <c r="I283" s="2">
        <v>4</v>
      </c>
      <c r="J283" s="2">
        <v>1816</v>
      </c>
      <c r="K283" s="2">
        <v>6234524</v>
      </c>
      <c r="L283" s="2" t="s">
        <v>13</v>
      </c>
    </row>
    <row r="284" spans="1:12" x14ac:dyDescent="0.25">
      <c r="A284" s="2" t="str">
        <f t="shared" si="4"/>
        <v>APP283</v>
      </c>
      <c r="B284" s="2">
        <v>65</v>
      </c>
      <c r="C284" s="2">
        <v>918883</v>
      </c>
      <c r="D284" s="2" t="s">
        <v>16</v>
      </c>
      <c r="E284" s="2">
        <v>2</v>
      </c>
      <c r="F284" s="2">
        <v>815</v>
      </c>
      <c r="G284" s="2">
        <v>3</v>
      </c>
      <c r="H284" s="2">
        <v>2215567</v>
      </c>
      <c r="I284" s="2">
        <v>26</v>
      </c>
      <c r="J284" s="2">
        <v>1325</v>
      </c>
      <c r="K284" s="2">
        <v>7741685</v>
      </c>
      <c r="L284" s="2" t="s">
        <v>13</v>
      </c>
    </row>
    <row r="285" spans="1:12" x14ac:dyDescent="0.25">
      <c r="A285" s="2" t="str">
        <f t="shared" si="4"/>
        <v>APP284</v>
      </c>
      <c r="B285" s="2">
        <v>25</v>
      </c>
      <c r="C285" s="2">
        <v>1149435</v>
      </c>
      <c r="D285" s="2" t="s">
        <v>12</v>
      </c>
      <c r="E285" s="2">
        <v>23</v>
      </c>
      <c r="F285" s="2">
        <v>635</v>
      </c>
      <c r="G285" s="2">
        <v>5</v>
      </c>
      <c r="H285" s="2">
        <v>1660058</v>
      </c>
      <c r="I285" s="2">
        <v>23</v>
      </c>
      <c r="J285" s="2">
        <v>61985</v>
      </c>
      <c r="K285" s="2">
        <v>4595904</v>
      </c>
      <c r="L285" s="2" t="s">
        <v>13</v>
      </c>
    </row>
    <row r="286" spans="1:12" x14ac:dyDescent="0.25">
      <c r="A286" s="2" t="str">
        <f t="shared" si="4"/>
        <v>APP285</v>
      </c>
      <c r="B286" s="2">
        <v>34</v>
      </c>
      <c r="C286" s="2">
        <v>1297555</v>
      </c>
      <c r="D286" s="2" t="s">
        <v>16</v>
      </c>
      <c r="E286" s="2">
        <v>10</v>
      </c>
      <c r="F286" s="2">
        <v>455</v>
      </c>
      <c r="G286" s="2">
        <v>2</v>
      </c>
      <c r="H286" s="2">
        <v>2010200</v>
      </c>
      <c r="I286" s="2">
        <v>27</v>
      </c>
      <c r="J286" s="2">
        <v>55052</v>
      </c>
      <c r="K286" s="2">
        <v>6910349</v>
      </c>
      <c r="L286" s="2" t="s">
        <v>13</v>
      </c>
    </row>
    <row r="287" spans="1:12" x14ac:dyDescent="0.25">
      <c r="A287" s="2" t="str">
        <f t="shared" si="4"/>
        <v>APP286</v>
      </c>
      <c r="B287" s="2">
        <v>43</v>
      </c>
      <c r="C287" s="2">
        <v>2498884</v>
      </c>
      <c r="D287" s="2" t="s">
        <v>14</v>
      </c>
      <c r="E287" s="2">
        <v>7</v>
      </c>
      <c r="F287" s="2">
        <v>769</v>
      </c>
      <c r="G287" s="2">
        <v>0</v>
      </c>
      <c r="H287" s="2">
        <v>3678146</v>
      </c>
      <c r="I287" s="2">
        <v>17</v>
      </c>
      <c r="J287" s="2">
        <v>45797</v>
      </c>
      <c r="K287" s="2">
        <v>7245468</v>
      </c>
      <c r="L287" s="2" t="s">
        <v>13</v>
      </c>
    </row>
    <row r="288" spans="1:12" x14ac:dyDescent="0.25">
      <c r="A288" s="2" t="str">
        <f t="shared" si="4"/>
        <v>APP287</v>
      </c>
      <c r="B288" s="2">
        <v>42</v>
      </c>
      <c r="C288" s="2">
        <v>1452379</v>
      </c>
      <c r="D288" s="2" t="s">
        <v>14</v>
      </c>
      <c r="E288" s="2">
        <v>16</v>
      </c>
      <c r="F288" s="2">
        <v>858</v>
      </c>
      <c r="G288" s="2">
        <v>3</v>
      </c>
      <c r="H288" s="2">
        <v>4982008</v>
      </c>
      <c r="I288" s="2">
        <v>6</v>
      </c>
      <c r="J288" s="2">
        <v>54419</v>
      </c>
      <c r="K288" s="2">
        <v>6655556</v>
      </c>
      <c r="L288" s="2" t="s">
        <v>13</v>
      </c>
    </row>
    <row r="289" spans="1:12" x14ac:dyDescent="0.25">
      <c r="A289" s="2" t="str">
        <f t="shared" si="4"/>
        <v>APP288</v>
      </c>
      <c r="B289" s="2">
        <v>56</v>
      </c>
      <c r="C289" s="2">
        <v>2345405</v>
      </c>
      <c r="D289" s="2" t="s">
        <v>16</v>
      </c>
      <c r="E289" s="2">
        <v>5</v>
      </c>
      <c r="F289" s="2">
        <v>579</v>
      </c>
      <c r="G289" s="2">
        <v>1</v>
      </c>
      <c r="H289" s="2">
        <v>401974</v>
      </c>
      <c r="I289" s="2">
        <v>11</v>
      </c>
      <c r="J289" s="2">
        <v>28512</v>
      </c>
      <c r="K289" s="2">
        <v>3357114</v>
      </c>
      <c r="L289" s="2" t="s">
        <v>15</v>
      </c>
    </row>
    <row r="290" spans="1:12" x14ac:dyDescent="0.25">
      <c r="A290" s="2" t="str">
        <f t="shared" si="4"/>
        <v>APP289</v>
      </c>
      <c r="B290" s="2">
        <v>61</v>
      </c>
      <c r="C290" s="2">
        <v>598815</v>
      </c>
      <c r="D290" s="2" t="s">
        <v>14</v>
      </c>
      <c r="E290" s="2">
        <v>0</v>
      </c>
      <c r="F290" s="2">
        <v>517</v>
      </c>
      <c r="G290" s="2">
        <v>0</v>
      </c>
      <c r="H290" s="2">
        <v>4461341</v>
      </c>
      <c r="I290" s="2">
        <v>2</v>
      </c>
      <c r="J290" s="2">
        <v>14633</v>
      </c>
      <c r="K290" s="2">
        <v>2847469</v>
      </c>
      <c r="L290" s="2" t="s">
        <v>13</v>
      </c>
    </row>
    <row r="291" spans="1:12" x14ac:dyDescent="0.25">
      <c r="A291" s="2" t="str">
        <f t="shared" si="4"/>
        <v>APP290</v>
      </c>
      <c r="B291" s="2">
        <v>56</v>
      </c>
      <c r="C291" s="2">
        <v>278347</v>
      </c>
      <c r="D291" s="2" t="s">
        <v>16</v>
      </c>
      <c r="E291" s="2">
        <v>33</v>
      </c>
      <c r="F291" s="2">
        <v>328</v>
      </c>
      <c r="G291" s="2">
        <v>5</v>
      </c>
      <c r="H291" s="2">
        <v>2370980</v>
      </c>
      <c r="I291" s="2">
        <v>23</v>
      </c>
      <c r="J291" s="2">
        <v>8404</v>
      </c>
      <c r="K291" s="2">
        <v>783094</v>
      </c>
      <c r="L291" s="2" t="s">
        <v>13</v>
      </c>
    </row>
    <row r="292" spans="1:12" x14ac:dyDescent="0.25">
      <c r="A292" s="2" t="str">
        <f t="shared" si="4"/>
        <v>APP291</v>
      </c>
      <c r="B292" s="2">
        <v>25</v>
      </c>
      <c r="C292" s="2">
        <v>1088350</v>
      </c>
      <c r="D292" s="2" t="s">
        <v>12</v>
      </c>
      <c r="E292" s="2">
        <v>0</v>
      </c>
      <c r="F292" s="2">
        <v>552</v>
      </c>
      <c r="G292" s="2">
        <v>0</v>
      </c>
      <c r="H292" s="2">
        <v>1429320</v>
      </c>
      <c r="I292" s="2">
        <v>13</v>
      </c>
      <c r="J292" s="2">
        <v>43696</v>
      </c>
      <c r="K292" s="2">
        <v>8939350</v>
      </c>
      <c r="L292" s="2" t="s">
        <v>13</v>
      </c>
    </row>
    <row r="293" spans="1:12" x14ac:dyDescent="0.25">
      <c r="A293" s="2" t="str">
        <f t="shared" si="4"/>
        <v>APP292</v>
      </c>
      <c r="B293" s="2">
        <v>60</v>
      </c>
      <c r="C293" s="2">
        <v>2032452</v>
      </c>
      <c r="D293" s="2" t="s">
        <v>16</v>
      </c>
      <c r="E293" s="2">
        <v>1</v>
      </c>
      <c r="F293" s="2">
        <v>395</v>
      </c>
      <c r="G293" s="2">
        <v>0</v>
      </c>
      <c r="H293" s="2">
        <v>166745</v>
      </c>
      <c r="I293" s="2">
        <v>18</v>
      </c>
      <c r="J293" s="2">
        <v>28791</v>
      </c>
      <c r="K293" s="2">
        <v>4301618</v>
      </c>
      <c r="L293" s="2" t="s">
        <v>15</v>
      </c>
    </row>
    <row r="294" spans="1:12" x14ac:dyDescent="0.25">
      <c r="A294" s="2" t="str">
        <f t="shared" si="4"/>
        <v>APP293</v>
      </c>
      <c r="B294" s="2">
        <v>65</v>
      </c>
      <c r="C294" s="2">
        <v>1502109</v>
      </c>
      <c r="D294" s="2" t="s">
        <v>12</v>
      </c>
      <c r="E294" s="2">
        <v>28</v>
      </c>
      <c r="F294" s="2">
        <v>817</v>
      </c>
      <c r="G294" s="2">
        <v>5</v>
      </c>
      <c r="H294" s="2">
        <v>461964</v>
      </c>
      <c r="I294" s="2">
        <v>15</v>
      </c>
      <c r="J294" s="2">
        <v>50474</v>
      </c>
      <c r="K294" s="2">
        <v>2167821</v>
      </c>
      <c r="L294" s="2" t="s">
        <v>13</v>
      </c>
    </row>
    <row r="295" spans="1:12" x14ac:dyDescent="0.25">
      <c r="A295" s="2" t="str">
        <f t="shared" si="4"/>
        <v>APP294</v>
      </c>
      <c r="B295" s="2">
        <v>51</v>
      </c>
      <c r="C295" s="2">
        <v>2116669</v>
      </c>
      <c r="D295" s="2" t="s">
        <v>12</v>
      </c>
      <c r="E295" s="2">
        <v>12</v>
      </c>
      <c r="F295" s="2">
        <v>500</v>
      </c>
      <c r="G295" s="2">
        <v>0</v>
      </c>
      <c r="H295" s="2">
        <v>3811827</v>
      </c>
      <c r="I295" s="2">
        <v>26</v>
      </c>
      <c r="J295" s="2">
        <v>40577</v>
      </c>
      <c r="K295" s="2">
        <v>3371721</v>
      </c>
      <c r="L295" s="2" t="s">
        <v>13</v>
      </c>
    </row>
    <row r="296" spans="1:12" x14ac:dyDescent="0.25">
      <c r="A296" s="2" t="str">
        <f t="shared" si="4"/>
        <v>APP295</v>
      </c>
      <c r="B296" s="2">
        <v>40</v>
      </c>
      <c r="C296" s="2">
        <v>1457491</v>
      </c>
      <c r="D296" s="2" t="s">
        <v>14</v>
      </c>
      <c r="E296" s="2">
        <v>10</v>
      </c>
      <c r="F296" s="2">
        <v>887</v>
      </c>
      <c r="G296" s="2">
        <v>5</v>
      </c>
      <c r="H296" s="2">
        <v>3146581</v>
      </c>
      <c r="I296" s="2">
        <v>16</v>
      </c>
      <c r="J296" s="2">
        <v>7636</v>
      </c>
      <c r="K296" s="2">
        <v>6507182</v>
      </c>
      <c r="L296" s="2" t="s">
        <v>13</v>
      </c>
    </row>
    <row r="297" spans="1:12" x14ac:dyDescent="0.25">
      <c r="A297" s="2" t="str">
        <f t="shared" si="4"/>
        <v>APP296</v>
      </c>
      <c r="B297" s="2">
        <v>60</v>
      </c>
      <c r="C297" s="2">
        <v>382577</v>
      </c>
      <c r="D297" s="2" t="s">
        <v>14</v>
      </c>
      <c r="E297" s="2">
        <v>7</v>
      </c>
      <c r="F297" s="2">
        <v>875</v>
      </c>
      <c r="G297" s="2">
        <v>3</v>
      </c>
      <c r="H297" s="2">
        <v>243486</v>
      </c>
      <c r="I297" s="2">
        <v>18</v>
      </c>
      <c r="J297" s="2">
        <v>43545</v>
      </c>
      <c r="K297" s="2">
        <v>6166927</v>
      </c>
      <c r="L297" s="2" t="s">
        <v>13</v>
      </c>
    </row>
    <row r="298" spans="1:12" x14ac:dyDescent="0.25">
      <c r="A298" s="2" t="str">
        <f t="shared" si="4"/>
        <v>APP297</v>
      </c>
      <c r="B298" s="2">
        <v>24</v>
      </c>
      <c r="C298" s="2">
        <v>1687994</v>
      </c>
      <c r="D298" s="2" t="s">
        <v>16</v>
      </c>
      <c r="E298" s="2">
        <v>24</v>
      </c>
      <c r="F298" s="2">
        <v>362</v>
      </c>
      <c r="G298" s="2">
        <v>2</v>
      </c>
      <c r="H298" s="2">
        <v>3165395</v>
      </c>
      <c r="I298" s="2">
        <v>2</v>
      </c>
      <c r="J298" s="2">
        <v>63888</v>
      </c>
      <c r="K298" s="2">
        <v>1023587</v>
      </c>
      <c r="L298" s="2" t="s">
        <v>13</v>
      </c>
    </row>
    <row r="299" spans="1:12" x14ac:dyDescent="0.25">
      <c r="A299" s="2" t="str">
        <f t="shared" si="4"/>
        <v>APP298</v>
      </c>
      <c r="B299" s="2">
        <v>61</v>
      </c>
      <c r="C299" s="2">
        <v>1072019</v>
      </c>
      <c r="D299" s="2" t="s">
        <v>12</v>
      </c>
      <c r="E299" s="2">
        <v>4</v>
      </c>
      <c r="F299" s="2">
        <v>567</v>
      </c>
      <c r="G299" s="2">
        <v>5</v>
      </c>
      <c r="H299" s="2">
        <v>2451392</v>
      </c>
      <c r="I299" s="2">
        <v>3</v>
      </c>
      <c r="J299" s="2">
        <v>20914</v>
      </c>
      <c r="K299" s="2">
        <v>9406585</v>
      </c>
      <c r="L299" s="2" t="s">
        <v>13</v>
      </c>
    </row>
    <row r="300" spans="1:12" x14ac:dyDescent="0.25">
      <c r="A300" s="2" t="str">
        <f t="shared" si="4"/>
        <v>APP299</v>
      </c>
      <c r="B300" s="2">
        <v>57</v>
      </c>
      <c r="C300" s="2">
        <v>186254</v>
      </c>
      <c r="D300" s="2" t="s">
        <v>12</v>
      </c>
      <c r="E300" s="2">
        <v>0</v>
      </c>
      <c r="F300" s="2">
        <v>619</v>
      </c>
      <c r="G300" s="2">
        <v>3</v>
      </c>
      <c r="H300" s="2">
        <v>4144798</v>
      </c>
      <c r="I300" s="2">
        <v>28</v>
      </c>
      <c r="J300" s="2">
        <v>24940</v>
      </c>
      <c r="K300" s="2">
        <v>2059317</v>
      </c>
      <c r="L300" s="2" t="s">
        <v>13</v>
      </c>
    </row>
    <row r="301" spans="1:12" x14ac:dyDescent="0.25">
      <c r="A301" s="2" t="str">
        <f t="shared" si="4"/>
        <v>APP300</v>
      </c>
      <c r="B301" s="2">
        <v>23</v>
      </c>
      <c r="C301" s="2">
        <v>1559131</v>
      </c>
      <c r="D301" s="2" t="s">
        <v>16</v>
      </c>
      <c r="E301" s="2">
        <v>31</v>
      </c>
      <c r="F301" s="2">
        <v>680</v>
      </c>
      <c r="G301" s="2">
        <v>1</v>
      </c>
      <c r="H301" s="2">
        <v>1191140</v>
      </c>
      <c r="I301" s="2">
        <v>6</v>
      </c>
      <c r="J301" s="2">
        <v>332</v>
      </c>
      <c r="K301" s="2">
        <v>500472</v>
      </c>
      <c r="L301" s="2" t="s">
        <v>13</v>
      </c>
    </row>
    <row r="302" spans="1:12" x14ac:dyDescent="0.25">
      <c r="A302" s="2" t="str">
        <f t="shared" si="4"/>
        <v>APP301</v>
      </c>
      <c r="B302" s="2">
        <v>40</v>
      </c>
      <c r="C302" s="2">
        <v>594045</v>
      </c>
      <c r="D302" s="2" t="s">
        <v>12</v>
      </c>
      <c r="E302" s="2">
        <v>29</v>
      </c>
      <c r="F302" s="2">
        <v>329</v>
      </c>
      <c r="G302" s="2">
        <v>3</v>
      </c>
      <c r="H302" s="2">
        <v>56964</v>
      </c>
      <c r="I302" s="2">
        <v>17</v>
      </c>
      <c r="J302" s="2">
        <v>35261</v>
      </c>
      <c r="K302" s="2">
        <v>2731645</v>
      </c>
      <c r="L302" s="2" t="s">
        <v>15</v>
      </c>
    </row>
    <row r="303" spans="1:12" x14ac:dyDescent="0.25">
      <c r="A303" s="2" t="str">
        <f t="shared" si="4"/>
        <v>APP302</v>
      </c>
      <c r="B303" s="2">
        <v>35</v>
      </c>
      <c r="C303" s="2">
        <v>1025748</v>
      </c>
      <c r="D303" s="2" t="s">
        <v>14</v>
      </c>
      <c r="E303" s="2">
        <v>18</v>
      </c>
      <c r="F303" s="2">
        <v>638</v>
      </c>
      <c r="G303" s="2">
        <v>0</v>
      </c>
      <c r="H303" s="2">
        <v>2176969</v>
      </c>
      <c r="I303" s="2">
        <v>20</v>
      </c>
      <c r="J303" s="2">
        <v>17170</v>
      </c>
      <c r="K303" s="2">
        <v>44037</v>
      </c>
      <c r="L303" s="2" t="s">
        <v>15</v>
      </c>
    </row>
    <row r="304" spans="1:12" x14ac:dyDescent="0.25">
      <c r="A304" s="2" t="str">
        <f t="shared" si="4"/>
        <v>APP303</v>
      </c>
      <c r="B304" s="2">
        <v>31</v>
      </c>
      <c r="C304" s="2">
        <v>1146083</v>
      </c>
      <c r="D304" s="2" t="s">
        <v>16</v>
      </c>
      <c r="E304" s="2">
        <v>0</v>
      </c>
      <c r="F304" s="2">
        <v>558</v>
      </c>
      <c r="G304" s="2">
        <v>3</v>
      </c>
      <c r="H304" s="2">
        <v>4009859</v>
      </c>
      <c r="I304" s="2">
        <v>10</v>
      </c>
      <c r="J304" s="2">
        <v>73585</v>
      </c>
      <c r="K304" s="2">
        <v>6354338</v>
      </c>
      <c r="L304" s="2" t="s">
        <v>13</v>
      </c>
    </row>
    <row r="305" spans="1:12" x14ac:dyDescent="0.25">
      <c r="A305" s="2" t="str">
        <f t="shared" si="4"/>
        <v>APP304</v>
      </c>
      <c r="B305" s="2">
        <v>31</v>
      </c>
      <c r="C305" s="2">
        <v>2357135</v>
      </c>
      <c r="D305" s="2" t="s">
        <v>12</v>
      </c>
      <c r="E305" s="2">
        <v>3</v>
      </c>
      <c r="F305" s="2">
        <v>517</v>
      </c>
      <c r="G305" s="2">
        <v>2</v>
      </c>
      <c r="H305" s="2">
        <v>236837</v>
      </c>
      <c r="I305" s="2">
        <v>1</v>
      </c>
      <c r="J305" s="2">
        <v>36053</v>
      </c>
      <c r="K305" s="2">
        <v>7907172</v>
      </c>
      <c r="L305" s="2" t="s">
        <v>13</v>
      </c>
    </row>
    <row r="306" spans="1:12" x14ac:dyDescent="0.25">
      <c r="A306" s="2" t="str">
        <f t="shared" si="4"/>
        <v>APP305</v>
      </c>
      <c r="B306" s="2">
        <v>58</v>
      </c>
      <c r="C306" s="2">
        <v>1133633</v>
      </c>
      <c r="D306" s="2" t="s">
        <v>16</v>
      </c>
      <c r="E306" s="2">
        <v>27</v>
      </c>
      <c r="F306" s="2">
        <v>553</v>
      </c>
      <c r="G306" s="2">
        <v>0</v>
      </c>
      <c r="H306" s="2">
        <v>4890397</v>
      </c>
      <c r="I306" s="2">
        <v>1</v>
      </c>
      <c r="J306" s="2">
        <v>16616</v>
      </c>
      <c r="K306" s="2">
        <v>8508511</v>
      </c>
      <c r="L306" s="2" t="s">
        <v>13</v>
      </c>
    </row>
    <row r="307" spans="1:12" x14ac:dyDescent="0.25">
      <c r="A307" s="2" t="str">
        <f t="shared" si="4"/>
        <v>APP306</v>
      </c>
      <c r="B307" s="2">
        <v>43</v>
      </c>
      <c r="C307" s="2">
        <v>1794811</v>
      </c>
      <c r="D307" s="2" t="s">
        <v>12</v>
      </c>
      <c r="E307" s="2">
        <v>13</v>
      </c>
      <c r="F307" s="2">
        <v>659</v>
      </c>
      <c r="G307" s="2">
        <v>4</v>
      </c>
      <c r="H307" s="2">
        <v>2048713</v>
      </c>
      <c r="I307" s="2">
        <v>24</v>
      </c>
      <c r="J307" s="2">
        <v>28944</v>
      </c>
      <c r="K307" s="2">
        <v>3243213</v>
      </c>
      <c r="L307" s="2" t="s">
        <v>13</v>
      </c>
    </row>
    <row r="308" spans="1:12" x14ac:dyDescent="0.25">
      <c r="A308" s="2" t="str">
        <f t="shared" si="4"/>
        <v>APP307</v>
      </c>
      <c r="B308" s="2">
        <v>43</v>
      </c>
      <c r="C308" s="2">
        <v>1206488</v>
      </c>
      <c r="D308" s="2" t="s">
        <v>12</v>
      </c>
      <c r="E308" s="2">
        <v>19</v>
      </c>
      <c r="F308" s="2">
        <v>404</v>
      </c>
      <c r="G308" s="2">
        <v>2</v>
      </c>
      <c r="H308" s="2">
        <v>1446835</v>
      </c>
      <c r="I308" s="2">
        <v>9</v>
      </c>
      <c r="J308" s="2">
        <v>75480</v>
      </c>
      <c r="K308" s="2">
        <v>9303572</v>
      </c>
      <c r="L308" s="2" t="s">
        <v>13</v>
      </c>
    </row>
    <row r="309" spans="1:12" x14ac:dyDescent="0.25">
      <c r="A309" s="2" t="str">
        <f t="shared" si="4"/>
        <v>APP308</v>
      </c>
      <c r="B309" s="2">
        <v>57</v>
      </c>
      <c r="C309" s="2">
        <v>921262</v>
      </c>
      <c r="D309" s="2" t="s">
        <v>12</v>
      </c>
      <c r="E309" s="2">
        <v>21</v>
      </c>
      <c r="F309" s="2">
        <v>678</v>
      </c>
      <c r="G309" s="2">
        <v>3</v>
      </c>
      <c r="H309" s="2">
        <v>1206943</v>
      </c>
      <c r="I309" s="2">
        <v>1</v>
      </c>
      <c r="J309" s="2">
        <v>26196</v>
      </c>
      <c r="K309" s="2">
        <v>2755341</v>
      </c>
      <c r="L309" s="2" t="s">
        <v>15</v>
      </c>
    </row>
    <row r="310" spans="1:12" x14ac:dyDescent="0.25">
      <c r="A310" s="2" t="str">
        <f t="shared" si="4"/>
        <v>APP309</v>
      </c>
      <c r="B310" s="2">
        <v>63</v>
      </c>
      <c r="C310" s="2">
        <v>1931133</v>
      </c>
      <c r="D310" s="2" t="s">
        <v>14</v>
      </c>
      <c r="E310" s="2">
        <v>9</v>
      </c>
      <c r="F310" s="2">
        <v>832</v>
      </c>
      <c r="G310" s="2">
        <v>1</v>
      </c>
      <c r="H310" s="2">
        <v>1017715</v>
      </c>
      <c r="I310" s="2">
        <v>13</v>
      </c>
      <c r="J310" s="2">
        <v>55984</v>
      </c>
      <c r="K310" s="2">
        <v>8611466</v>
      </c>
      <c r="L310" s="2" t="s">
        <v>13</v>
      </c>
    </row>
    <row r="311" spans="1:12" x14ac:dyDescent="0.25">
      <c r="A311" s="2" t="str">
        <f t="shared" si="4"/>
        <v>APP310</v>
      </c>
      <c r="B311" s="2">
        <v>42</v>
      </c>
      <c r="C311" s="2">
        <v>2286308</v>
      </c>
      <c r="D311" s="2" t="s">
        <v>14</v>
      </c>
      <c r="E311" s="2">
        <v>14</v>
      </c>
      <c r="F311" s="2">
        <v>326</v>
      </c>
      <c r="G311" s="2">
        <v>3</v>
      </c>
      <c r="H311" s="2">
        <v>4944832</v>
      </c>
      <c r="I311" s="2">
        <v>10</v>
      </c>
      <c r="J311" s="2">
        <v>26529</v>
      </c>
      <c r="K311" s="2">
        <v>6076003</v>
      </c>
      <c r="L311" s="2" t="s">
        <v>13</v>
      </c>
    </row>
    <row r="312" spans="1:12" x14ac:dyDescent="0.25">
      <c r="A312" s="2" t="str">
        <f t="shared" si="4"/>
        <v>APP311</v>
      </c>
      <c r="B312" s="2">
        <v>62</v>
      </c>
      <c r="C312" s="2">
        <v>1470840</v>
      </c>
      <c r="D312" s="2" t="s">
        <v>16</v>
      </c>
      <c r="E312" s="2">
        <v>7</v>
      </c>
      <c r="F312" s="2">
        <v>698</v>
      </c>
      <c r="G312" s="2">
        <v>1</v>
      </c>
      <c r="H312" s="2">
        <v>2645415</v>
      </c>
      <c r="I312" s="2">
        <v>27</v>
      </c>
      <c r="J312" s="2">
        <v>62287</v>
      </c>
      <c r="K312" s="2">
        <v>3082995</v>
      </c>
      <c r="L312" s="2" t="s">
        <v>13</v>
      </c>
    </row>
    <row r="313" spans="1:12" x14ac:dyDescent="0.25">
      <c r="A313" s="2" t="str">
        <f t="shared" si="4"/>
        <v>APP312</v>
      </c>
      <c r="B313" s="2">
        <v>26</v>
      </c>
      <c r="C313" s="2">
        <v>877330</v>
      </c>
      <c r="D313" s="2" t="s">
        <v>16</v>
      </c>
      <c r="E313" s="2">
        <v>23</v>
      </c>
      <c r="F313" s="2">
        <v>554</v>
      </c>
      <c r="G313" s="2">
        <v>1</v>
      </c>
      <c r="H313" s="2">
        <v>2071057</v>
      </c>
      <c r="I313" s="2">
        <v>3</v>
      </c>
      <c r="J313" s="2">
        <v>54322</v>
      </c>
      <c r="K313" s="2">
        <v>5037790</v>
      </c>
      <c r="L313" s="2" t="s">
        <v>15</v>
      </c>
    </row>
    <row r="314" spans="1:12" x14ac:dyDescent="0.25">
      <c r="A314" s="2" t="str">
        <f t="shared" si="4"/>
        <v>APP313</v>
      </c>
      <c r="B314" s="2">
        <v>50</v>
      </c>
      <c r="C314" s="2">
        <v>559610</v>
      </c>
      <c r="D314" s="2" t="s">
        <v>16</v>
      </c>
      <c r="E314" s="2">
        <v>12</v>
      </c>
      <c r="F314" s="2">
        <v>479</v>
      </c>
      <c r="G314" s="2">
        <v>2</v>
      </c>
      <c r="H314" s="2">
        <v>2162471</v>
      </c>
      <c r="I314" s="2">
        <v>27</v>
      </c>
      <c r="J314" s="2">
        <v>36700</v>
      </c>
      <c r="K314" s="2">
        <v>3947219</v>
      </c>
      <c r="L314" s="2" t="s">
        <v>13</v>
      </c>
    </row>
    <row r="315" spans="1:12" x14ac:dyDescent="0.25">
      <c r="A315" s="2" t="str">
        <f t="shared" si="4"/>
        <v>APP314</v>
      </c>
      <c r="B315" s="2">
        <v>36</v>
      </c>
      <c r="C315" s="2">
        <v>1010956</v>
      </c>
      <c r="D315" s="2" t="s">
        <v>16</v>
      </c>
      <c r="E315" s="2">
        <v>0</v>
      </c>
      <c r="F315" s="2">
        <v>631</v>
      </c>
      <c r="G315" s="2">
        <v>5</v>
      </c>
      <c r="H315" s="2">
        <v>4334523</v>
      </c>
      <c r="I315" s="2">
        <v>19</v>
      </c>
      <c r="J315" s="2">
        <v>28259</v>
      </c>
      <c r="K315" s="2">
        <v>4451249</v>
      </c>
      <c r="L315" s="2" t="s">
        <v>13</v>
      </c>
    </row>
    <row r="316" spans="1:12" x14ac:dyDescent="0.25">
      <c r="A316" s="2" t="str">
        <f t="shared" si="4"/>
        <v>APP315</v>
      </c>
      <c r="B316" s="2">
        <v>53</v>
      </c>
      <c r="C316" s="2">
        <v>364048</v>
      </c>
      <c r="D316" s="2" t="s">
        <v>16</v>
      </c>
      <c r="E316" s="2">
        <v>35</v>
      </c>
      <c r="F316" s="2">
        <v>587</v>
      </c>
      <c r="G316" s="2">
        <v>5</v>
      </c>
      <c r="H316" s="2">
        <v>2638349</v>
      </c>
      <c r="I316" s="2">
        <v>30</v>
      </c>
      <c r="J316" s="2">
        <v>39588</v>
      </c>
      <c r="K316" s="2">
        <v>5205098</v>
      </c>
      <c r="L316" s="2" t="s">
        <v>13</v>
      </c>
    </row>
    <row r="317" spans="1:12" x14ac:dyDescent="0.25">
      <c r="A317" s="2" t="str">
        <f t="shared" si="4"/>
        <v>APP316</v>
      </c>
      <c r="B317" s="2">
        <v>26</v>
      </c>
      <c r="C317" s="2">
        <v>1335158</v>
      </c>
      <c r="D317" s="2" t="s">
        <v>14</v>
      </c>
      <c r="E317" s="2">
        <v>3</v>
      </c>
      <c r="F317" s="2">
        <v>496</v>
      </c>
      <c r="G317" s="2">
        <v>3</v>
      </c>
      <c r="H317" s="2">
        <v>1193425</v>
      </c>
      <c r="I317" s="2">
        <v>3</v>
      </c>
      <c r="J317" s="2">
        <v>37031</v>
      </c>
      <c r="K317" s="2">
        <v>8500328</v>
      </c>
      <c r="L317" s="2" t="s">
        <v>13</v>
      </c>
    </row>
    <row r="318" spans="1:12" x14ac:dyDescent="0.25">
      <c r="A318" s="2" t="str">
        <f t="shared" si="4"/>
        <v>APP317</v>
      </c>
      <c r="B318" s="2">
        <v>32</v>
      </c>
      <c r="C318" s="2">
        <v>2403245</v>
      </c>
      <c r="D318" s="2" t="s">
        <v>16</v>
      </c>
      <c r="E318" s="2">
        <v>27</v>
      </c>
      <c r="F318" s="2">
        <v>302</v>
      </c>
      <c r="G318" s="2">
        <v>0</v>
      </c>
      <c r="H318" s="2">
        <v>2469255</v>
      </c>
      <c r="I318" s="2">
        <v>2</v>
      </c>
      <c r="J318" s="2">
        <v>73567</v>
      </c>
      <c r="K318" s="2">
        <v>5737274</v>
      </c>
      <c r="L318" s="2" t="s">
        <v>13</v>
      </c>
    </row>
    <row r="319" spans="1:12" x14ac:dyDescent="0.25">
      <c r="A319" s="2" t="str">
        <f t="shared" si="4"/>
        <v>APP318</v>
      </c>
      <c r="B319" s="2">
        <v>52</v>
      </c>
      <c r="C319" s="2">
        <v>1733879</v>
      </c>
      <c r="D319" s="2" t="s">
        <v>12</v>
      </c>
      <c r="E319" s="2">
        <v>13</v>
      </c>
      <c r="F319" s="2">
        <v>783</v>
      </c>
      <c r="G319" s="2">
        <v>1</v>
      </c>
      <c r="H319" s="2">
        <v>1324918</v>
      </c>
      <c r="I319" s="2">
        <v>25</v>
      </c>
      <c r="J319" s="2">
        <v>56303</v>
      </c>
      <c r="K319" s="2">
        <v>6553912</v>
      </c>
      <c r="L319" s="2" t="s">
        <v>13</v>
      </c>
    </row>
    <row r="320" spans="1:12" x14ac:dyDescent="0.25">
      <c r="A320" s="2" t="str">
        <f t="shared" si="4"/>
        <v>APP319</v>
      </c>
      <c r="B320" s="2">
        <v>65</v>
      </c>
      <c r="C320" s="2">
        <v>155917</v>
      </c>
      <c r="D320" s="2" t="s">
        <v>16</v>
      </c>
      <c r="E320" s="2">
        <v>17</v>
      </c>
      <c r="F320" s="2">
        <v>468</v>
      </c>
      <c r="G320" s="2">
        <v>5</v>
      </c>
      <c r="H320" s="2">
        <v>4004699</v>
      </c>
      <c r="I320" s="2">
        <v>20</v>
      </c>
      <c r="J320" s="2">
        <v>8882</v>
      </c>
      <c r="K320" s="2">
        <v>1297148</v>
      </c>
      <c r="L320" s="2" t="s">
        <v>13</v>
      </c>
    </row>
    <row r="321" spans="1:12" x14ac:dyDescent="0.25">
      <c r="A321" s="2" t="str">
        <f t="shared" si="4"/>
        <v>APP320</v>
      </c>
      <c r="B321" s="2">
        <v>60</v>
      </c>
      <c r="C321" s="2">
        <v>1645284</v>
      </c>
      <c r="D321" s="2" t="s">
        <v>14</v>
      </c>
      <c r="E321" s="2">
        <v>29</v>
      </c>
      <c r="F321" s="2">
        <v>664</v>
      </c>
      <c r="G321" s="2">
        <v>5</v>
      </c>
      <c r="H321" s="2">
        <v>1372390</v>
      </c>
      <c r="I321" s="2">
        <v>15</v>
      </c>
      <c r="J321" s="2">
        <v>29989</v>
      </c>
      <c r="K321" s="2">
        <v>4975178</v>
      </c>
      <c r="L321" s="2" t="s">
        <v>13</v>
      </c>
    </row>
    <row r="322" spans="1:12" x14ac:dyDescent="0.25">
      <c r="A322" s="2" t="str">
        <f t="shared" si="4"/>
        <v>APP321</v>
      </c>
      <c r="B322" s="2">
        <v>28</v>
      </c>
      <c r="C322" s="2">
        <v>2336402</v>
      </c>
      <c r="D322" s="2" t="s">
        <v>12</v>
      </c>
      <c r="E322" s="2">
        <v>34</v>
      </c>
      <c r="F322" s="2">
        <v>357</v>
      </c>
      <c r="G322" s="2">
        <v>3</v>
      </c>
      <c r="H322" s="2">
        <v>4247774</v>
      </c>
      <c r="I322" s="2">
        <v>18</v>
      </c>
      <c r="J322" s="2">
        <v>71133</v>
      </c>
      <c r="K322" s="2">
        <v>8975841</v>
      </c>
      <c r="L322" s="2" t="s">
        <v>13</v>
      </c>
    </row>
    <row r="323" spans="1:12" x14ac:dyDescent="0.25">
      <c r="A323" s="2" t="str">
        <f t="shared" ref="A323:A386" si="5">"APP"&amp;TEXT(ROW()-1,"000")</f>
        <v>APP322</v>
      </c>
      <c r="B323" s="2">
        <v>58</v>
      </c>
      <c r="C323" s="2">
        <v>1722794</v>
      </c>
      <c r="D323" s="2" t="s">
        <v>14</v>
      </c>
      <c r="E323" s="2">
        <v>34</v>
      </c>
      <c r="F323" s="2">
        <v>378</v>
      </c>
      <c r="G323" s="2">
        <v>1</v>
      </c>
      <c r="H323" s="2">
        <v>4657562</v>
      </c>
      <c r="I323" s="2">
        <v>25</v>
      </c>
      <c r="J323" s="2">
        <v>70984</v>
      </c>
      <c r="K323" s="2">
        <v>9378971</v>
      </c>
      <c r="L323" s="2" t="s">
        <v>13</v>
      </c>
    </row>
    <row r="324" spans="1:12" x14ac:dyDescent="0.25">
      <c r="A324" s="2" t="str">
        <f t="shared" si="5"/>
        <v>APP323</v>
      </c>
      <c r="B324" s="2">
        <v>59</v>
      </c>
      <c r="C324" s="2">
        <v>1523049</v>
      </c>
      <c r="D324" s="2" t="s">
        <v>12</v>
      </c>
      <c r="E324" s="2">
        <v>26</v>
      </c>
      <c r="F324" s="2">
        <v>791</v>
      </c>
      <c r="G324" s="2">
        <v>1</v>
      </c>
      <c r="H324" s="2">
        <v>4352917</v>
      </c>
      <c r="I324" s="2">
        <v>8</v>
      </c>
      <c r="J324" s="2">
        <v>73651</v>
      </c>
      <c r="K324" s="2">
        <v>5426814</v>
      </c>
      <c r="L324" s="2" t="s">
        <v>13</v>
      </c>
    </row>
    <row r="325" spans="1:12" x14ac:dyDescent="0.25">
      <c r="A325" s="2" t="str">
        <f t="shared" si="5"/>
        <v>APP324</v>
      </c>
      <c r="B325" s="2">
        <v>27</v>
      </c>
      <c r="C325" s="2">
        <v>2355340</v>
      </c>
      <c r="D325" s="2" t="s">
        <v>12</v>
      </c>
      <c r="E325" s="2">
        <v>19</v>
      </c>
      <c r="F325" s="2">
        <v>616</v>
      </c>
      <c r="G325" s="2">
        <v>2</v>
      </c>
      <c r="H325" s="2">
        <v>1033667</v>
      </c>
      <c r="I325" s="2">
        <v>11</v>
      </c>
      <c r="J325" s="2">
        <v>21144</v>
      </c>
      <c r="K325" s="2">
        <v>5488824</v>
      </c>
      <c r="L325" s="2" t="s">
        <v>13</v>
      </c>
    </row>
    <row r="326" spans="1:12" x14ac:dyDescent="0.25">
      <c r="A326" s="2" t="str">
        <f t="shared" si="5"/>
        <v>APP325</v>
      </c>
      <c r="B326" s="2">
        <v>49</v>
      </c>
      <c r="C326" s="2">
        <v>877659</v>
      </c>
      <c r="D326" s="2" t="s">
        <v>14</v>
      </c>
      <c r="E326" s="2">
        <v>30</v>
      </c>
      <c r="F326" s="2">
        <v>305</v>
      </c>
      <c r="G326" s="2">
        <v>4</v>
      </c>
      <c r="H326" s="2">
        <v>4255070</v>
      </c>
      <c r="I326" s="2">
        <v>29</v>
      </c>
      <c r="J326" s="2">
        <v>30073</v>
      </c>
      <c r="K326" s="2">
        <v>6814041</v>
      </c>
      <c r="L326" s="2" t="s">
        <v>13</v>
      </c>
    </row>
    <row r="327" spans="1:12" x14ac:dyDescent="0.25">
      <c r="A327" s="2" t="str">
        <f t="shared" si="5"/>
        <v>APP326</v>
      </c>
      <c r="B327" s="2">
        <v>27</v>
      </c>
      <c r="C327" s="2">
        <v>1335898</v>
      </c>
      <c r="D327" s="2" t="s">
        <v>12</v>
      </c>
      <c r="E327" s="2">
        <v>10</v>
      </c>
      <c r="F327" s="2">
        <v>561</v>
      </c>
      <c r="G327" s="2">
        <v>3</v>
      </c>
      <c r="H327" s="2">
        <v>3539800</v>
      </c>
      <c r="I327" s="2">
        <v>15</v>
      </c>
      <c r="J327" s="2">
        <v>559</v>
      </c>
      <c r="K327" s="2">
        <v>6417162</v>
      </c>
      <c r="L327" s="2" t="s">
        <v>13</v>
      </c>
    </row>
    <row r="328" spans="1:12" x14ac:dyDescent="0.25">
      <c r="A328" s="2" t="str">
        <f t="shared" si="5"/>
        <v>APP327</v>
      </c>
      <c r="B328" s="2">
        <v>41</v>
      </c>
      <c r="C328" s="2">
        <v>1220043</v>
      </c>
      <c r="D328" s="2" t="s">
        <v>12</v>
      </c>
      <c r="E328" s="2">
        <v>33</v>
      </c>
      <c r="F328" s="2">
        <v>316</v>
      </c>
      <c r="G328" s="2">
        <v>2</v>
      </c>
      <c r="H328" s="2">
        <v>1039268</v>
      </c>
      <c r="I328" s="2">
        <v>13</v>
      </c>
      <c r="J328" s="2">
        <v>41170</v>
      </c>
      <c r="K328" s="2">
        <v>6729832</v>
      </c>
      <c r="L328" s="2" t="s">
        <v>13</v>
      </c>
    </row>
    <row r="329" spans="1:12" x14ac:dyDescent="0.25">
      <c r="A329" s="2" t="str">
        <f t="shared" si="5"/>
        <v>APP328</v>
      </c>
      <c r="B329" s="2">
        <v>38</v>
      </c>
      <c r="C329" s="2">
        <v>2328157</v>
      </c>
      <c r="D329" s="2" t="s">
        <v>12</v>
      </c>
      <c r="E329" s="2">
        <v>35</v>
      </c>
      <c r="F329" s="2">
        <v>489</v>
      </c>
      <c r="G329" s="2">
        <v>0</v>
      </c>
      <c r="H329" s="2">
        <v>1691264</v>
      </c>
      <c r="I329" s="2">
        <v>3</v>
      </c>
      <c r="J329" s="2">
        <v>66312</v>
      </c>
      <c r="K329" s="2">
        <v>4859046</v>
      </c>
      <c r="L329" s="2" t="s">
        <v>13</v>
      </c>
    </row>
    <row r="330" spans="1:12" x14ac:dyDescent="0.25">
      <c r="A330" s="2" t="str">
        <f t="shared" si="5"/>
        <v>APP329</v>
      </c>
      <c r="B330" s="2">
        <v>58</v>
      </c>
      <c r="C330" s="2">
        <v>594375</v>
      </c>
      <c r="D330" s="2" t="s">
        <v>14</v>
      </c>
      <c r="E330" s="2">
        <v>27</v>
      </c>
      <c r="F330" s="2">
        <v>642</v>
      </c>
      <c r="G330" s="2">
        <v>4</v>
      </c>
      <c r="H330" s="2">
        <v>3755785</v>
      </c>
      <c r="I330" s="2">
        <v>14</v>
      </c>
      <c r="J330" s="2">
        <v>16385</v>
      </c>
      <c r="K330" s="2">
        <v>2811843</v>
      </c>
      <c r="L330" s="2" t="s">
        <v>13</v>
      </c>
    </row>
    <row r="331" spans="1:12" x14ac:dyDescent="0.25">
      <c r="A331" s="2" t="str">
        <f t="shared" si="5"/>
        <v>APP330</v>
      </c>
      <c r="B331" s="2">
        <v>55</v>
      </c>
      <c r="C331" s="2">
        <v>522466</v>
      </c>
      <c r="D331" s="2" t="s">
        <v>12</v>
      </c>
      <c r="E331" s="2">
        <v>34</v>
      </c>
      <c r="F331" s="2">
        <v>844</v>
      </c>
      <c r="G331" s="2">
        <v>5</v>
      </c>
      <c r="H331" s="2">
        <v>1843969</v>
      </c>
      <c r="I331" s="2">
        <v>25</v>
      </c>
      <c r="J331" s="2">
        <v>33408</v>
      </c>
      <c r="K331" s="2">
        <v>3058173</v>
      </c>
      <c r="L331" s="2" t="s">
        <v>15</v>
      </c>
    </row>
    <row r="332" spans="1:12" x14ac:dyDescent="0.25">
      <c r="A332" s="2" t="str">
        <f t="shared" si="5"/>
        <v>APP331</v>
      </c>
      <c r="B332" s="2">
        <v>41</v>
      </c>
      <c r="C332" s="2">
        <v>2191585</v>
      </c>
      <c r="D332" s="2" t="s">
        <v>12</v>
      </c>
      <c r="E332" s="2">
        <v>13</v>
      </c>
      <c r="F332" s="2">
        <v>627</v>
      </c>
      <c r="G332" s="2">
        <v>0</v>
      </c>
      <c r="H332" s="2">
        <v>1821979</v>
      </c>
      <c r="I332" s="2">
        <v>19</v>
      </c>
      <c r="J332" s="2">
        <v>30994</v>
      </c>
      <c r="K332" s="2">
        <v>8062429</v>
      </c>
      <c r="L332" s="2" t="s">
        <v>13</v>
      </c>
    </row>
    <row r="333" spans="1:12" x14ac:dyDescent="0.25">
      <c r="A333" s="2" t="str">
        <f t="shared" si="5"/>
        <v>APP332</v>
      </c>
      <c r="B333" s="2">
        <v>57</v>
      </c>
      <c r="C333" s="2">
        <v>1819755</v>
      </c>
      <c r="D333" s="2" t="s">
        <v>14</v>
      </c>
      <c r="E333" s="2">
        <v>25</v>
      </c>
      <c r="F333" s="2">
        <v>421</v>
      </c>
      <c r="G333" s="2">
        <v>4</v>
      </c>
      <c r="H333" s="2">
        <v>736269</v>
      </c>
      <c r="I333" s="2">
        <v>12</v>
      </c>
      <c r="J333" s="2">
        <v>25774</v>
      </c>
      <c r="K333" s="2">
        <v>2025647</v>
      </c>
      <c r="L333" s="2" t="s">
        <v>13</v>
      </c>
    </row>
    <row r="334" spans="1:12" x14ac:dyDescent="0.25">
      <c r="A334" s="2" t="str">
        <f t="shared" si="5"/>
        <v>APP333</v>
      </c>
      <c r="B334" s="2">
        <v>24</v>
      </c>
      <c r="C334" s="2">
        <v>1569386</v>
      </c>
      <c r="D334" s="2" t="s">
        <v>16</v>
      </c>
      <c r="E334" s="2">
        <v>34</v>
      </c>
      <c r="F334" s="2">
        <v>880</v>
      </c>
      <c r="G334" s="2">
        <v>5</v>
      </c>
      <c r="H334" s="2">
        <v>4867225</v>
      </c>
      <c r="I334" s="2">
        <v>18</v>
      </c>
      <c r="J334" s="2">
        <v>70490</v>
      </c>
      <c r="K334" s="2">
        <v>8898803</v>
      </c>
      <c r="L334" s="2" t="s">
        <v>13</v>
      </c>
    </row>
    <row r="335" spans="1:12" x14ac:dyDescent="0.25">
      <c r="A335" s="2" t="str">
        <f t="shared" si="5"/>
        <v>APP334</v>
      </c>
      <c r="B335" s="2">
        <v>58</v>
      </c>
      <c r="C335" s="2">
        <v>1611193</v>
      </c>
      <c r="D335" s="2" t="s">
        <v>12</v>
      </c>
      <c r="E335" s="2">
        <v>10</v>
      </c>
      <c r="F335" s="2">
        <v>586</v>
      </c>
      <c r="G335" s="2">
        <v>4</v>
      </c>
      <c r="H335" s="2">
        <v>2561895</v>
      </c>
      <c r="I335" s="2">
        <v>20</v>
      </c>
      <c r="J335" s="2">
        <v>34956</v>
      </c>
      <c r="K335" s="2">
        <v>9981373</v>
      </c>
      <c r="L335" s="2" t="s">
        <v>15</v>
      </c>
    </row>
    <row r="336" spans="1:12" x14ac:dyDescent="0.25">
      <c r="A336" s="2" t="str">
        <f t="shared" si="5"/>
        <v>APP335</v>
      </c>
      <c r="B336" s="2">
        <v>45</v>
      </c>
      <c r="C336" s="2">
        <v>1757452</v>
      </c>
      <c r="D336" s="2" t="s">
        <v>16</v>
      </c>
      <c r="E336" s="2">
        <v>32</v>
      </c>
      <c r="F336" s="2">
        <v>810</v>
      </c>
      <c r="G336" s="2">
        <v>1</v>
      </c>
      <c r="H336" s="2">
        <v>1837053</v>
      </c>
      <c r="I336" s="2">
        <v>12</v>
      </c>
      <c r="J336" s="2">
        <v>20324</v>
      </c>
      <c r="K336" s="2">
        <v>1875370</v>
      </c>
      <c r="L336" s="2" t="s">
        <v>13</v>
      </c>
    </row>
    <row r="337" spans="1:12" x14ac:dyDescent="0.25">
      <c r="A337" s="2" t="str">
        <f t="shared" si="5"/>
        <v>APP336</v>
      </c>
      <c r="B337" s="2">
        <v>40</v>
      </c>
      <c r="C337" s="2">
        <v>1165356</v>
      </c>
      <c r="D337" s="2" t="s">
        <v>16</v>
      </c>
      <c r="E337" s="2">
        <v>5</v>
      </c>
      <c r="F337" s="2">
        <v>860</v>
      </c>
      <c r="G337" s="2">
        <v>1</v>
      </c>
      <c r="H337" s="2">
        <v>4204307</v>
      </c>
      <c r="I337" s="2">
        <v>16</v>
      </c>
      <c r="J337" s="2">
        <v>55956</v>
      </c>
      <c r="K337" s="2">
        <v>1713060</v>
      </c>
      <c r="L337" s="2" t="s">
        <v>13</v>
      </c>
    </row>
    <row r="338" spans="1:12" x14ac:dyDescent="0.25">
      <c r="A338" s="2" t="str">
        <f t="shared" si="5"/>
        <v>APP337</v>
      </c>
      <c r="B338" s="2">
        <v>22</v>
      </c>
      <c r="C338" s="2">
        <v>241447</v>
      </c>
      <c r="D338" s="2" t="s">
        <v>12</v>
      </c>
      <c r="E338" s="2">
        <v>2</v>
      </c>
      <c r="F338" s="2">
        <v>654</v>
      </c>
      <c r="G338" s="2">
        <v>4</v>
      </c>
      <c r="H338" s="2">
        <v>3527585</v>
      </c>
      <c r="I338" s="2">
        <v>1</v>
      </c>
      <c r="J338" s="2">
        <v>28899</v>
      </c>
      <c r="K338" s="2">
        <v>866779</v>
      </c>
      <c r="L338" s="2" t="s">
        <v>15</v>
      </c>
    </row>
    <row r="339" spans="1:12" x14ac:dyDescent="0.25">
      <c r="A339" s="2" t="str">
        <f t="shared" si="5"/>
        <v>APP338</v>
      </c>
      <c r="B339" s="2">
        <v>41</v>
      </c>
      <c r="C339" s="2">
        <v>2404637</v>
      </c>
      <c r="D339" s="2" t="s">
        <v>14</v>
      </c>
      <c r="E339" s="2">
        <v>27</v>
      </c>
      <c r="F339" s="2">
        <v>469</v>
      </c>
      <c r="G339" s="2">
        <v>2</v>
      </c>
      <c r="H339" s="2">
        <v>2390897</v>
      </c>
      <c r="I339" s="2">
        <v>25</v>
      </c>
      <c r="J339" s="2">
        <v>8318</v>
      </c>
      <c r="K339" s="2">
        <v>5900293</v>
      </c>
      <c r="L339" s="2" t="s">
        <v>13</v>
      </c>
    </row>
    <row r="340" spans="1:12" x14ac:dyDescent="0.25">
      <c r="A340" s="2" t="str">
        <f t="shared" si="5"/>
        <v>APP339</v>
      </c>
      <c r="B340" s="2">
        <v>46</v>
      </c>
      <c r="C340" s="2">
        <v>1944182</v>
      </c>
      <c r="D340" s="2" t="s">
        <v>12</v>
      </c>
      <c r="E340" s="2">
        <v>29</v>
      </c>
      <c r="F340" s="2">
        <v>381</v>
      </c>
      <c r="G340" s="2">
        <v>5</v>
      </c>
      <c r="H340" s="2">
        <v>596582</v>
      </c>
      <c r="I340" s="2">
        <v>21</v>
      </c>
      <c r="J340" s="2">
        <v>46998</v>
      </c>
      <c r="K340" s="2">
        <v>2797522</v>
      </c>
      <c r="L340" s="2" t="s">
        <v>15</v>
      </c>
    </row>
    <row r="341" spans="1:12" x14ac:dyDescent="0.25">
      <c r="A341" s="2" t="str">
        <f t="shared" si="5"/>
        <v>APP340</v>
      </c>
      <c r="B341" s="2">
        <v>30</v>
      </c>
      <c r="C341" s="2">
        <v>1780886</v>
      </c>
      <c r="D341" s="2" t="s">
        <v>12</v>
      </c>
      <c r="E341" s="2">
        <v>24</v>
      </c>
      <c r="F341" s="2">
        <v>467</v>
      </c>
      <c r="G341" s="2">
        <v>2</v>
      </c>
      <c r="H341" s="2">
        <v>197936</v>
      </c>
      <c r="I341" s="2">
        <v>9</v>
      </c>
      <c r="J341" s="2">
        <v>35148</v>
      </c>
      <c r="K341" s="2">
        <v>284122</v>
      </c>
      <c r="L341" s="2" t="s">
        <v>13</v>
      </c>
    </row>
    <row r="342" spans="1:12" x14ac:dyDescent="0.25">
      <c r="A342" s="2" t="str">
        <f t="shared" si="5"/>
        <v>APP341</v>
      </c>
      <c r="B342" s="2">
        <v>46</v>
      </c>
      <c r="C342" s="2">
        <v>645104</v>
      </c>
      <c r="D342" s="2" t="s">
        <v>12</v>
      </c>
      <c r="E342" s="2">
        <v>10</v>
      </c>
      <c r="F342" s="2">
        <v>434</v>
      </c>
      <c r="G342" s="2">
        <v>1</v>
      </c>
      <c r="H342" s="2">
        <v>616029</v>
      </c>
      <c r="I342" s="2">
        <v>11</v>
      </c>
      <c r="J342" s="2">
        <v>7553</v>
      </c>
      <c r="K342" s="2">
        <v>4832279</v>
      </c>
      <c r="L342" s="2" t="s">
        <v>13</v>
      </c>
    </row>
    <row r="343" spans="1:12" x14ac:dyDescent="0.25">
      <c r="A343" s="2" t="str">
        <f t="shared" si="5"/>
        <v>APP342</v>
      </c>
      <c r="B343" s="2">
        <v>29</v>
      </c>
      <c r="C343" s="2">
        <v>773290</v>
      </c>
      <c r="D343" s="2" t="s">
        <v>16</v>
      </c>
      <c r="E343" s="2">
        <v>3</v>
      </c>
      <c r="F343" s="2">
        <v>354</v>
      </c>
      <c r="G343" s="2">
        <v>4</v>
      </c>
      <c r="H343" s="2">
        <v>3467172</v>
      </c>
      <c r="I343" s="2">
        <v>21</v>
      </c>
      <c r="J343" s="2">
        <v>74711</v>
      </c>
      <c r="K343" s="2">
        <v>7604841</v>
      </c>
      <c r="L343" s="2" t="s">
        <v>13</v>
      </c>
    </row>
    <row r="344" spans="1:12" x14ac:dyDescent="0.25">
      <c r="A344" s="2" t="str">
        <f t="shared" si="5"/>
        <v>APP343</v>
      </c>
      <c r="B344" s="2">
        <v>53</v>
      </c>
      <c r="C344" s="2">
        <v>458954</v>
      </c>
      <c r="D344" s="2" t="s">
        <v>12</v>
      </c>
      <c r="E344" s="2">
        <v>8</v>
      </c>
      <c r="F344" s="2">
        <v>554</v>
      </c>
      <c r="G344" s="2">
        <v>2</v>
      </c>
      <c r="H344" s="2">
        <v>1566295</v>
      </c>
      <c r="I344" s="2">
        <v>10</v>
      </c>
      <c r="J344" s="2">
        <v>19672</v>
      </c>
      <c r="K344" s="2">
        <v>7630203</v>
      </c>
      <c r="L344" s="2" t="s">
        <v>13</v>
      </c>
    </row>
    <row r="345" spans="1:12" x14ac:dyDescent="0.25">
      <c r="A345" s="2" t="str">
        <f t="shared" si="5"/>
        <v>APP344</v>
      </c>
      <c r="B345" s="2">
        <v>27</v>
      </c>
      <c r="C345" s="2">
        <v>1820834</v>
      </c>
      <c r="D345" s="2" t="s">
        <v>14</v>
      </c>
      <c r="E345" s="2">
        <v>11</v>
      </c>
      <c r="F345" s="2">
        <v>840</v>
      </c>
      <c r="G345" s="2">
        <v>1</v>
      </c>
      <c r="H345" s="2">
        <v>3162464</v>
      </c>
      <c r="I345" s="2">
        <v>23</v>
      </c>
      <c r="J345" s="2">
        <v>3720</v>
      </c>
      <c r="K345" s="2">
        <v>92571</v>
      </c>
      <c r="L345" s="2" t="s">
        <v>13</v>
      </c>
    </row>
    <row r="346" spans="1:12" x14ac:dyDescent="0.25">
      <c r="A346" s="2" t="str">
        <f t="shared" si="5"/>
        <v>APP345</v>
      </c>
      <c r="B346" s="2">
        <v>36</v>
      </c>
      <c r="C346" s="2">
        <v>1733601</v>
      </c>
      <c r="D346" s="2" t="s">
        <v>14</v>
      </c>
      <c r="E346" s="2">
        <v>29</v>
      </c>
      <c r="F346" s="2">
        <v>671</v>
      </c>
      <c r="G346" s="2">
        <v>3</v>
      </c>
      <c r="H346" s="2">
        <v>1529714</v>
      </c>
      <c r="I346" s="2">
        <v>27</v>
      </c>
      <c r="J346" s="2">
        <v>54197</v>
      </c>
      <c r="K346" s="2">
        <v>8488619</v>
      </c>
      <c r="L346" s="2" t="s">
        <v>13</v>
      </c>
    </row>
    <row r="347" spans="1:12" x14ac:dyDescent="0.25">
      <c r="A347" s="2" t="str">
        <f t="shared" si="5"/>
        <v>APP346</v>
      </c>
      <c r="B347" s="2">
        <v>22</v>
      </c>
      <c r="C347" s="2">
        <v>2044775</v>
      </c>
      <c r="D347" s="2" t="s">
        <v>14</v>
      </c>
      <c r="E347" s="2">
        <v>19</v>
      </c>
      <c r="F347" s="2">
        <v>331</v>
      </c>
      <c r="G347" s="2">
        <v>2</v>
      </c>
      <c r="H347" s="2">
        <v>3535013</v>
      </c>
      <c r="I347" s="2">
        <v>19</v>
      </c>
      <c r="J347" s="2">
        <v>24461</v>
      </c>
      <c r="K347" s="2">
        <v>8184366</v>
      </c>
      <c r="L347" s="2" t="s">
        <v>13</v>
      </c>
    </row>
    <row r="348" spans="1:12" x14ac:dyDescent="0.25">
      <c r="A348" s="2" t="str">
        <f t="shared" si="5"/>
        <v>APP347</v>
      </c>
      <c r="B348" s="2">
        <v>65</v>
      </c>
      <c r="C348" s="2">
        <v>937029</v>
      </c>
      <c r="D348" s="2" t="s">
        <v>12</v>
      </c>
      <c r="E348" s="2">
        <v>19</v>
      </c>
      <c r="F348" s="2">
        <v>865</v>
      </c>
      <c r="G348" s="2">
        <v>4</v>
      </c>
      <c r="H348" s="2">
        <v>2345830</v>
      </c>
      <c r="I348" s="2">
        <v>4</v>
      </c>
      <c r="J348" s="2">
        <v>68488</v>
      </c>
      <c r="K348" s="2">
        <v>8704933</v>
      </c>
      <c r="L348" s="2" t="s">
        <v>15</v>
      </c>
    </row>
    <row r="349" spans="1:12" x14ac:dyDescent="0.25">
      <c r="A349" s="2" t="str">
        <f t="shared" si="5"/>
        <v>APP348</v>
      </c>
      <c r="B349" s="2">
        <v>57</v>
      </c>
      <c r="C349" s="2">
        <v>1986400</v>
      </c>
      <c r="D349" s="2" t="s">
        <v>12</v>
      </c>
      <c r="E349" s="2">
        <v>27</v>
      </c>
      <c r="F349" s="2">
        <v>427</v>
      </c>
      <c r="G349" s="2">
        <v>5</v>
      </c>
      <c r="H349" s="2">
        <v>187439</v>
      </c>
      <c r="I349" s="2">
        <v>28</v>
      </c>
      <c r="J349" s="2">
        <v>57610</v>
      </c>
      <c r="K349" s="2">
        <v>1901609</v>
      </c>
      <c r="L349" s="2" t="s">
        <v>13</v>
      </c>
    </row>
    <row r="350" spans="1:12" x14ac:dyDescent="0.25">
      <c r="A350" s="2" t="str">
        <f t="shared" si="5"/>
        <v>APP349</v>
      </c>
      <c r="B350" s="2">
        <v>27</v>
      </c>
      <c r="C350" s="2">
        <v>396234</v>
      </c>
      <c r="D350" s="2" t="s">
        <v>12</v>
      </c>
      <c r="E350" s="2">
        <v>17</v>
      </c>
      <c r="F350" s="2">
        <v>740</v>
      </c>
      <c r="G350" s="2">
        <v>5</v>
      </c>
      <c r="H350" s="2">
        <v>4520526</v>
      </c>
      <c r="I350" s="2">
        <v>16</v>
      </c>
      <c r="J350" s="2">
        <v>25768</v>
      </c>
      <c r="K350" s="2">
        <v>6614070</v>
      </c>
      <c r="L350" s="2" t="s">
        <v>13</v>
      </c>
    </row>
    <row r="351" spans="1:12" x14ac:dyDescent="0.25">
      <c r="A351" s="2" t="str">
        <f t="shared" si="5"/>
        <v>APP350</v>
      </c>
      <c r="B351" s="2">
        <v>60</v>
      </c>
      <c r="C351" s="2">
        <v>2060361</v>
      </c>
      <c r="D351" s="2" t="s">
        <v>12</v>
      </c>
      <c r="E351" s="2">
        <v>9</v>
      </c>
      <c r="F351" s="2">
        <v>465</v>
      </c>
      <c r="G351" s="2">
        <v>4</v>
      </c>
      <c r="H351" s="2">
        <v>2729664</v>
      </c>
      <c r="I351" s="2">
        <v>27</v>
      </c>
      <c r="J351" s="2">
        <v>53583</v>
      </c>
      <c r="K351" s="2">
        <v>5238984</v>
      </c>
      <c r="L351" s="2" t="s">
        <v>13</v>
      </c>
    </row>
    <row r="352" spans="1:12" x14ac:dyDescent="0.25">
      <c r="A352" s="2" t="str">
        <f t="shared" si="5"/>
        <v>APP351</v>
      </c>
      <c r="B352" s="2">
        <v>49</v>
      </c>
      <c r="C352" s="2">
        <v>1776735</v>
      </c>
      <c r="D352" s="2" t="s">
        <v>14</v>
      </c>
      <c r="E352" s="2">
        <v>21</v>
      </c>
      <c r="F352" s="2">
        <v>358</v>
      </c>
      <c r="G352" s="2">
        <v>2</v>
      </c>
      <c r="H352" s="2">
        <v>2640622</v>
      </c>
      <c r="I352" s="2">
        <v>9</v>
      </c>
      <c r="J352" s="2">
        <v>66930</v>
      </c>
      <c r="K352" s="2">
        <v>2799089</v>
      </c>
      <c r="L352" s="2" t="s">
        <v>13</v>
      </c>
    </row>
    <row r="353" spans="1:12" x14ac:dyDescent="0.25">
      <c r="A353" s="2" t="str">
        <f t="shared" si="5"/>
        <v>APP352</v>
      </c>
      <c r="B353" s="2">
        <v>54</v>
      </c>
      <c r="C353" s="2">
        <v>1069830</v>
      </c>
      <c r="D353" s="2" t="s">
        <v>14</v>
      </c>
      <c r="E353" s="2">
        <v>5</v>
      </c>
      <c r="F353" s="2">
        <v>457</v>
      </c>
      <c r="G353" s="2">
        <v>5</v>
      </c>
      <c r="H353" s="2">
        <v>205945</v>
      </c>
      <c r="I353" s="2">
        <v>4</v>
      </c>
      <c r="J353" s="2">
        <v>27794</v>
      </c>
      <c r="K353" s="2">
        <v>8918317</v>
      </c>
      <c r="L353" s="2" t="s">
        <v>13</v>
      </c>
    </row>
    <row r="354" spans="1:12" x14ac:dyDescent="0.25">
      <c r="A354" s="2" t="str">
        <f t="shared" si="5"/>
        <v>APP353</v>
      </c>
      <c r="B354" s="2">
        <v>48</v>
      </c>
      <c r="C354" s="2">
        <v>618256</v>
      </c>
      <c r="D354" s="2" t="s">
        <v>16</v>
      </c>
      <c r="E354" s="2">
        <v>14</v>
      </c>
      <c r="F354" s="2">
        <v>570</v>
      </c>
      <c r="G354" s="2">
        <v>1</v>
      </c>
      <c r="H354" s="2">
        <v>1799547</v>
      </c>
      <c r="I354" s="2">
        <v>3</v>
      </c>
      <c r="J354" s="2">
        <v>50596</v>
      </c>
      <c r="K354" s="2">
        <v>9503914</v>
      </c>
      <c r="L354" s="2" t="s">
        <v>13</v>
      </c>
    </row>
    <row r="355" spans="1:12" x14ac:dyDescent="0.25">
      <c r="A355" s="2" t="str">
        <f t="shared" si="5"/>
        <v>APP354</v>
      </c>
      <c r="B355" s="2">
        <v>29</v>
      </c>
      <c r="C355" s="2">
        <v>759562</v>
      </c>
      <c r="D355" s="2" t="s">
        <v>12</v>
      </c>
      <c r="E355" s="2">
        <v>8</v>
      </c>
      <c r="F355" s="2">
        <v>774</v>
      </c>
      <c r="G355" s="2">
        <v>1</v>
      </c>
      <c r="H355" s="2">
        <v>3556424</v>
      </c>
      <c r="I355" s="2">
        <v>1</v>
      </c>
      <c r="J355" s="2">
        <v>40418</v>
      </c>
      <c r="K355" s="2">
        <v>4930905</v>
      </c>
      <c r="L355" s="2" t="s">
        <v>13</v>
      </c>
    </row>
    <row r="356" spans="1:12" x14ac:dyDescent="0.25">
      <c r="A356" s="2" t="str">
        <f t="shared" si="5"/>
        <v>APP355</v>
      </c>
      <c r="B356" s="2">
        <v>42</v>
      </c>
      <c r="C356" s="2">
        <v>806753</v>
      </c>
      <c r="D356" s="2" t="s">
        <v>16</v>
      </c>
      <c r="E356" s="2">
        <v>9</v>
      </c>
      <c r="F356" s="2">
        <v>669</v>
      </c>
      <c r="G356" s="2">
        <v>3</v>
      </c>
      <c r="H356" s="2">
        <v>823777</v>
      </c>
      <c r="I356" s="2">
        <v>24</v>
      </c>
      <c r="J356" s="2">
        <v>76800</v>
      </c>
      <c r="K356" s="2">
        <v>4456730</v>
      </c>
      <c r="L356" s="2" t="s">
        <v>13</v>
      </c>
    </row>
    <row r="357" spans="1:12" x14ac:dyDescent="0.25">
      <c r="A357" s="2" t="str">
        <f t="shared" si="5"/>
        <v>APP356</v>
      </c>
      <c r="B357" s="2">
        <v>50</v>
      </c>
      <c r="C357" s="2">
        <v>2430316</v>
      </c>
      <c r="D357" s="2" t="s">
        <v>14</v>
      </c>
      <c r="E357" s="2">
        <v>24</v>
      </c>
      <c r="F357" s="2">
        <v>789</v>
      </c>
      <c r="G357" s="2">
        <v>4</v>
      </c>
      <c r="H357" s="2">
        <v>2424225</v>
      </c>
      <c r="I357" s="2">
        <v>23</v>
      </c>
      <c r="J357" s="2">
        <v>6443</v>
      </c>
      <c r="K357" s="2">
        <v>7582096</v>
      </c>
      <c r="L357" s="2" t="s">
        <v>13</v>
      </c>
    </row>
    <row r="358" spans="1:12" x14ac:dyDescent="0.25">
      <c r="A358" s="2" t="str">
        <f t="shared" si="5"/>
        <v>APP357</v>
      </c>
      <c r="B358" s="2">
        <v>31</v>
      </c>
      <c r="C358" s="2">
        <v>792115</v>
      </c>
      <c r="D358" s="2" t="s">
        <v>16</v>
      </c>
      <c r="E358" s="2">
        <v>19</v>
      </c>
      <c r="F358" s="2">
        <v>665</v>
      </c>
      <c r="G358" s="2">
        <v>0</v>
      </c>
      <c r="H358" s="2">
        <v>2003664</v>
      </c>
      <c r="I358" s="2">
        <v>1</v>
      </c>
      <c r="J358" s="2">
        <v>9499</v>
      </c>
      <c r="K358" s="2">
        <v>8467933</v>
      </c>
      <c r="L358" s="2" t="s">
        <v>13</v>
      </c>
    </row>
    <row r="359" spans="1:12" x14ac:dyDescent="0.25">
      <c r="A359" s="2" t="str">
        <f t="shared" si="5"/>
        <v>APP358</v>
      </c>
      <c r="B359" s="2">
        <v>38</v>
      </c>
      <c r="C359" s="2">
        <v>2001229</v>
      </c>
      <c r="D359" s="2" t="s">
        <v>16</v>
      </c>
      <c r="E359" s="2">
        <v>0</v>
      </c>
      <c r="F359" s="2">
        <v>636</v>
      </c>
      <c r="G359" s="2">
        <v>4</v>
      </c>
      <c r="H359" s="2">
        <v>3210013</v>
      </c>
      <c r="I359" s="2">
        <v>3</v>
      </c>
      <c r="J359" s="2">
        <v>32059</v>
      </c>
      <c r="K359" s="2">
        <v>4736279</v>
      </c>
      <c r="L359" s="2" t="s">
        <v>13</v>
      </c>
    </row>
    <row r="360" spans="1:12" x14ac:dyDescent="0.25">
      <c r="A360" s="2" t="str">
        <f t="shared" si="5"/>
        <v>APP359</v>
      </c>
      <c r="B360" s="2">
        <v>24</v>
      </c>
      <c r="C360" s="2">
        <v>1160036</v>
      </c>
      <c r="D360" s="2" t="s">
        <v>14</v>
      </c>
      <c r="E360" s="2">
        <v>32</v>
      </c>
      <c r="F360" s="2">
        <v>350</v>
      </c>
      <c r="G360" s="2">
        <v>5</v>
      </c>
      <c r="H360" s="2">
        <v>2468934</v>
      </c>
      <c r="I360" s="2">
        <v>1</v>
      </c>
      <c r="J360" s="2">
        <v>23849</v>
      </c>
      <c r="K360" s="2">
        <v>4084024</v>
      </c>
      <c r="L360" s="2" t="s">
        <v>13</v>
      </c>
    </row>
    <row r="361" spans="1:12" x14ac:dyDescent="0.25">
      <c r="A361" s="2" t="str">
        <f t="shared" si="5"/>
        <v>APP360</v>
      </c>
      <c r="B361" s="2">
        <v>22</v>
      </c>
      <c r="C361" s="2">
        <v>978227</v>
      </c>
      <c r="D361" s="2" t="s">
        <v>14</v>
      </c>
      <c r="E361" s="2">
        <v>13</v>
      </c>
      <c r="F361" s="2">
        <v>471</v>
      </c>
      <c r="G361" s="2">
        <v>5</v>
      </c>
      <c r="H361" s="2">
        <v>2099399</v>
      </c>
      <c r="I361" s="2">
        <v>20</v>
      </c>
      <c r="J361" s="2">
        <v>43915</v>
      </c>
      <c r="K361" s="2">
        <v>6809265</v>
      </c>
      <c r="L361" s="2" t="s">
        <v>13</v>
      </c>
    </row>
    <row r="362" spans="1:12" x14ac:dyDescent="0.25">
      <c r="A362" s="2" t="str">
        <f t="shared" si="5"/>
        <v>APP361</v>
      </c>
      <c r="B362" s="2">
        <v>49</v>
      </c>
      <c r="C362" s="2">
        <v>499277</v>
      </c>
      <c r="D362" s="2" t="s">
        <v>12</v>
      </c>
      <c r="E362" s="2">
        <v>17</v>
      </c>
      <c r="F362" s="2">
        <v>868</v>
      </c>
      <c r="G362" s="2">
        <v>1</v>
      </c>
      <c r="H362" s="2">
        <v>1562296</v>
      </c>
      <c r="I362" s="2">
        <v>16</v>
      </c>
      <c r="J362" s="2">
        <v>45912</v>
      </c>
      <c r="K362" s="2">
        <v>6716629</v>
      </c>
      <c r="L362" s="2" t="s">
        <v>15</v>
      </c>
    </row>
    <row r="363" spans="1:12" x14ac:dyDescent="0.25">
      <c r="A363" s="2" t="str">
        <f t="shared" si="5"/>
        <v>APP362</v>
      </c>
      <c r="B363" s="2">
        <v>42</v>
      </c>
      <c r="C363" s="2">
        <v>1699072</v>
      </c>
      <c r="D363" s="2" t="s">
        <v>12</v>
      </c>
      <c r="E363" s="2">
        <v>29</v>
      </c>
      <c r="F363" s="2">
        <v>634</v>
      </c>
      <c r="G363" s="2">
        <v>4</v>
      </c>
      <c r="H363" s="2">
        <v>653782</v>
      </c>
      <c r="I363" s="2">
        <v>17</v>
      </c>
      <c r="J363" s="2">
        <v>79331</v>
      </c>
      <c r="K363" s="2">
        <v>3075861</v>
      </c>
      <c r="L363" s="2" t="s">
        <v>13</v>
      </c>
    </row>
    <row r="364" spans="1:12" x14ac:dyDescent="0.25">
      <c r="A364" s="2" t="str">
        <f t="shared" si="5"/>
        <v>APP363</v>
      </c>
      <c r="B364" s="2">
        <v>45</v>
      </c>
      <c r="C364" s="2">
        <v>1265817</v>
      </c>
      <c r="D364" s="2" t="s">
        <v>12</v>
      </c>
      <c r="E364" s="2">
        <v>9</v>
      </c>
      <c r="F364" s="2">
        <v>839</v>
      </c>
      <c r="G364" s="2">
        <v>1</v>
      </c>
      <c r="H364" s="2">
        <v>1902190</v>
      </c>
      <c r="I364" s="2">
        <v>12</v>
      </c>
      <c r="J364" s="2">
        <v>25486</v>
      </c>
      <c r="K364" s="2">
        <v>3588357</v>
      </c>
      <c r="L364" s="2" t="s">
        <v>13</v>
      </c>
    </row>
    <row r="365" spans="1:12" x14ac:dyDescent="0.25">
      <c r="A365" s="2" t="str">
        <f t="shared" si="5"/>
        <v>APP364</v>
      </c>
      <c r="B365" s="2">
        <v>60</v>
      </c>
      <c r="C365" s="2">
        <v>1724558</v>
      </c>
      <c r="D365" s="2" t="s">
        <v>12</v>
      </c>
      <c r="E365" s="2">
        <v>3</v>
      </c>
      <c r="F365" s="2">
        <v>791</v>
      </c>
      <c r="G365" s="2">
        <v>2</v>
      </c>
      <c r="H365" s="2">
        <v>3243538</v>
      </c>
      <c r="I365" s="2">
        <v>3</v>
      </c>
      <c r="J365" s="2">
        <v>52601</v>
      </c>
      <c r="K365" s="2">
        <v>7699301</v>
      </c>
      <c r="L365" s="2" t="s">
        <v>15</v>
      </c>
    </row>
    <row r="366" spans="1:12" x14ac:dyDescent="0.25">
      <c r="A366" s="2" t="str">
        <f t="shared" si="5"/>
        <v>APP365</v>
      </c>
      <c r="B366" s="2">
        <v>61</v>
      </c>
      <c r="C366" s="2">
        <v>1881535</v>
      </c>
      <c r="D366" s="2" t="s">
        <v>12</v>
      </c>
      <c r="E366" s="2">
        <v>1</v>
      </c>
      <c r="F366" s="2">
        <v>864</v>
      </c>
      <c r="G366" s="2">
        <v>1</v>
      </c>
      <c r="H366" s="2">
        <v>3800806</v>
      </c>
      <c r="I366" s="2">
        <v>20</v>
      </c>
      <c r="J366" s="2">
        <v>73060</v>
      </c>
      <c r="K366" s="2">
        <v>8104448</v>
      </c>
      <c r="L366" s="2" t="s">
        <v>13</v>
      </c>
    </row>
    <row r="367" spans="1:12" x14ac:dyDescent="0.25">
      <c r="A367" s="2" t="str">
        <f t="shared" si="5"/>
        <v>APP366</v>
      </c>
      <c r="B367" s="2">
        <v>42</v>
      </c>
      <c r="C367" s="2">
        <v>497013</v>
      </c>
      <c r="D367" s="2" t="s">
        <v>16</v>
      </c>
      <c r="E367" s="2">
        <v>29</v>
      </c>
      <c r="F367" s="2">
        <v>774</v>
      </c>
      <c r="G367" s="2">
        <v>5</v>
      </c>
      <c r="H367" s="2">
        <v>2298991</v>
      </c>
      <c r="I367" s="2">
        <v>18</v>
      </c>
      <c r="J367" s="2">
        <v>1548</v>
      </c>
      <c r="K367" s="2">
        <v>2591081</v>
      </c>
      <c r="L367" s="2" t="s">
        <v>13</v>
      </c>
    </row>
    <row r="368" spans="1:12" x14ac:dyDescent="0.25">
      <c r="A368" s="2" t="str">
        <f t="shared" si="5"/>
        <v>APP367</v>
      </c>
      <c r="B368" s="2">
        <v>24</v>
      </c>
      <c r="C368" s="2">
        <v>532964</v>
      </c>
      <c r="D368" s="2" t="s">
        <v>12</v>
      </c>
      <c r="E368" s="2">
        <v>31</v>
      </c>
      <c r="F368" s="2">
        <v>751</v>
      </c>
      <c r="G368" s="2">
        <v>3</v>
      </c>
      <c r="H368" s="2">
        <v>1452134</v>
      </c>
      <c r="I368" s="2">
        <v>2</v>
      </c>
      <c r="J368" s="2">
        <v>50618</v>
      </c>
      <c r="K368" s="2">
        <v>4992945</v>
      </c>
      <c r="L368" s="2" t="s">
        <v>13</v>
      </c>
    </row>
    <row r="369" spans="1:12" x14ac:dyDescent="0.25">
      <c r="A369" s="2" t="str">
        <f t="shared" si="5"/>
        <v>APP368</v>
      </c>
      <c r="B369" s="2">
        <v>23</v>
      </c>
      <c r="C369" s="2">
        <v>701229</v>
      </c>
      <c r="D369" s="2" t="s">
        <v>14</v>
      </c>
      <c r="E369" s="2">
        <v>6</v>
      </c>
      <c r="F369" s="2">
        <v>598</v>
      </c>
      <c r="G369" s="2">
        <v>0</v>
      </c>
      <c r="H369" s="2">
        <v>575921</v>
      </c>
      <c r="I369" s="2">
        <v>12</v>
      </c>
      <c r="J369" s="2">
        <v>29127</v>
      </c>
      <c r="K369" s="2">
        <v>4714711</v>
      </c>
      <c r="L369" s="2" t="s">
        <v>13</v>
      </c>
    </row>
    <row r="370" spans="1:12" x14ac:dyDescent="0.25">
      <c r="A370" s="2" t="str">
        <f t="shared" si="5"/>
        <v>APP369</v>
      </c>
      <c r="B370" s="2">
        <v>56</v>
      </c>
      <c r="C370" s="2">
        <v>2486498</v>
      </c>
      <c r="D370" s="2" t="s">
        <v>12</v>
      </c>
      <c r="E370" s="2">
        <v>19</v>
      </c>
      <c r="F370" s="2">
        <v>362</v>
      </c>
      <c r="G370" s="2">
        <v>0</v>
      </c>
      <c r="H370" s="2">
        <v>610377</v>
      </c>
      <c r="I370" s="2">
        <v>27</v>
      </c>
      <c r="J370" s="2">
        <v>58458</v>
      </c>
      <c r="K370" s="2">
        <v>7969756</v>
      </c>
      <c r="L370" s="2" t="s">
        <v>13</v>
      </c>
    </row>
    <row r="371" spans="1:12" x14ac:dyDescent="0.25">
      <c r="A371" s="2" t="str">
        <f t="shared" si="5"/>
        <v>APP370</v>
      </c>
      <c r="B371" s="2">
        <v>55</v>
      </c>
      <c r="C371" s="2">
        <v>1265663</v>
      </c>
      <c r="D371" s="2" t="s">
        <v>14</v>
      </c>
      <c r="E371" s="2">
        <v>17</v>
      </c>
      <c r="F371" s="2">
        <v>642</v>
      </c>
      <c r="G371" s="2">
        <v>5</v>
      </c>
      <c r="H371" s="2">
        <v>3840491</v>
      </c>
      <c r="I371" s="2">
        <v>28</v>
      </c>
      <c r="J371" s="2">
        <v>56506</v>
      </c>
      <c r="K371" s="2">
        <v>5620261</v>
      </c>
      <c r="L371" s="2" t="s">
        <v>13</v>
      </c>
    </row>
    <row r="372" spans="1:12" x14ac:dyDescent="0.25">
      <c r="A372" s="2" t="str">
        <f t="shared" si="5"/>
        <v>APP371</v>
      </c>
      <c r="B372" s="2">
        <v>43</v>
      </c>
      <c r="C372" s="2">
        <v>1602508</v>
      </c>
      <c r="D372" s="2" t="s">
        <v>16</v>
      </c>
      <c r="E372" s="2">
        <v>32</v>
      </c>
      <c r="F372" s="2">
        <v>799</v>
      </c>
      <c r="G372" s="2">
        <v>5</v>
      </c>
      <c r="H372" s="2">
        <v>3616043</v>
      </c>
      <c r="I372" s="2">
        <v>3</v>
      </c>
      <c r="J372" s="2">
        <v>44592</v>
      </c>
      <c r="K372" s="2">
        <v>7457762</v>
      </c>
      <c r="L372" s="2" t="s">
        <v>13</v>
      </c>
    </row>
    <row r="373" spans="1:12" x14ac:dyDescent="0.25">
      <c r="A373" s="2" t="str">
        <f t="shared" si="5"/>
        <v>APP372</v>
      </c>
      <c r="B373" s="2">
        <v>60</v>
      </c>
      <c r="C373" s="2">
        <v>2394822</v>
      </c>
      <c r="D373" s="2" t="s">
        <v>14</v>
      </c>
      <c r="E373" s="2">
        <v>14</v>
      </c>
      <c r="F373" s="2">
        <v>887</v>
      </c>
      <c r="G373" s="2">
        <v>2</v>
      </c>
      <c r="H373" s="2">
        <v>652656</v>
      </c>
      <c r="I373" s="2">
        <v>16</v>
      </c>
      <c r="J373" s="2">
        <v>58692</v>
      </c>
      <c r="K373" s="2">
        <v>2463334</v>
      </c>
      <c r="L373" s="2" t="s">
        <v>13</v>
      </c>
    </row>
    <row r="374" spans="1:12" x14ac:dyDescent="0.25">
      <c r="A374" s="2" t="str">
        <f t="shared" si="5"/>
        <v>APP373</v>
      </c>
      <c r="B374" s="2">
        <v>33</v>
      </c>
      <c r="C374" s="2">
        <v>508293</v>
      </c>
      <c r="D374" s="2" t="s">
        <v>16</v>
      </c>
      <c r="E374" s="2">
        <v>15</v>
      </c>
      <c r="F374" s="2">
        <v>370</v>
      </c>
      <c r="G374" s="2">
        <v>0</v>
      </c>
      <c r="H374" s="2">
        <v>964219</v>
      </c>
      <c r="I374" s="2">
        <v>12</v>
      </c>
      <c r="J374" s="2">
        <v>73770</v>
      </c>
      <c r="K374" s="2">
        <v>4056385</v>
      </c>
      <c r="L374" s="2" t="s">
        <v>13</v>
      </c>
    </row>
    <row r="375" spans="1:12" x14ac:dyDescent="0.25">
      <c r="A375" s="2" t="str">
        <f t="shared" si="5"/>
        <v>APP374</v>
      </c>
      <c r="B375" s="2">
        <v>64</v>
      </c>
      <c r="C375" s="2">
        <v>539023</v>
      </c>
      <c r="D375" s="2" t="s">
        <v>16</v>
      </c>
      <c r="E375" s="2">
        <v>27</v>
      </c>
      <c r="F375" s="2">
        <v>565</v>
      </c>
      <c r="G375" s="2">
        <v>3</v>
      </c>
      <c r="H375" s="2">
        <v>3450455</v>
      </c>
      <c r="I375" s="2">
        <v>30</v>
      </c>
      <c r="J375" s="2">
        <v>56162</v>
      </c>
      <c r="K375" s="2">
        <v>6061798</v>
      </c>
      <c r="L375" s="2" t="s">
        <v>13</v>
      </c>
    </row>
    <row r="376" spans="1:12" x14ac:dyDescent="0.25">
      <c r="A376" s="2" t="str">
        <f t="shared" si="5"/>
        <v>APP375</v>
      </c>
      <c r="B376" s="2">
        <v>54</v>
      </c>
      <c r="C376" s="2">
        <v>1287396</v>
      </c>
      <c r="D376" s="2" t="s">
        <v>14</v>
      </c>
      <c r="E376" s="2">
        <v>7</v>
      </c>
      <c r="F376" s="2">
        <v>602</v>
      </c>
      <c r="G376" s="2">
        <v>2</v>
      </c>
      <c r="H376" s="2">
        <v>1747584</v>
      </c>
      <c r="I376" s="2">
        <v>29</v>
      </c>
      <c r="J376" s="2">
        <v>67568</v>
      </c>
      <c r="K376" s="2">
        <v>2947717</v>
      </c>
      <c r="L376" s="2" t="s">
        <v>13</v>
      </c>
    </row>
    <row r="377" spans="1:12" x14ac:dyDescent="0.25">
      <c r="A377" s="2" t="str">
        <f t="shared" si="5"/>
        <v>APP376</v>
      </c>
      <c r="B377" s="2">
        <v>45</v>
      </c>
      <c r="C377" s="2">
        <v>1438716</v>
      </c>
      <c r="D377" s="2" t="s">
        <v>16</v>
      </c>
      <c r="E377" s="2">
        <v>11</v>
      </c>
      <c r="F377" s="2">
        <v>525</v>
      </c>
      <c r="G377" s="2">
        <v>2</v>
      </c>
      <c r="H377" s="2">
        <v>3482550</v>
      </c>
      <c r="I377" s="2">
        <v>26</v>
      </c>
      <c r="J377" s="2">
        <v>21205</v>
      </c>
      <c r="K377" s="2">
        <v>9261401</v>
      </c>
      <c r="L377" s="2" t="s">
        <v>13</v>
      </c>
    </row>
    <row r="378" spans="1:12" x14ac:dyDescent="0.25">
      <c r="A378" s="2" t="str">
        <f t="shared" si="5"/>
        <v>APP377</v>
      </c>
      <c r="B378" s="2">
        <v>64</v>
      </c>
      <c r="C378" s="2">
        <v>617478</v>
      </c>
      <c r="D378" s="2" t="s">
        <v>14</v>
      </c>
      <c r="E378" s="2">
        <v>19</v>
      </c>
      <c r="F378" s="2">
        <v>694</v>
      </c>
      <c r="G378" s="2">
        <v>2</v>
      </c>
      <c r="H378" s="2">
        <v>4157605</v>
      </c>
      <c r="I378" s="2">
        <v>30</v>
      </c>
      <c r="J378" s="2">
        <v>33765</v>
      </c>
      <c r="K378" s="2">
        <v>5476087</v>
      </c>
      <c r="L378" s="2" t="s">
        <v>13</v>
      </c>
    </row>
    <row r="379" spans="1:12" x14ac:dyDescent="0.25">
      <c r="A379" s="2" t="str">
        <f t="shared" si="5"/>
        <v>APP378</v>
      </c>
      <c r="B379" s="2">
        <v>62</v>
      </c>
      <c r="C379" s="2">
        <v>565750</v>
      </c>
      <c r="D379" s="2" t="s">
        <v>16</v>
      </c>
      <c r="E379" s="2">
        <v>22</v>
      </c>
      <c r="F379" s="2">
        <v>867</v>
      </c>
      <c r="G379" s="2">
        <v>0</v>
      </c>
      <c r="H379" s="2">
        <v>2572495</v>
      </c>
      <c r="I379" s="2">
        <v>12</v>
      </c>
      <c r="J379" s="2">
        <v>16816</v>
      </c>
      <c r="K379" s="2">
        <v>3031365</v>
      </c>
      <c r="L379" s="2" t="s">
        <v>13</v>
      </c>
    </row>
    <row r="380" spans="1:12" x14ac:dyDescent="0.25">
      <c r="A380" s="2" t="str">
        <f t="shared" si="5"/>
        <v>APP379</v>
      </c>
      <c r="B380" s="2">
        <v>62</v>
      </c>
      <c r="C380" s="2">
        <v>1086414</v>
      </c>
      <c r="D380" s="2" t="s">
        <v>12</v>
      </c>
      <c r="E380" s="2">
        <v>15</v>
      </c>
      <c r="F380" s="2">
        <v>330</v>
      </c>
      <c r="G380" s="2">
        <v>4</v>
      </c>
      <c r="H380" s="2">
        <v>1933019</v>
      </c>
      <c r="I380" s="2">
        <v>22</v>
      </c>
      <c r="J380" s="2">
        <v>77555</v>
      </c>
      <c r="K380" s="2">
        <v>3290418</v>
      </c>
      <c r="L380" s="2" t="s">
        <v>15</v>
      </c>
    </row>
    <row r="381" spans="1:12" x14ac:dyDescent="0.25">
      <c r="A381" s="2" t="str">
        <f t="shared" si="5"/>
        <v>APP380</v>
      </c>
      <c r="B381" s="2">
        <v>26</v>
      </c>
      <c r="C381" s="2">
        <v>2309913</v>
      </c>
      <c r="D381" s="2" t="s">
        <v>12</v>
      </c>
      <c r="E381" s="2">
        <v>15</v>
      </c>
      <c r="F381" s="2">
        <v>399</v>
      </c>
      <c r="G381" s="2">
        <v>5</v>
      </c>
      <c r="H381" s="2">
        <v>3743070</v>
      </c>
      <c r="I381" s="2">
        <v>12</v>
      </c>
      <c r="J381" s="2">
        <v>34673</v>
      </c>
      <c r="K381" s="2">
        <v>1620590</v>
      </c>
      <c r="L381" s="2" t="s">
        <v>13</v>
      </c>
    </row>
    <row r="382" spans="1:12" x14ac:dyDescent="0.25">
      <c r="A382" s="2" t="str">
        <f t="shared" si="5"/>
        <v>APP381</v>
      </c>
      <c r="B382" s="2">
        <v>25</v>
      </c>
      <c r="C382" s="2">
        <v>515138</v>
      </c>
      <c r="D382" s="2" t="s">
        <v>14</v>
      </c>
      <c r="E382" s="2">
        <v>17</v>
      </c>
      <c r="F382" s="2">
        <v>777</v>
      </c>
      <c r="G382" s="2">
        <v>4</v>
      </c>
      <c r="H382" s="2">
        <v>3712730</v>
      </c>
      <c r="I382" s="2">
        <v>9</v>
      </c>
      <c r="J382" s="2">
        <v>17986</v>
      </c>
      <c r="K382" s="2">
        <v>2027541</v>
      </c>
      <c r="L382" s="2" t="s">
        <v>13</v>
      </c>
    </row>
    <row r="383" spans="1:12" x14ac:dyDescent="0.25">
      <c r="A383" s="2" t="str">
        <f t="shared" si="5"/>
        <v>APP382</v>
      </c>
      <c r="B383" s="2">
        <v>36</v>
      </c>
      <c r="C383" s="2">
        <v>2434067</v>
      </c>
      <c r="D383" s="2" t="s">
        <v>16</v>
      </c>
      <c r="E383" s="2">
        <v>8</v>
      </c>
      <c r="F383" s="2">
        <v>582</v>
      </c>
      <c r="G383" s="2">
        <v>3</v>
      </c>
      <c r="H383" s="2">
        <v>2280053</v>
      </c>
      <c r="I383" s="2">
        <v>21</v>
      </c>
      <c r="J383" s="2">
        <v>8446</v>
      </c>
      <c r="K383" s="2">
        <v>5497466</v>
      </c>
      <c r="L383" s="2" t="s">
        <v>13</v>
      </c>
    </row>
    <row r="384" spans="1:12" x14ac:dyDescent="0.25">
      <c r="A384" s="2" t="str">
        <f t="shared" si="5"/>
        <v>APP383</v>
      </c>
      <c r="B384" s="2">
        <v>38</v>
      </c>
      <c r="C384" s="2">
        <v>2349405</v>
      </c>
      <c r="D384" s="2" t="s">
        <v>14</v>
      </c>
      <c r="E384" s="2">
        <v>0</v>
      </c>
      <c r="F384" s="2">
        <v>509</v>
      </c>
      <c r="G384" s="2">
        <v>3</v>
      </c>
      <c r="H384" s="2">
        <v>3094638</v>
      </c>
      <c r="I384" s="2">
        <v>29</v>
      </c>
      <c r="J384" s="2">
        <v>18898</v>
      </c>
      <c r="K384" s="2">
        <v>6752095</v>
      </c>
      <c r="L384" s="2" t="s">
        <v>13</v>
      </c>
    </row>
    <row r="385" spans="1:12" x14ac:dyDescent="0.25">
      <c r="A385" s="2" t="str">
        <f t="shared" si="5"/>
        <v>APP384</v>
      </c>
      <c r="B385" s="2">
        <v>65</v>
      </c>
      <c r="C385" s="2">
        <v>964596</v>
      </c>
      <c r="D385" s="2" t="s">
        <v>12</v>
      </c>
      <c r="E385" s="2">
        <v>26</v>
      </c>
      <c r="F385" s="2">
        <v>495</v>
      </c>
      <c r="G385" s="2">
        <v>1</v>
      </c>
      <c r="H385" s="2">
        <v>1674631</v>
      </c>
      <c r="I385" s="2">
        <v>5</v>
      </c>
      <c r="J385" s="2">
        <v>30604</v>
      </c>
      <c r="K385" s="2">
        <v>8283077</v>
      </c>
      <c r="L385" s="2" t="s">
        <v>13</v>
      </c>
    </row>
    <row r="386" spans="1:12" x14ac:dyDescent="0.25">
      <c r="A386" s="2" t="str">
        <f t="shared" si="5"/>
        <v>APP385</v>
      </c>
      <c r="B386" s="2">
        <v>40</v>
      </c>
      <c r="C386" s="2">
        <v>2359786</v>
      </c>
      <c r="D386" s="2" t="s">
        <v>12</v>
      </c>
      <c r="E386" s="2">
        <v>28</v>
      </c>
      <c r="F386" s="2">
        <v>422</v>
      </c>
      <c r="G386" s="2">
        <v>5</v>
      </c>
      <c r="H386" s="2">
        <v>4394258</v>
      </c>
      <c r="I386" s="2">
        <v>15</v>
      </c>
      <c r="J386" s="2">
        <v>79468</v>
      </c>
      <c r="K386" s="2">
        <v>5234401</v>
      </c>
      <c r="L386" s="2" t="s">
        <v>13</v>
      </c>
    </row>
    <row r="387" spans="1:12" x14ac:dyDescent="0.25">
      <c r="A387" s="2" t="str">
        <f t="shared" ref="A387:A450" si="6">"APP"&amp;TEXT(ROW()-1,"000")</f>
        <v>APP386</v>
      </c>
      <c r="B387" s="2">
        <v>44</v>
      </c>
      <c r="C387" s="2">
        <v>2418490</v>
      </c>
      <c r="D387" s="2" t="s">
        <v>16</v>
      </c>
      <c r="E387" s="2">
        <v>20</v>
      </c>
      <c r="F387" s="2">
        <v>719</v>
      </c>
      <c r="G387" s="2">
        <v>5</v>
      </c>
      <c r="H387" s="2">
        <v>3294498</v>
      </c>
      <c r="I387" s="2">
        <v>6</v>
      </c>
      <c r="J387" s="2">
        <v>45186</v>
      </c>
      <c r="K387" s="2">
        <v>8680629</v>
      </c>
      <c r="L387" s="2" t="s">
        <v>13</v>
      </c>
    </row>
    <row r="388" spans="1:12" x14ac:dyDescent="0.25">
      <c r="A388" s="2" t="str">
        <f t="shared" si="6"/>
        <v>APP387</v>
      </c>
      <c r="B388" s="2">
        <v>24</v>
      </c>
      <c r="C388" s="2">
        <v>170594</v>
      </c>
      <c r="D388" s="2" t="s">
        <v>12</v>
      </c>
      <c r="E388" s="2">
        <v>3</v>
      </c>
      <c r="F388" s="2">
        <v>446</v>
      </c>
      <c r="G388" s="2">
        <v>3</v>
      </c>
      <c r="H388" s="2">
        <v>1582298</v>
      </c>
      <c r="I388" s="2">
        <v>8</v>
      </c>
      <c r="J388" s="2">
        <v>33278</v>
      </c>
      <c r="K388" s="2">
        <v>5669763</v>
      </c>
      <c r="L388" s="2" t="s">
        <v>13</v>
      </c>
    </row>
    <row r="389" spans="1:12" x14ac:dyDescent="0.25">
      <c r="A389" s="2" t="str">
        <f t="shared" si="6"/>
        <v>APP388</v>
      </c>
      <c r="B389" s="2">
        <v>47</v>
      </c>
      <c r="C389" s="2">
        <v>1197209</v>
      </c>
      <c r="D389" s="2" t="s">
        <v>12</v>
      </c>
      <c r="E389" s="2">
        <v>6</v>
      </c>
      <c r="F389" s="2">
        <v>446</v>
      </c>
      <c r="G389" s="2">
        <v>0</v>
      </c>
      <c r="H389" s="2">
        <v>4155186</v>
      </c>
      <c r="I389" s="2">
        <v>10</v>
      </c>
      <c r="J389" s="2">
        <v>546</v>
      </c>
      <c r="K389" s="2">
        <v>6772462</v>
      </c>
      <c r="L389" s="2" t="s">
        <v>13</v>
      </c>
    </row>
    <row r="390" spans="1:12" x14ac:dyDescent="0.25">
      <c r="A390" s="2" t="str">
        <f t="shared" si="6"/>
        <v>APP389</v>
      </c>
      <c r="B390" s="2">
        <v>29</v>
      </c>
      <c r="C390" s="2">
        <v>1076407</v>
      </c>
      <c r="D390" s="2" t="s">
        <v>16</v>
      </c>
      <c r="E390" s="2">
        <v>35</v>
      </c>
      <c r="F390" s="2">
        <v>839</v>
      </c>
      <c r="G390" s="2">
        <v>5</v>
      </c>
      <c r="H390" s="2">
        <v>2646697</v>
      </c>
      <c r="I390" s="2">
        <v>17</v>
      </c>
      <c r="J390" s="2">
        <v>39196</v>
      </c>
      <c r="K390" s="2">
        <v>3698760</v>
      </c>
      <c r="L390" s="2" t="s">
        <v>15</v>
      </c>
    </row>
    <row r="391" spans="1:12" x14ac:dyDescent="0.25">
      <c r="A391" s="2" t="str">
        <f t="shared" si="6"/>
        <v>APP390</v>
      </c>
      <c r="B391" s="2">
        <v>28</v>
      </c>
      <c r="C391" s="2">
        <v>320437</v>
      </c>
      <c r="D391" s="2" t="s">
        <v>16</v>
      </c>
      <c r="E391" s="2">
        <v>15</v>
      </c>
      <c r="F391" s="2">
        <v>425</v>
      </c>
      <c r="G391" s="2">
        <v>4</v>
      </c>
      <c r="H391" s="2">
        <v>4983664</v>
      </c>
      <c r="I391" s="2">
        <v>2</v>
      </c>
      <c r="J391" s="2">
        <v>20977</v>
      </c>
      <c r="K391" s="2">
        <v>2805773</v>
      </c>
      <c r="L391" s="2" t="s">
        <v>15</v>
      </c>
    </row>
    <row r="392" spans="1:12" x14ac:dyDescent="0.25">
      <c r="A392" s="2" t="str">
        <f t="shared" si="6"/>
        <v>APP391</v>
      </c>
      <c r="B392" s="2">
        <v>48</v>
      </c>
      <c r="C392" s="2">
        <v>947462</v>
      </c>
      <c r="D392" s="2" t="s">
        <v>14</v>
      </c>
      <c r="E392" s="2">
        <v>32</v>
      </c>
      <c r="F392" s="2">
        <v>472</v>
      </c>
      <c r="G392" s="2">
        <v>3</v>
      </c>
      <c r="H392" s="2">
        <v>3688495</v>
      </c>
      <c r="I392" s="2">
        <v>11</v>
      </c>
      <c r="J392" s="2">
        <v>39206</v>
      </c>
      <c r="K392" s="2">
        <v>8925712</v>
      </c>
      <c r="L392" s="2" t="s">
        <v>13</v>
      </c>
    </row>
    <row r="393" spans="1:12" x14ac:dyDescent="0.25">
      <c r="A393" s="2" t="str">
        <f t="shared" si="6"/>
        <v>APP392</v>
      </c>
      <c r="B393" s="2">
        <v>30</v>
      </c>
      <c r="C393" s="2">
        <v>1692921</v>
      </c>
      <c r="D393" s="2" t="s">
        <v>16</v>
      </c>
      <c r="E393" s="2">
        <v>8</v>
      </c>
      <c r="F393" s="2">
        <v>588</v>
      </c>
      <c r="G393" s="2">
        <v>3</v>
      </c>
      <c r="H393" s="2">
        <v>491297</v>
      </c>
      <c r="I393" s="2">
        <v>7</v>
      </c>
      <c r="J393" s="2">
        <v>30142</v>
      </c>
      <c r="K393" s="2">
        <v>8343212</v>
      </c>
      <c r="L393" s="2" t="s">
        <v>13</v>
      </c>
    </row>
    <row r="394" spans="1:12" x14ac:dyDescent="0.25">
      <c r="A394" s="2" t="str">
        <f t="shared" si="6"/>
        <v>APP393</v>
      </c>
      <c r="B394" s="2">
        <v>29</v>
      </c>
      <c r="C394" s="2">
        <v>885734</v>
      </c>
      <c r="D394" s="2" t="s">
        <v>14</v>
      </c>
      <c r="E394" s="2">
        <v>14</v>
      </c>
      <c r="F394" s="2">
        <v>822</v>
      </c>
      <c r="G394" s="2">
        <v>2</v>
      </c>
      <c r="H394" s="2">
        <v>4129964</v>
      </c>
      <c r="I394" s="2">
        <v>28</v>
      </c>
      <c r="J394" s="2">
        <v>20941</v>
      </c>
      <c r="K394" s="2">
        <v>6222993</v>
      </c>
      <c r="L394" s="2" t="s">
        <v>15</v>
      </c>
    </row>
    <row r="395" spans="1:12" x14ac:dyDescent="0.25">
      <c r="A395" s="2" t="str">
        <f t="shared" si="6"/>
        <v>APP394</v>
      </c>
      <c r="B395" s="2">
        <v>21</v>
      </c>
      <c r="C395" s="2">
        <v>875217</v>
      </c>
      <c r="D395" s="2" t="s">
        <v>12</v>
      </c>
      <c r="E395" s="2">
        <v>9</v>
      </c>
      <c r="F395" s="2">
        <v>648</v>
      </c>
      <c r="G395" s="2">
        <v>3</v>
      </c>
      <c r="H395" s="2">
        <v>1348980</v>
      </c>
      <c r="I395" s="2">
        <v>18</v>
      </c>
      <c r="J395" s="2">
        <v>30926</v>
      </c>
      <c r="K395" s="2">
        <v>8909116</v>
      </c>
      <c r="L395" s="2" t="s">
        <v>13</v>
      </c>
    </row>
    <row r="396" spans="1:12" x14ac:dyDescent="0.25">
      <c r="A396" s="2" t="str">
        <f t="shared" si="6"/>
        <v>APP395</v>
      </c>
      <c r="B396" s="2">
        <v>47</v>
      </c>
      <c r="C396" s="2">
        <v>1339571</v>
      </c>
      <c r="D396" s="2" t="s">
        <v>16</v>
      </c>
      <c r="E396" s="2">
        <v>18</v>
      </c>
      <c r="F396" s="2">
        <v>398</v>
      </c>
      <c r="G396" s="2">
        <v>1</v>
      </c>
      <c r="H396" s="2">
        <v>4064579</v>
      </c>
      <c r="I396" s="2">
        <v>4</v>
      </c>
      <c r="J396" s="2">
        <v>6316</v>
      </c>
      <c r="K396" s="2">
        <v>1588021</v>
      </c>
      <c r="L396" s="2" t="s">
        <v>15</v>
      </c>
    </row>
    <row r="397" spans="1:12" x14ac:dyDescent="0.25">
      <c r="A397" s="2" t="str">
        <f t="shared" si="6"/>
        <v>APP396</v>
      </c>
      <c r="B397" s="2">
        <v>51</v>
      </c>
      <c r="C397" s="2">
        <v>2007699</v>
      </c>
      <c r="D397" s="2" t="s">
        <v>16</v>
      </c>
      <c r="E397" s="2">
        <v>0</v>
      </c>
      <c r="F397" s="2">
        <v>373</v>
      </c>
      <c r="G397" s="2">
        <v>2</v>
      </c>
      <c r="H397" s="2">
        <v>910414</v>
      </c>
      <c r="I397" s="2">
        <v>8</v>
      </c>
      <c r="J397" s="2">
        <v>39319</v>
      </c>
      <c r="K397" s="2">
        <v>524868</v>
      </c>
      <c r="L397" s="2" t="s">
        <v>13</v>
      </c>
    </row>
    <row r="398" spans="1:12" x14ac:dyDescent="0.25">
      <c r="A398" s="2" t="str">
        <f t="shared" si="6"/>
        <v>APP397</v>
      </c>
      <c r="B398" s="2">
        <v>38</v>
      </c>
      <c r="C398" s="2">
        <v>830830</v>
      </c>
      <c r="D398" s="2" t="s">
        <v>16</v>
      </c>
      <c r="E398" s="2">
        <v>11</v>
      </c>
      <c r="F398" s="2">
        <v>761</v>
      </c>
      <c r="G398" s="2">
        <v>1</v>
      </c>
      <c r="H398" s="2">
        <v>1123907</v>
      </c>
      <c r="I398" s="2">
        <v>14</v>
      </c>
      <c r="J398" s="2">
        <v>2522</v>
      </c>
      <c r="K398" s="2">
        <v>3884356</v>
      </c>
      <c r="L398" s="2" t="s">
        <v>13</v>
      </c>
    </row>
    <row r="399" spans="1:12" x14ac:dyDescent="0.25">
      <c r="A399" s="2" t="str">
        <f t="shared" si="6"/>
        <v>APP398</v>
      </c>
      <c r="B399" s="2">
        <v>55</v>
      </c>
      <c r="C399" s="2">
        <v>1210462</v>
      </c>
      <c r="D399" s="2" t="s">
        <v>12</v>
      </c>
      <c r="E399" s="2">
        <v>35</v>
      </c>
      <c r="F399" s="2">
        <v>745</v>
      </c>
      <c r="G399" s="2">
        <v>5</v>
      </c>
      <c r="H399" s="2">
        <v>4783892</v>
      </c>
      <c r="I399" s="2">
        <v>24</v>
      </c>
      <c r="J399" s="2">
        <v>64696</v>
      </c>
      <c r="K399" s="2">
        <v>5033536</v>
      </c>
      <c r="L399" s="2" t="s">
        <v>13</v>
      </c>
    </row>
    <row r="400" spans="1:12" x14ac:dyDescent="0.25">
      <c r="A400" s="2" t="str">
        <f t="shared" si="6"/>
        <v>APP399</v>
      </c>
      <c r="B400" s="2">
        <v>25</v>
      </c>
      <c r="C400" s="2">
        <v>2466631</v>
      </c>
      <c r="D400" s="2" t="s">
        <v>14</v>
      </c>
      <c r="E400" s="2">
        <v>32</v>
      </c>
      <c r="F400" s="2">
        <v>780</v>
      </c>
      <c r="G400" s="2">
        <v>0</v>
      </c>
      <c r="H400" s="2">
        <v>3412602</v>
      </c>
      <c r="I400" s="2">
        <v>17</v>
      </c>
      <c r="J400" s="2">
        <v>44693</v>
      </c>
      <c r="K400" s="2">
        <v>1630363</v>
      </c>
      <c r="L400" s="2" t="s">
        <v>13</v>
      </c>
    </row>
    <row r="401" spans="1:12" x14ac:dyDescent="0.25">
      <c r="A401" s="2" t="str">
        <f t="shared" si="6"/>
        <v>APP400</v>
      </c>
      <c r="B401" s="2">
        <v>31</v>
      </c>
      <c r="C401" s="2">
        <v>1569362</v>
      </c>
      <c r="D401" s="2" t="s">
        <v>14</v>
      </c>
      <c r="E401" s="2">
        <v>3</v>
      </c>
      <c r="F401" s="2">
        <v>830</v>
      </c>
      <c r="G401" s="2">
        <v>4</v>
      </c>
      <c r="H401" s="2">
        <v>2258906</v>
      </c>
      <c r="I401" s="2">
        <v>20</v>
      </c>
      <c r="J401" s="2">
        <v>12348</v>
      </c>
      <c r="K401" s="2">
        <v>5518806</v>
      </c>
      <c r="L401" s="2" t="s">
        <v>13</v>
      </c>
    </row>
    <row r="402" spans="1:12" x14ac:dyDescent="0.25">
      <c r="A402" s="2" t="str">
        <f t="shared" si="6"/>
        <v>APP401</v>
      </c>
      <c r="B402" s="2">
        <v>36</v>
      </c>
      <c r="C402" s="2">
        <v>408582</v>
      </c>
      <c r="D402" s="2" t="s">
        <v>12</v>
      </c>
      <c r="E402" s="2">
        <v>15</v>
      </c>
      <c r="F402" s="2">
        <v>358</v>
      </c>
      <c r="G402" s="2">
        <v>1</v>
      </c>
      <c r="H402" s="2">
        <v>2349037</v>
      </c>
      <c r="I402" s="2">
        <v>3</v>
      </c>
      <c r="J402" s="2">
        <v>38183</v>
      </c>
      <c r="K402" s="2">
        <v>2777216</v>
      </c>
      <c r="L402" s="2" t="s">
        <v>13</v>
      </c>
    </row>
    <row r="403" spans="1:12" x14ac:dyDescent="0.25">
      <c r="A403" s="2" t="str">
        <f t="shared" si="6"/>
        <v>APP402</v>
      </c>
      <c r="B403" s="2">
        <v>31</v>
      </c>
      <c r="C403" s="2">
        <v>1180281</v>
      </c>
      <c r="D403" s="2" t="s">
        <v>12</v>
      </c>
      <c r="E403" s="2">
        <v>4</v>
      </c>
      <c r="F403" s="2">
        <v>600</v>
      </c>
      <c r="G403" s="2">
        <v>2</v>
      </c>
      <c r="H403" s="2">
        <v>2120093</v>
      </c>
      <c r="I403" s="2">
        <v>25</v>
      </c>
      <c r="J403" s="2">
        <v>2813</v>
      </c>
      <c r="K403" s="2">
        <v>9001406</v>
      </c>
      <c r="L403" s="2" t="s">
        <v>15</v>
      </c>
    </row>
    <row r="404" spans="1:12" x14ac:dyDescent="0.25">
      <c r="A404" s="2" t="str">
        <f t="shared" si="6"/>
        <v>APP403</v>
      </c>
      <c r="B404" s="2">
        <v>60</v>
      </c>
      <c r="C404" s="2">
        <v>2018891</v>
      </c>
      <c r="D404" s="2" t="s">
        <v>14</v>
      </c>
      <c r="E404" s="2">
        <v>31</v>
      </c>
      <c r="F404" s="2">
        <v>330</v>
      </c>
      <c r="G404" s="2">
        <v>4</v>
      </c>
      <c r="H404" s="2">
        <v>3038560</v>
      </c>
      <c r="I404" s="2">
        <v>20</v>
      </c>
      <c r="J404" s="2">
        <v>7352</v>
      </c>
      <c r="K404" s="2">
        <v>3251069</v>
      </c>
      <c r="L404" s="2" t="s">
        <v>13</v>
      </c>
    </row>
    <row r="405" spans="1:12" x14ac:dyDescent="0.25">
      <c r="A405" s="2" t="str">
        <f t="shared" si="6"/>
        <v>APP404</v>
      </c>
      <c r="B405" s="2">
        <v>53</v>
      </c>
      <c r="C405" s="2">
        <v>616840</v>
      </c>
      <c r="D405" s="2" t="s">
        <v>14</v>
      </c>
      <c r="E405" s="2">
        <v>34</v>
      </c>
      <c r="F405" s="2">
        <v>374</v>
      </c>
      <c r="G405" s="2">
        <v>1</v>
      </c>
      <c r="H405" s="2">
        <v>2645032</v>
      </c>
      <c r="I405" s="2">
        <v>3</v>
      </c>
      <c r="J405" s="2">
        <v>64233</v>
      </c>
      <c r="K405" s="2">
        <v>7850983</v>
      </c>
      <c r="L405" s="2" t="s">
        <v>13</v>
      </c>
    </row>
    <row r="406" spans="1:12" x14ac:dyDescent="0.25">
      <c r="A406" s="2" t="str">
        <f t="shared" si="6"/>
        <v>APP405</v>
      </c>
      <c r="B406" s="2">
        <v>45</v>
      </c>
      <c r="C406" s="2">
        <v>299454</v>
      </c>
      <c r="D406" s="2" t="s">
        <v>14</v>
      </c>
      <c r="E406" s="2">
        <v>15</v>
      </c>
      <c r="F406" s="2">
        <v>760</v>
      </c>
      <c r="G406" s="2">
        <v>5</v>
      </c>
      <c r="H406" s="2">
        <v>1002303</v>
      </c>
      <c r="I406" s="2">
        <v>19</v>
      </c>
      <c r="J406" s="2">
        <v>40137</v>
      </c>
      <c r="K406" s="2">
        <v>4894790</v>
      </c>
      <c r="L406" s="2" t="s">
        <v>13</v>
      </c>
    </row>
    <row r="407" spans="1:12" x14ac:dyDescent="0.25">
      <c r="A407" s="2" t="str">
        <f t="shared" si="6"/>
        <v>APP406</v>
      </c>
      <c r="B407" s="2">
        <v>22</v>
      </c>
      <c r="C407" s="2">
        <v>2039177</v>
      </c>
      <c r="D407" s="2" t="s">
        <v>14</v>
      </c>
      <c r="E407" s="2">
        <v>1</v>
      </c>
      <c r="F407" s="2">
        <v>814</v>
      </c>
      <c r="G407" s="2">
        <v>1</v>
      </c>
      <c r="H407" s="2">
        <v>3684587</v>
      </c>
      <c r="I407" s="2">
        <v>26</v>
      </c>
      <c r="J407" s="2">
        <v>27936</v>
      </c>
      <c r="K407" s="2">
        <v>3133636</v>
      </c>
      <c r="L407" s="2" t="s">
        <v>13</v>
      </c>
    </row>
    <row r="408" spans="1:12" x14ac:dyDescent="0.25">
      <c r="A408" s="2" t="str">
        <f t="shared" si="6"/>
        <v>APP407</v>
      </c>
      <c r="B408" s="2">
        <v>39</v>
      </c>
      <c r="C408" s="2">
        <v>2077657</v>
      </c>
      <c r="D408" s="2" t="s">
        <v>14</v>
      </c>
      <c r="E408" s="2">
        <v>24</v>
      </c>
      <c r="F408" s="2">
        <v>518</v>
      </c>
      <c r="G408" s="2">
        <v>0</v>
      </c>
      <c r="H408" s="2">
        <v>4158902</v>
      </c>
      <c r="I408" s="2">
        <v>10</v>
      </c>
      <c r="J408" s="2">
        <v>63393</v>
      </c>
      <c r="K408" s="2">
        <v>9658603</v>
      </c>
      <c r="L408" s="2" t="s">
        <v>13</v>
      </c>
    </row>
    <row r="409" spans="1:12" x14ac:dyDescent="0.25">
      <c r="A409" s="2" t="str">
        <f t="shared" si="6"/>
        <v>APP408</v>
      </c>
      <c r="B409" s="2">
        <v>64</v>
      </c>
      <c r="C409" s="2">
        <v>2240068</v>
      </c>
      <c r="D409" s="2" t="s">
        <v>12</v>
      </c>
      <c r="E409" s="2">
        <v>21</v>
      </c>
      <c r="F409" s="2">
        <v>620</v>
      </c>
      <c r="G409" s="2">
        <v>1</v>
      </c>
      <c r="H409" s="2">
        <v>3846569</v>
      </c>
      <c r="I409" s="2">
        <v>9</v>
      </c>
      <c r="J409" s="2">
        <v>79543</v>
      </c>
      <c r="K409" s="2">
        <v>8317274</v>
      </c>
      <c r="L409" s="2" t="s">
        <v>13</v>
      </c>
    </row>
    <row r="410" spans="1:12" x14ac:dyDescent="0.25">
      <c r="A410" s="2" t="str">
        <f t="shared" si="6"/>
        <v>APP409</v>
      </c>
      <c r="B410" s="2">
        <v>52</v>
      </c>
      <c r="C410" s="2">
        <v>313884</v>
      </c>
      <c r="D410" s="2" t="s">
        <v>12</v>
      </c>
      <c r="E410" s="2">
        <v>5</v>
      </c>
      <c r="F410" s="2">
        <v>888</v>
      </c>
      <c r="G410" s="2">
        <v>2</v>
      </c>
      <c r="H410" s="2">
        <v>3302316</v>
      </c>
      <c r="I410" s="2">
        <v>24</v>
      </c>
      <c r="J410" s="2">
        <v>42051</v>
      </c>
      <c r="K410" s="2">
        <v>4341095</v>
      </c>
      <c r="L410" s="2" t="s">
        <v>13</v>
      </c>
    </row>
    <row r="411" spans="1:12" x14ac:dyDescent="0.25">
      <c r="A411" s="2" t="str">
        <f t="shared" si="6"/>
        <v>APP410</v>
      </c>
      <c r="B411" s="2">
        <v>50</v>
      </c>
      <c r="C411" s="2">
        <v>2252697</v>
      </c>
      <c r="D411" s="2" t="s">
        <v>12</v>
      </c>
      <c r="E411" s="2">
        <v>32</v>
      </c>
      <c r="F411" s="2">
        <v>825</v>
      </c>
      <c r="G411" s="2">
        <v>5</v>
      </c>
      <c r="H411" s="2">
        <v>4014617</v>
      </c>
      <c r="I411" s="2">
        <v>27</v>
      </c>
      <c r="J411" s="2">
        <v>33896</v>
      </c>
      <c r="K411" s="2">
        <v>5115374</v>
      </c>
      <c r="L411" s="2" t="s">
        <v>15</v>
      </c>
    </row>
    <row r="412" spans="1:12" x14ac:dyDescent="0.25">
      <c r="A412" s="2" t="str">
        <f t="shared" si="6"/>
        <v>APP411</v>
      </c>
      <c r="B412" s="2">
        <v>21</v>
      </c>
      <c r="C412" s="2">
        <v>2316952</v>
      </c>
      <c r="D412" s="2" t="s">
        <v>16</v>
      </c>
      <c r="E412" s="2">
        <v>12</v>
      </c>
      <c r="F412" s="2">
        <v>803</v>
      </c>
      <c r="G412" s="2">
        <v>5</v>
      </c>
      <c r="H412" s="2">
        <v>334542</v>
      </c>
      <c r="I412" s="2">
        <v>1</v>
      </c>
      <c r="J412" s="2">
        <v>53295</v>
      </c>
      <c r="K412" s="2">
        <v>9007896</v>
      </c>
      <c r="L412" s="2" t="s">
        <v>13</v>
      </c>
    </row>
    <row r="413" spans="1:12" x14ac:dyDescent="0.25">
      <c r="A413" s="2" t="str">
        <f t="shared" si="6"/>
        <v>APP412</v>
      </c>
      <c r="B413" s="2">
        <v>44</v>
      </c>
      <c r="C413" s="2">
        <v>369300</v>
      </c>
      <c r="D413" s="2" t="s">
        <v>14</v>
      </c>
      <c r="E413" s="2">
        <v>18</v>
      </c>
      <c r="F413" s="2">
        <v>655</v>
      </c>
      <c r="G413" s="2">
        <v>4</v>
      </c>
      <c r="H413" s="2">
        <v>898682</v>
      </c>
      <c r="I413" s="2">
        <v>2</v>
      </c>
      <c r="J413" s="2">
        <v>3280</v>
      </c>
      <c r="K413" s="2">
        <v>4155645</v>
      </c>
      <c r="L413" s="2" t="s">
        <v>13</v>
      </c>
    </row>
    <row r="414" spans="1:12" x14ac:dyDescent="0.25">
      <c r="A414" s="2" t="str">
        <f t="shared" si="6"/>
        <v>APP413</v>
      </c>
      <c r="B414" s="2">
        <v>36</v>
      </c>
      <c r="C414" s="2">
        <v>1781618</v>
      </c>
      <c r="D414" s="2" t="s">
        <v>12</v>
      </c>
      <c r="E414" s="2">
        <v>33</v>
      </c>
      <c r="F414" s="2">
        <v>352</v>
      </c>
      <c r="G414" s="2">
        <v>2</v>
      </c>
      <c r="H414" s="2">
        <v>1960698</v>
      </c>
      <c r="I414" s="2">
        <v>4</v>
      </c>
      <c r="J414" s="2">
        <v>73817</v>
      </c>
      <c r="K414" s="2">
        <v>2875038</v>
      </c>
      <c r="L414" s="2" t="s">
        <v>13</v>
      </c>
    </row>
    <row r="415" spans="1:12" x14ac:dyDescent="0.25">
      <c r="A415" s="2" t="str">
        <f t="shared" si="6"/>
        <v>APP414</v>
      </c>
      <c r="B415" s="2">
        <v>43</v>
      </c>
      <c r="C415" s="2">
        <v>151483</v>
      </c>
      <c r="D415" s="2" t="s">
        <v>16</v>
      </c>
      <c r="E415" s="2">
        <v>23</v>
      </c>
      <c r="F415" s="2">
        <v>384</v>
      </c>
      <c r="G415" s="2">
        <v>3</v>
      </c>
      <c r="H415" s="2">
        <v>4062957</v>
      </c>
      <c r="I415" s="2">
        <v>29</v>
      </c>
      <c r="J415" s="2">
        <v>6170</v>
      </c>
      <c r="K415" s="2">
        <v>1939755</v>
      </c>
      <c r="L415" s="2" t="s">
        <v>15</v>
      </c>
    </row>
    <row r="416" spans="1:12" x14ac:dyDescent="0.25">
      <c r="A416" s="2" t="str">
        <f t="shared" si="6"/>
        <v>APP415</v>
      </c>
      <c r="B416" s="2">
        <v>62</v>
      </c>
      <c r="C416" s="2">
        <v>292010</v>
      </c>
      <c r="D416" s="2" t="s">
        <v>14</v>
      </c>
      <c r="E416" s="2">
        <v>25</v>
      </c>
      <c r="F416" s="2">
        <v>798</v>
      </c>
      <c r="G416" s="2">
        <v>5</v>
      </c>
      <c r="H416" s="2">
        <v>4887178</v>
      </c>
      <c r="I416" s="2">
        <v>9</v>
      </c>
      <c r="J416" s="2">
        <v>78393</v>
      </c>
      <c r="K416" s="2">
        <v>1963021</v>
      </c>
      <c r="L416" s="2" t="s">
        <v>13</v>
      </c>
    </row>
    <row r="417" spans="1:12" x14ac:dyDescent="0.25">
      <c r="A417" s="2" t="str">
        <f t="shared" si="6"/>
        <v>APP416</v>
      </c>
      <c r="B417" s="2">
        <v>26</v>
      </c>
      <c r="C417" s="2">
        <v>2434402</v>
      </c>
      <c r="D417" s="2" t="s">
        <v>12</v>
      </c>
      <c r="E417" s="2">
        <v>7</v>
      </c>
      <c r="F417" s="2">
        <v>631</v>
      </c>
      <c r="G417" s="2">
        <v>4</v>
      </c>
      <c r="H417" s="2">
        <v>356526</v>
      </c>
      <c r="I417" s="2">
        <v>23</v>
      </c>
      <c r="J417" s="2">
        <v>32817</v>
      </c>
      <c r="K417" s="2">
        <v>9095830</v>
      </c>
      <c r="L417" s="2" t="s">
        <v>13</v>
      </c>
    </row>
    <row r="418" spans="1:12" x14ac:dyDescent="0.25">
      <c r="A418" s="2" t="str">
        <f t="shared" si="6"/>
        <v>APP417</v>
      </c>
      <c r="B418" s="2">
        <v>56</v>
      </c>
      <c r="C418" s="2">
        <v>1104249</v>
      </c>
      <c r="D418" s="2" t="s">
        <v>14</v>
      </c>
      <c r="E418" s="2">
        <v>29</v>
      </c>
      <c r="F418" s="2">
        <v>561</v>
      </c>
      <c r="G418" s="2">
        <v>0</v>
      </c>
      <c r="H418" s="2">
        <v>2841595</v>
      </c>
      <c r="I418" s="2">
        <v>15</v>
      </c>
      <c r="J418" s="2">
        <v>50639</v>
      </c>
      <c r="K418" s="2">
        <v>4308826</v>
      </c>
      <c r="L418" s="2" t="s">
        <v>13</v>
      </c>
    </row>
    <row r="419" spans="1:12" x14ac:dyDescent="0.25">
      <c r="A419" s="2" t="str">
        <f t="shared" si="6"/>
        <v>APP418</v>
      </c>
      <c r="B419" s="2">
        <v>59</v>
      </c>
      <c r="C419" s="2">
        <v>1032383</v>
      </c>
      <c r="D419" s="2" t="s">
        <v>16</v>
      </c>
      <c r="E419" s="2">
        <v>15</v>
      </c>
      <c r="F419" s="2">
        <v>755</v>
      </c>
      <c r="G419" s="2">
        <v>4</v>
      </c>
      <c r="H419" s="2">
        <v>2665456</v>
      </c>
      <c r="I419" s="2">
        <v>26</v>
      </c>
      <c r="J419" s="2">
        <v>8208</v>
      </c>
      <c r="K419" s="2">
        <v>9830780</v>
      </c>
      <c r="L419" s="2" t="s">
        <v>13</v>
      </c>
    </row>
    <row r="420" spans="1:12" x14ac:dyDescent="0.25">
      <c r="A420" s="2" t="str">
        <f t="shared" si="6"/>
        <v>APP419</v>
      </c>
      <c r="B420" s="2">
        <v>60</v>
      </c>
      <c r="C420" s="2">
        <v>814902</v>
      </c>
      <c r="D420" s="2" t="s">
        <v>16</v>
      </c>
      <c r="E420" s="2">
        <v>35</v>
      </c>
      <c r="F420" s="2">
        <v>826</v>
      </c>
      <c r="G420" s="2">
        <v>1</v>
      </c>
      <c r="H420" s="2">
        <v>3139893</v>
      </c>
      <c r="I420" s="2">
        <v>20</v>
      </c>
      <c r="J420" s="2">
        <v>66754</v>
      </c>
      <c r="K420" s="2">
        <v>7636424</v>
      </c>
      <c r="L420" s="2" t="s">
        <v>13</v>
      </c>
    </row>
    <row r="421" spans="1:12" x14ac:dyDescent="0.25">
      <c r="A421" s="2" t="str">
        <f t="shared" si="6"/>
        <v>APP420</v>
      </c>
      <c r="B421" s="2">
        <v>65</v>
      </c>
      <c r="C421" s="2">
        <v>331786</v>
      </c>
      <c r="D421" s="2" t="s">
        <v>16</v>
      </c>
      <c r="E421" s="2">
        <v>10</v>
      </c>
      <c r="F421" s="2">
        <v>492</v>
      </c>
      <c r="G421" s="2">
        <v>0</v>
      </c>
      <c r="H421" s="2">
        <v>3852246</v>
      </c>
      <c r="I421" s="2">
        <v>12</v>
      </c>
      <c r="J421" s="2">
        <v>60982</v>
      </c>
      <c r="K421" s="2">
        <v>3349222</v>
      </c>
      <c r="L421" s="2" t="s">
        <v>13</v>
      </c>
    </row>
    <row r="422" spans="1:12" x14ac:dyDescent="0.25">
      <c r="A422" s="2" t="str">
        <f t="shared" si="6"/>
        <v>APP421</v>
      </c>
      <c r="B422" s="2">
        <v>62</v>
      </c>
      <c r="C422" s="2">
        <v>731907</v>
      </c>
      <c r="D422" s="2" t="s">
        <v>12</v>
      </c>
      <c r="E422" s="2">
        <v>31</v>
      </c>
      <c r="F422" s="2">
        <v>781</v>
      </c>
      <c r="G422" s="2">
        <v>1</v>
      </c>
      <c r="H422" s="2">
        <v>1061871</v>
      </c>
      <c r="I422" s="2">
        <v>7</v>
      </c>
      <c r="J422" s="2">
        <v>46257</v>
      </c>
      <c r="K422" s="2">
        <v>2710338</v>
      </c>
      <c r="L422" s="2" t="s">
        <v>13</v>
      </c>
    </row>
    <row r="423" spans="1:12" x14ac:dyDescent="0.25">
      <c r="A423" s="2" t="str">
        <f t="shared" si="6"/>
        <v>APP422</v>
      </c>
      <c r="B423" s="2">
        <v>44</v>
      </c>
      <c r="C423" s="2">
        <v>1909216</v>
      </c>
      <c r="D423" s="2" t="s">
        <v>16</v>
      </c>
      <c r="E423" s="2">
        <v>22</v>
      </c>
      <c r="F423" s="2">
        <v>529</v>
      </c>
      <c r="G423" s="2">
        <v>4</v>
      </c>
      <c r="H423" s="2">
        <v>4136626</v>
      </c>
      <c r="I423" s="2">
        <v>1</v>
      </c>
      <c r="J423" s="2">
        <v>67392</v>
      </c>
      <c r="K423" s="2">
        <v>3060871</v>
      </c>
      <c r="L423" s="2" t="s">
        <v>13</v>
      </c>
    </row>
    <row r="424" spans="1:12" x14ac:dyDescent="0.25">
      <c r="A424" s="2" t="str">
        <f t="shared" si="6"/>
        <v>APP423</v>
      </c>
      <c r="B424" s="2">
        <v>29</v>
      </c>
      <c r="C424" s="2">
        <v>340922</v>
      </c>
      <c r="D424" s="2" t="s">
        <v>12</v>
      </c>
      <c r="E424" s="2">
        <v>1</v>
      </c>
      <c r="F424" s="2">
        <v>727</v>
      </c>
      <c r="G424" s="2">
        <v>5</v>
      </c>
      <c r="H424" s="2">
        <v>3509024</v>
      </c>
      <c r="I424" s="2">
        <v>13</v>
      </c>
      <c r="J424" s="2">
        <v>19565</v>
      </c>
      <c r="K424" s="2">
        <v>8044154</v>
      </c>
      <c r="L424" s="2" t="s">
        <v>13</v>
      </c>
    </row>
    <row r="425" spans="1:12" x14ac:dyDescent="0.25">
      <c r="A425" s="2" t="str">
        <f t="shared" si="6"/>
        <v>APP424</v>
      </c>
      <c r="B425" s="2">
        <v>26</v>
      </c>
      <c r="C425" s="2">
        <v>624284</v>
      </c>
      <c r="D425" s="2" t="s">
        <v>14</v>
      </c>
      <c r="E425" s="2">
        <v>8</v>
      </c>
      <c r="F425" s="2">
        <v>414</v>
      </c>
      <c r="G425" s="2">
        <v>1</v>
      </c>
      <c r="H425" s="2">
        <v>437977</v>
      </c>
      <c r="I425" s="2">
        <v>15</v>
      </c>
      <c r="J425" s="2">
        <v>34613</v>
      </c>
      <c r="K425" s="2">
        <v>9876151</v>
      </c>
      <c r="L425" s="2" t="s">
        <v>13</v>
      </c>
    </row>
    <row r="426" spans="1:12" x14ac:dyDescent="0.25">
      <c r="A426" s="2" t="str">
        <f t="shared" si="6"/>
        <v>APP425</v>
      </c>
      <c r="B426" s="2">
        <v>46</v>
      </c>
      <c r="C426" s="2">
        <v>2060271</v>
      </c>
      <c r="D426" s="2" t="s">
        <v>14</v>
      </c>
      <c r="E426" s="2">
        <v>16</v>
      </c>
      <c r="F426" s="2">
        <v>547</v>
      </c>
      <c r="G426" s="2">
        <v>4</v>
      </c>
      <c r="H426" s="2">
        <v>2661683</v>
      </c>
      <c r="I426" s="2">
        <v>19</v>
      </c>
      <c r="J426" s="2">
        <v>79106</v>
      </c>
      <c r="K426" s="2">
        <v>6701910</v>
      </c>
      <c r="L426" s="2" t="s">
        <v>13</v>
      </c>
    </row>
    <row r="427" spans="1:12" x14ac:dyDescent="0.25">
      <c r="A427" s="2" t="str">
        <f t="shared" si="6"/>
        <v>APP426</v>
      </c>
      <c r="B427" s="2">
        <v>54</v>
      </c>
      <c r="C427" s="2">
        <v>1644742</v>
      </c>
      <c r="D427" s="2" t="s">
        <v>12</v>
      </c>
      <c r="E427" s="2">
        <v>19</v>
      </c>
      <c r="F427" s="2">
        <v>711</v>
      </c>
      <c r="G427" s="2">
        <v>1</v>
      </c>
      <c r="H427" s="2">
        <v>699769</v>
      </c>
      <c r="I427" s="2">
        <v>2</v>
      </c>
      <c r="J427" s="2">
        <v>28257</v>
      </c>
      <c r="K427" s="2">
        <v>3345980</v>
      </c>
      <c r="L427" s="2" t="s">
        <v>13</v>
      </c>
    </row>
    <row r="428" spans="1:12" x14ac:dyDescent="0.25">
      <c r="A428" s="2" t="str">
        <f t="shared" si="6"/>
        <v>APP427</v>
      </c>
      <c r="B428" s="2">
        <v>39</v>
      </c>
      <c r="C428" s="2">
        <v>1836308</v>
      </c>
      <c r="D428" s="2" t="s">
        <v>16</v>
      </c>
      <c r="E428" s="2">
        <v>19</v>
      </c>
      <c r="F428" s="2">
        <v>352</v>
      </c>
      <c r="G428" s="2">
        <v>5</v>
      </c>
      <c r="H428" s="2">
        <v>2344423</v>
      </c>
      <c r="I428" s="2">
        <v>29</v>
      </c>
      <c r="J428" s="2">
        <v>34486</v>
      </c>
      <c r="K428" s="2">
        <v>9026660</v>
      </c>
      <c r="L428" s="2" t="s">
        <v>15</v>
      </c>
    </row>
    <row r="429" spans="1:12" x14ac:dyDescent="0.25">
      <c r="A429" s="2" t="str">
        <f t="shared" si="6"/>
        <v>APP428</v>
      </c>
      <c r="B429" s="2">
        <v>54</v>
      </c>
      <c r="C429" s="2">
        <v>880546</v>
      </c>
      <c r="D429" s="2" t="s">
        <v>14</v>
      </c>
      <c r="E429" s="2">
        <v>33</v>
      </c>
      <c r="F429" s="2">
        <v>356</v>
      </c>
      <c r="G429" s="2">
        <v>2</v>
      </c>
      <c r="H429" s="2">
        <v>2788413</v>
      </c>
      <c r="I429" s="2">
        <v>28</v>
      </c>
      <c r="J429" s="2">
        <v>6999</v>
      </c>
      <c r="K429" s="2">
        <v>2682100</v>
      </c>
      <c r="L429" s="2" t="s">
        <v>13</v>
      </c>
    </row>
    <row r="430" spans="1:12" x14ac:dyDescent="0.25">
      <c r="A430" s="2" t="str">
        <f t="shared" si="6"/>
        <v>APP429</v>
      </c>
      <c r="B430" s="2">
        <v>34</v>
      </c>
      <c r="C430" s="2">
        <v>2317016</v>
      </c>
      <c r="D430" s="2" t="s">
        <v>16</v>
      </c>
      <c r="E430" s="2">
        <v>31</v>
      </c>
      <c r="F430" s="2">
        <v>762</v>
      </c>
      <c r="G430" s="2">
        <v>1</v>
      </c>
      <c r="H430" s="2">
        <v>1266895</v>
      </c>
      <c r="I430" s="2">
        <v>24</v>
      </c>
      <c r="J430" s="2">
        <v>27033</v>
      </c>
      <c r="K430" s="2">
        <v>7646129</v>
      </c>
      <c r="L430" s="2" t="s">
        <v>15</v>
      </c>
    </row>
    <row r="431" spans="1:12" x14ac:dyDescent="0.25">
      <c r="A431" s="2" t="str">
        <f t="shared" si="6"/>
        <v>APP430</v>
      </c>
      <c r="B431" s="2">
        <v>30</v>
      </c>
      <c r="C431" s="2">
        <v>2026262</v>
      </c>
      <c r="D431" s="2" t="s">
        <v>12</v>
      </c>
      <c r="E431" s="2">
        <v>23</v>
      </c>
      <c r="F431" s="2">
        <v>480</v>
      </c>
      <c r="G431" s="2">
        <v>4</v>
      </c>
      <c r="H431" s="2">
        <v>4827422</v>
      </c>
      <c r="I431" s="2">
        <v>13</v>
      </c>
      <c r="J431" s="2">
        <v>56535</v>
      </c>
      <c r="K431" s="2">
        <v>7865520</v>
      </c>
      <c r="L431" s="2" t="s">
        <v>13</v>
      </c>
    </row>
    <row r="432" spans="1:12" x14ac:dyDescent="0.25">
      <c r="A432" s="2" t="str">
        <f t="shared" si="6"/>
        <v>APP431</v>
      </c>
      <c r="B432" s="2">
        <v>33</v>
      </c>
      <c r="C432" s="2">
        <v>1192937</v>
      </c>
      <c r="D432" s="2" t="s">
        <v>16</v>
      </c>
      <c r="E432" s="2">
        <v>30</v>
      </c>
      <c r="F432" s="2">
        <v>538</v>
      </c>
      <c r="G432" s="2">
        <v>4</v>
      </c>
      <c r="H432" s="2">
        <v>3141974</v>
      </c>
      <c r="I432" s="2">
        <v>23</v>
      </c>
      <c r="J432" s="2">
        <v>13429</v>
      </c>
      <c r="K432" s="2">
        <v>8598038</v>
      </c>
      <c r="L432" s="2" t="s">
        <v>13</v>
      </c>
    </row>
    <row r="433" spans="1:12" x14ac:dyDescent="0.25">
      <c r="A433" s="2" t="str">
        <f t="shared" si="6"/>
        <v>APP432</v>
      </c>
      <c r="B433" s="2">
        <v>62</v>
      </c>
      <c r="C433" s="2">
        <v>717773</v>
      </c>
      <c r="D433" s="2" t="s">
        <v>14</v>
      </c>
      <c r="E433" s="2">
        <v>11</v>
      </c>
      <c r="F433" s="2">
        <v>744</v>
      </c>
      <c r="G433" s="2">
        <v>0</v>
      </c>
      <c r="H433" s="2">
        <v>3853120</v>
      </c>
      <c r="I433" s="2">
        <v>5</v>
      </c>
      <c r="J433" s="2">
        <v>15773</v>
      </c>
      <c r="K433" s="2">
        <v>5039469</v>
      </c>
      <c r="L433" s="2" t="s">
        <v>15</v>
      </c>
    </row>
    <row r="434" spans="1:12" x14ac:dyDescent="0.25">
      <c r="A434" s="2" t="str">
        <f t="shared" si="6"/>
        <v>APP433</v>
      </c>
      <c r="B434" s="2">
        <v>52</v>
      </c>
      <c r="C434" s="2">
        <v>347283</v>
      </c>
      <c r="D434" s="2" t="s">
        <v>12</v>
      </c>
      <c r="E434" s="2">
        <v>5</v>
      </c>
      <c r="F434" s="2">
        <v>865</v>
      </c>
      <c r="G434" s="2">
        <v>3</v>
      </c>
      <c r="H434" s="2">
        <v>636582</v>
      </c>
      <c r="I434" s="2">
        <v>20</v>
      </c>
      <c r="J434" s="2">
        <v>62508</v>
      </c>
      <c r="K434" s="2">
        <v>8639861</v>
      </c>
      <c r="L434" s="2" t="s">
        <v>13</v>
      </c>
    </row>
    <row r="435" spans="1:12" x14ac:dyDescent="0.25">
      <c r="A435" s="2" t="str">
        <f t="shared" si="6"/>
        <v>APP434</v>
      </c>
      <c r="B435" s="2">
        <v>52</v>
      </c>
      <c r="C435" s="2">
        <v>1617545</v>
      </c>
      <c r="D435" s="2" t="s">
        <v>14</v>
      </c>
      <c r="E435" s="2">
        <v>0</v>
      </c>
      <c r="F435" s="2">
        <v>516</v>
      </c>
      <c r="G435" s="2">
        <v>0</v>
      </c>
      <c r="H435" s="2">
        <v>4948071</v>
      </c>
      <c r="I435" s="2">
        <v>11</v>
      </c>
      <c r="J435" s="2">
        <v>68991</v>
      </c>
      <c r="K435" s="2">
        <v>1600046</v>
      </c>
      <c r="L435" s="2" t="s">
        <v>15</v>
      </c>
    </row>
    <row r="436" spans="1:12" x14ac:dyDescent="0.25">
      <c r="A436" s="2" t="str">
        <f t="shared" si="6"/>
        <v>APP435</v>
      </c>
      <c r="B436" s="2">
        <v>22</v>
      </c>
      <c r="C436" s="2">
        <v>2387839</v>
      </c>
      <c r="D436" s="2" t="s">
        <v>16</v>
      </c>
      <c r="E436" s="2">
        <v>0</v>
      </c>
      <c r="F436" s="2">
        <v>836</v>
      </c>
      <c r="G436" s="2">
        <v>1</v>
      </c>
      <c r="H436" s="2">
        <v>4760922</v>
      </c>
      <c r="I436" s="2">
        <v>10</v>
      </c>
      <c r="J436" s="2">
        <v>9010</v>
      </c>
      <c r="K436" s="2">
        <v>2740217</v>
      </c>
      <c r="L436" s="2" t="s">
        <v>13</v>
      </c>
    </row>
    <row r="437" spans="1:12" x14ac:dyDescent="0.25">
      <c r="A437" s="2" t="str">
        <f t="shared" si="6"/>
        <v>APP436</v>
      </c>
      <c r="B437" s="2">
        <v>49</v>
      </c>
      <c r="C437" s="2">
        <v>2239407</v>
      </c>
      <c r="D437" s="2" t="s">
        <v>14</v>
      </c>
      <c r="E437" s="2">
        <v>11</v>
      </c>
      <c r="F437" s="2">
        <v>481</v>
      </c>
      <c r="G437" s="2">
        <v>5</v>
      </c>
      <c r="H437" s="2">
        <v>4221850</v>
      </c>
      <c r="I437" s="2">
        <v>25</v>
      </c>
      <c r="J437" s="2">
        <v>32007</v>
      </c>
      <c r="K437" s="2">
        <v>8580461</v>
      </c>
      <c r="L437" s="2" t="s">
        <v>13</v>
      </c>
    </row>
    <row r="438" spans="1:12" x14ac:dyDescent="0.25">
      <c r="A438" s="2" t="str">
        <f t="shared" si="6"/>
        <v>APP437</v>
      </c>
      <c r="B438" s="2">
        <v>28</v>
      </c>
      <c r="C438" s="2">
        <v>815138</v>
      </c>
      <c r="D438" s="2" t="s">
        <v>16</v>
      </c>
      <c r="E438" s="2">
        <v>14</v>
      </c>
      <c r="F438" s="2">
        <v>556</v>
      </c>
      <c r="G438" s="2">
        <v>2</v>
      </c>
      <c r="H438" s="2">
        <v>3253009</v>
      </c>
      <c r="I438" s="2">
        <v>17</v>
      </c>
      <c r="J438" s="2">
        <v>54927</v>
      </c>
      <c r="K438" s="2">
        <v>4481368</v>
      </c>
      <c r="L438" s="2" t="s">
        <v>13</v>
      </c>
    </row>
    <row r="439" spans="1:12" x14ac:dyDescent="0.25">
      <c r="A439" s="2" t="str">
        <f t="shared" si="6"/>
        <v>APP438</v>
      </c>
      <c r="B439" s="2">
        <v>46</v>
      </c>
      <c r="C439" s="2">
        <v>1355889</v>
      </c>
      <c r="D439" s="2" t="s">
        <v>12</v>
      </c>
      <c r="E439" s="2">
        <v>30</v>
      </c>
      <c r="F439" s="2">
        <v>542</v>
      </c>
      <c r="G439" s="2">
        <v>3</v>
      </c>
      <c r="H439" s="2">
        <v>131007</v>
      </c>
      <c r="I439" s="2">
        <v>26</v>
      </c>
      <c r="J439" s="2">
        <v>63472</v>
      </c>
      <c r="K439" s="2">
        <v>63112</v>
      </c>
      <c r="L439" s="2" t="s">
        <v>13</v>
      </c>
    </row>
    <row r="440" spans="1:12" x14ac:dyDescent="0.25">
      <c r="A440" s="2" t="str">
        <f t="shared" si="6"/>
        <v>APP439</v>
      </c>
      <c r="B440" s="2">
        <v>28</v>
      </c>
      <c r="C440" s="2">
        <v>885170</v>
      </c>
      <c r="D440" s="2" t="s">
        <v>12</v>
      </c>
      <c r="E440" s="2">
        <v>32</v>
      </c>
      <c r="F440" s="2">
        <v>811</v>
      </c>
      <c r="G440" s="2">
        <v>1</v>
      </c>
      <c r="H440" s="2">
        <v>3302441</v>
      </c>
      <c r="I440" s="2">
        <v>18</v>
      </c>
      <c r="J440" s="2">
        <v>61920</v>
      </c>
      <c r="K440" s="2">
        <v>2421758</v>
      </c>
      <c r="L440" s="2" t="s">
        <v>13</v>
      </c>
    </row>
    <row r="441" spans="1:12" x14ac:dyDescent="0.25">
      <c r="A441" s="2" t="str">
        <f t="shared" si="6"/>
        <v>APP440</v>
      </c>
      <c r="B441" s="2">
        <v>45</v>
      </c>
      <c r="C441" s="2">
        <v>2324921</v>
      </c>
      <c r="D441" s="2" t="s">
        <v>16</v>
      </c>
      <c r="E441" s="2">
        <v>19</v>
      </c>
      <c r="F441" s="2">
        <v>545</v>
      </c>
      <c r="G441" s="2">
        <v>2</v>
      </c>
      <c r="H441" s="2">
        <v>2456931</v>
      </c>
      <c r="I441" s="2">
        <v>4</v>
      </c>
      <c r="J441" s="2">
        <v>50665</v>
      </c>
      <c r="K441" s="2">
        <v>5084841</v>
      </c>
      <c r="L441" s="2" t="s">
        <v>15</v>
      </c>
    </row>
    <row r="442" spans="1:12" x14ac:dyDescent="0.25">
      <c r="A442" s="2" t="str">
        <f t="shared" si="6"/>
        <v>APP441</v>
      </c>
      <c r="B442" s="2">
        <v>53</v>
      </c>
      <c r="C442" s="2">
        <v>1773840</v>
      </c>
      <c r="D442" s="2" t="s">
        <v>16</v>
      </c>
      <c r="E442" s="2">
        <v>1</v>
      </c>
      <c r="F442" s="2">
        <v>548</v>
      </c>
      <c r="G442" s="2">
        <v>4</v>
      </c>
      <c r="H442" s="2">
        <v>2450685</v>
      </c>
      <c r="I442" s="2">
        <v>3</v>
      </c>
      <c r="J442" s="2">
        <v>1078</v>
      </c>
      <c r="K442" s="2">
        <v>8221871</v>
      </c>
      <c r="L442" s="2" t="s">
        <v>13</v>
      </c>
    </row>
    <row r="443" spans="1:12" x14ac:dyDescent="0.25">
      <c r="A443" s="2" t="str">
        <f t="shared" si="6"/>
        <v>APP442</v>
      </c>
      <c r="B443" s="2">
        <v>24</v>
      </c>
      <c r="C443" s="2">
        <v>431377</v>
      </c>
      <c r="D443" s="2" t="s">
        <v>12</v>
      </c>
      <c r="E443" s="2">
        <v>18</v>
      </c>
      <c r="F443" s="2">
        <v>819</v>
      </c>
      <c r="G443" s="2">
        <v>5</v>
      </c>
      <c r="H443" s="2">
        <v>1150538</v>
      </c>
      <c r="I443" s="2">
        <v>9</v>
      </c>
      <c r="J443" s="2">
        <v>45624</v>
      </c>
      <c r="K443" s="2">
        <v>5615069</v>
      </c>
      <c r="L443" s="2" t="s">
        <v>13</v>
      </c>
    </row>
    <row r="444" spans="1:12" x14ac:dyDescent="0.25">
      <c r="A444" s="2" t="str">
        <f t="shared" si="6"/>
        <v>APP443</v>
      </c>
      <c r="B444" s="2">
        <v>39</v>
      </c>
      <c r="C444" s="2">
        <v>1640273</v>
      </c>
      <c r="D444" s="2" t="s">
        <v>12</v>
      </c>
      <c r="E444" s="2">
        <v>9</v>
      </c>
      <c r="F444" s="2">
        <v>525</v>
      </c>
      <c r="G444" s="2">
        <v>5</v>
      </c>
      <c r="H444" s="2">
        <v>157171</v>
      </c>
      <c r="I444" s="2">
        <v>8</v>
      </c>
      <c r="J444" s="2">
        <v>42091</v>
      </c>
      <c r="K444" s="2">
        <v>9781552</v>
      </c>
      <c r="L444" s="2" t="s">
        <v>13</v>
      </c>
    </row>
    <row r="445" spans="1:12" x14ac:dyDescent="0.25">
      <c r="A445" s="2" t="str">
        <f t="shared" si="6"/>
        <v>APP444</v>
      </c>
      <c r="B445" s="2">
        <v>43</v>
      </c>
      <c r="C445" s="2">
        <v>1503906</v>
      </c>
      <c r="D445" s="2" t="s">
        <v>12</v>
      </c>
      <c r="E445" s="2">
        <v>16</v>
      </c>
      <c r="F445" s="2">
        <v>725</v>
      </c>
      <c r="G445" s="2">
        <v>0</v>
      </c>
      <c r="H445" s="2">
        <v>4481410</v>
      </c>
      <c r="I445" s="2">
        <v>11</v>
      </c>
      <c r="J445" s="2">
        <v>27092</v>
      </c>
      <c r="K445" s="2">
        <v>5917680</v>
      </c>
      <c r="L445" s="2" t="s">
        <v>13</v>
      </c>
    </row>
    <row r="446" spans="1:12" x14ac:dyDescent="0.25">
      <c r="A446" s="2" t="str">
        <f t="shared" si="6"/>
        <v>APP445</v>
      </c>
      <c r="B446" s="2">
        <v>43</v>
      </c>
      <c r="C446" s="2">
        <v>939602</v>
      </c>
      <c r="D446" s="2" t="s">
        <v>12</v>
      </c>
      <c r="E446" s="2">
        <v>25</v>
      </c>
      <c r="F446" s="2">
        <v>805</v>
      </c>
      <c r="G446" s="2">
        <v>2</v>
      </c>
      <c r="H446" s="2">
        <v>4915446</v>
      </c>
      <c r="I446" s="2">
        <v>24</v>
      </c>
      <c r="J446" s="2">
        <v>27926</v>
      </c>
      <c r="K446" s="2">
        <v>5500454</v>
      </c>
      <c r="L446" s="2" t="s">
        <v>13</v>
      </c>
    </row>
    <row r="447" spans="1:12" x14ac:dyDescent="0.25">
      <c r="A447" s="2" t="str">
        <f t="shared" si="6"/>
        <v>APP446</v>
      </c>
      <c r="B447" s="2">
        <v>21</v>
      </c>
      <c r="C447" s="2">
        <v>1176624</v>
      </c>
      <c r="D447" s="2" t="s">
        <v>14</v>
      </c>
      <c r="E447" s="2">
        <v>0</v>
      </c>
      <c r="F447" s="2">
        <v>411</v>
      </c>
      <c r="G447" s="2">
        <v>1</v>
      </c>
      <c r="H447" s="2">
        <v>4252661</v>
      </c>
      <c r="I447" s="2">
        <v>5</v>
      </c>
      <c r="J447" s="2">
        <v>322</v>
      </c>
      <c r="K447" s="2">
        <v>1448134</v>
      </c>
      <c r="L447" s="2" t="s">
        <v>13</v>
      </c>
    </row>
    <row r="448" spans="1:12" x14ac:dyDescent="0.25">
      <c r="A448" s="2" t="str">
        <f t="shared" si="6"/>
        <v>APP447</v>
      </c>
      <c r="B448" s="2">
        <v>54</v>
      </c>
      <c r="C448" s="2">
        <v>1456195</v>
      </c>
      <c r="D448" s="2" t="s">
        <v>16</v>
      </c>
      <c r="E448" s="2">
        <v>9</v>
      </c>
      <c r="F448" s="2">
        <v>812</v>
      </c>
      <c r="G448" s="2">
        <v>1</v>
      </c>
      <c r="H448" s="2">
        <v>2123546</v>
      </c>
      <c r="I448" s="2">
        <v>26</v>
      </c>
      <c r="J448" s="2">
        <v>59009</v>
      </c>
      <c r="K448" s="2">
        <v>1575001</v>
      </c>
      <c r="L448" s="2" t="s">
        <v>13</v>
      </c>
    </row>
    <row r="449" spans="1:12" x14ac:dyDescent="0.25">
      <c r="A449" s="2" t="str">
        <f t="shared" si="6"/>
        <v>APP448</v>
      </c>
      <c r="B449" s="2">
        <v>23</v>
      </c>
      <c r="C449" s="2">
        <v>1155109</v>
      </c>
      <c r="D449" s="2" t="s">
        <v>14</v>
      </c>
      <c r="E449" s="2">
        <v>5</v>
      </c>
      <c r="F449" s="2">
        <v>671</v>
      </c>
      <c r="G449" s="2">
        <v>5</v>
      </c>
      <c r="H449" s="2">
        <v>128745</v>
      </c>
      <c r="I449" s="2">
        <v>15</v>
      </c>
      <c r="J449" s="2">
        <v>52647</v>
      </c>
      <c r="K449" s="2">
        <v>2993</v>
      </c>
      <c r="L449" s="2" t="s">
        <v>13</v>
      </c>
    </row>
    <row r="450" spans="1:12" x14ac:dyDescent="0.25">
      <c r="A450" s="2" t="str">
        <f t="shared" si="6"/>
        <v>APP449</v>
      </c>
      <c r="B450" s="2">
        <v>38</v>
      </c>
      <c r="C450" s="2">
        <v>154907</v>
      </c>
      <c r="D450" s="2" t="s">
        <v>16</v>
      </c>
      <c r="E450" s="2">
        <v>13</v>
      </c>
      <c r="F450" s="2">
        <v>762</v>
      </c>
      <c r="G450" s="2">
        <v>1</v>
      </c>
      <c r="H450" s="2">
        <v>4198512</v>
      </c>
      <c r="I450" s="2">
        <v>30</v>
      </c>
      <c r="J450" s="2">
        <v>9777</v>
      </c>
      <c r="K450" s="2">
        <v>5774785</v>
      </c>
      <c r="L450" s="2" t="s">
        <v>15</v>
      </c>
    </row>
    <row r="451" spans="1:12" x14ac:dyDescent="0.25">
      <c r="A451" s="2" t="str">
        <f t="shared" ref="A451:A501" si="7">"APP"&amp;TEXT(ROW()-1,"000")</f>
        <v>APP450</v>
      </c>
      <c r="B451" s="2">
        <v>56</v>
      </c>
      <c r="C451" s="2">
        <v>685067</v>
      </c>
      <c r="D451" s="2" t="s">
        <v>12</v>
      </c>
      <c r="E451" s="2">
        <v>19</v>
      </c>
      <c r="F451" s="2">
        <v>421</v>
      </c>
      <c r="G451" s="2">
        <v>5</v>
      </c>
      <c r="H451" s="2">
        <v>1032877</v>
      </c>
      <c r="I451" s="2">
        <v>4</v>
      </c>
      <c r="J451" s="2">
        <v>79900</v>
      </c>
      <c r="K451" s="2">
        <v>9425591</v>
      </c>
      <c r="L451" s="2" t="s">
        <v>13</v>
      </c>
    </row>
    <row r="452" spans="1:12" x14ac:dyDescent="0.25">
      <c r="A452" s="2" t="str">
        <f t="shared" si="7"/>
        <v>APP451</v>
      </c>
      <c r="B452" s="2">
        <v>31</v>
      </c>
      <c r="C452" s="2">
        <v>2035812</v>
      </c>
      <c r="D452" s="2" t="s">
        <v>16</v>
      </c>
      <c r="E452" s="2">
        <v>12</v>
      </c>
      <c r="F452" s="2">
        <v>651</v>
      </c>
      <c r="G452" s="2">
        <v>5</v>
      </c>
      <c r="H452" s="2">
        <v>1440509</v>
      </c>
      <c r="I452" s="2">
        <v>23</v>
      </c>
      <c r="J452" s="2">
        <v>62296</v>
      </c>
      <c r="K452" s="2">
        <v>3434952</v>
      </c>
      <c r="L452" s="2" t="s">
        <v>15</v>
      </c>
    </row>
    <row r="453" spans="1:12" x14ac:dyDescent="0.25">
      <c r="A453" s="2" t="str">
        <f t="shared" si="7"/>
        <v>APP452</v>
      </c>
      <c r="B453" s="2">
        <v>52</v>
      </c>
      <c r="C453" s="2">
        <v>2005446</v>
      </c>
      <c r="D453" s="2" t="s">
        <v>14</v>
      </c>
      <c r="E453" s="2">
        <v>13</v>
      </c>
      <c r="F453" s="2">
        <v>600</v>
      </c>
      <c r="G453" s="2">
        <v>3</v>
      </c>
      <c r="H453" s="2">
        <v>467193</v>
      </c>
      <c r="I453" s="2">
        <v>14</v>
      </c>
      <c r="J453" s="2">
        <v>7284</v>
      </c>
      <c r="K453" s="2">
        <v>3955907</v>
      </c>
      <c r="L453" s="2" t="s">
        <v>15</v>
      </c>
    </row>
    <row r="454" spans="1:12" x14ac:dyDescent="0.25">
      <c r="A454" s="2" t="str">
        <f t="shared" si="7"/>
        <v>APP453</v>
      </c>
      <c r="B454" s="2">
        <v>60</v>
      </c>
      <c r="C454" s="2">
        <v>2196133</v>
      </c>
      <c r="D454" s="2" t="s">
        <v>14</v>
      </c>
      <c r="E454" s="2">
        <v>23</v>
      </c>
      <c r="F454" s="2">
        <v>822</v>
      </c>
      <c r="G454" s="2">
        <v>4</v>
      </c>
      <c r="H454" s="2">
        <v>2102643</v>
      </c>
      <c r="I454" s="2">
        <v>24</v>
      </c>
      <c r="J454" s="2">
        <v>57514</v>
      </c>
      <c r="K454" s="2">
        <v>6875695</v>
      </c>
      <c r="L454" s="2" t="s">
        <v>13</v>
      </c>
    </row>
    <row r="455" spans="1:12" x14ac:dyDescent="0.25">
      <c r="A455" s="2" t="str">
        <f t="shared" si="7"/>
        <v>APP454</v>
      </c>
      <c r="B455" s="2">
        <v>39</v>
      </c>
      <c r="C455" s="2">
        <v>2144136</v>
      </c>
      <c r="D455" s="2" t="s">
        <v>12</v>
      </c>
      <c r="E455" s="2">
        <v>10</v>
      </c>
      <c r="F455" s="2">
        <v>769</v>
      </c>
      <c r="G455" s="2">
        <v>2</v>
      </c>
      <c r="H455" s="2">
        <v>3697873</v>
      </c>
      <c r="I455" s="2">
        <v>10</v>
      </c>
      <c r="J455" s="2">
        <v>6119</v>
      </c>
      <c r="K455" s="2">
        <v>8700303</v>
      </c>
      <c r="L455" s="2" t="s">
        <v>13</v>
      </c>
    </row>
    <row r="456" spans="1:12" x14ac:dyDescent="0.25">
      <c r="A456" s="2" t="str">
        <f t="shared" si="7"/>
        <v>APP455</v>
      </c>
      <c r="B456" s="2">
        <v>60</v>
      </c>
      <c r="C456" s="2">
        <v>2196940</v>
      </c>
      <c r="D456" s="2" t="s">
        <v>14</v>
      </c>
      <c r="E456" s="2">
        <v>12</v>
      </c>
      <c r="F456" s="2">
        <v>686</v>
      </c>
      <c r="G456" s="2">
        <v>5</v>
      </c>
      <c r="H456" s="2">
        <v>850982</v>
      </c>
      <c r="I456" s="2">
        <v>22</v>
      </c>
      <c r="J456" s="2">
        <v>47657</v>
      </c>
      <c r="K456" s="2">
        <v>8054391</v>
      </c>
      <c r="L456" s="2" t="s">
        <v>13</v>
      </c>
    </row>
    <row r="457" spans="1:12" x14ac:dyDescent="0.25">
      <c r="A457" s="2" t="str">
        <f t="shared" si="7"/>
        <v>APP456</v>
      </c>
      <c r="B457" s="2">
        <v>29</v>
      </c>
      <c r="C457" s="2">
        <v>1668080</v>
      </c>
      <c r="D457" s="2" t="s">
        <v>16</v>
      </c>
      <c r="E457" s="2">
        <v>34</v>
      </c>
      <c r="F457" s="2">
        <v>558</v>
      </c>
      <c r="G457" s="2">
        <v>2</v>
      </c>
      <c r="H457" s="2">
        <v>4678451</v>
      </c>
      <c r="I457" s="2">
        <v>8</v>
      </c>
      <c r="J457" s="2">
        <v>54457</v>
      </c>
      <c r="K457" s="2">
        <v>4867116</v>
      </c>
      <c r="L457" s="2" t="s">
        <v>13</v>
      </c>
    </row>
    <row r="458" spans="1:12" x14ac:dyDescent="0.25">
      <c r="A458" s="2" t="str">
        <f t="shared" si="7"/>
        <v>APP457</v>
      </c>
      <c r="B458" s="2">
        <v>62</v>
      </c>
      <c r="C458" s="2">
        <v>2157446</v>
      </c>
      <c r="D458" s="2" t="s">
        <v>14</v>
      </c>
      <c r="E458" s="2">
        <v>35</v>
      </c>
      <c r="F458" s="2">
        <v>408</v>
      </c>
      <c r="G458" s="2">
        <v>0</v>
      </c>
      <c r="H458" s="2">
        <v>3465441</v>
      </c>
      <c r="I458" s="2">
        <v>26</v>
      </c>
      <c r="J458" s="2">
        <v>44185</v>
      </c>
      <c r="K458" s="2">
        <v>7357593</v>
      </c>
      <c r="L458" s="2" t="s">
        <v>13</v>
      </c>
    </row>
    <row r="459" spans="1:12" x14ac:dyDescent="0.25">
      <c r="A459" s="2" t="str">
        <f t="shared" si="7"/>
        <v>APP458</v>
      </c>
      <c r="B459" s="2">
        <v>46</v>
      </c>
      <c r="C459" s="2">
        <v>1427666</v>
      </c>
      <c r="D459" s="2" t="s">
        <v>14</v>
      </c>
      <c r="E459" s="2">
        <v>34</v>
      </c>
      <c r="F459" s="2">
        <v>656</v>
      </c>
      <c r="G459" s="2">
        <v>3</v>
      </c>
      <c r="H459" s="2">
        <v>264377</v>
      </c>
      <c r="I459" s="2">
        <v>20</v>
      </c>
      <c r="J459" s="2">
        <v>16399</v>
      </c>
      <c r="K459" s="2">
        <v>3481567</v>
      </c>
      <c r="L459" s="2" t="s">
        <v>13</v>
      </c>
    </row>
    <row r="460" spans="1:12" x14ac:dyDescent="0.25">
      <c r="A460" s="2" t="str">
        <f t="shared" si="7"/>
        <v>APP459</v>
      </c>
      <c r="B460" s="2">
        <v>59</v>
      </c>
      <c r="C460" s="2">
        <v>2310871</v>
      </c>
      <c r="D460" s="2" t="s">
        <v>14</v>
      </c>
      <c r="E460" s="2">
        <v>26</v>
      </c>
      <c r="F460" s="2">
        <v>472</v>
      </c>
      <c r="G460" s="2">
        <v>2</v>
      </c>
      <c r="H460" s="2">
        <v>538463</v>
      </c>
      <c r="I460" s="2">
        <v>14</v>
      </c>
      <c r="J460" s="2">
        <v>26145</v>
      </c>
      <c r="K460" s="2">
        <v>2522597</v>
      </c>
      <c r="L460" s="2" t="s">
        <v>13</v>
      </c>
    </row>
    <row r="461" spans="1:12" x14ac:dyDescent="0.25">
      <c r="A461" s="2" t="str">
        <f t="shared" si="7"/>
        <v>APP460</v>
      </c>
      <c r="B461" s="2">
        <v>41</v>
      </c>
      <c r="C461" s="2">
        <v>245107</v>
      </c>
      <c r="D461" s="2" t="s">
        <v>12</v>
      </c>
      <c r="E461" s="2">
        <v>20</v>
      </c>
      <c r="F461" s="2">
        <v>750</v>
      </c>
      <c r="G461" s="2">
        <v>5</v>
      </c>
      <c r="H461" s="2">
        <v>1666794</v>
      </c>
      <c r="I461" s="2">
        <v>15</v>
      </c>
      <c r="J461" s="2">
        <v>68154</v>
      </c>
      <c r="K461" s="2">
        <v>9825892</v>
      </c>
      <c r="L461" s="2" t="s">
        <v>13</v>
      </c>
    </row>
    <row r="462" spans="1:12" x14ac:dyDescent="0.25">
      <c r="A462" s="2" t="str">
        <f t="shared" si="7"/>
        <v>APP461</v>
      </c>
      <c r="B462" s="2">
        <v>47</v>
      </c>
      <c r="C462" s="2">
        <v>1813715</v>
      </c>
      <c r="D462" s="2" t="s">
        <v>16</v>
      </c>
      <c r="E462" s="2">
        <v>1</v>
      </c>
      <c r="F462" s="2">
        <v>509</v>
      </c>
      <c r="G462" s="2">
        <v>3</v>
      </c>
      <c r="H462" s="2">
        <v>1127028</v>
      </c>
      <c r="I462" s="2">
        <v>3</v>
      </c>
      <c r="J462" s="2">
        <v>48203</v>
      </c>
      <c r="K462" s="2">
        <v>5509653</v>
      </c>
      <c r="L462" s="2" t="s">
        <v>13</v>
      </c>
    </row>
    <row r="463" spans="1:12" x14ac:dyDescent="0.25">
      <c r="A463" s="2" t="str">
        <f t="shared" si="7"/>
        <v>APP462</v>
      </c>
      <c r="B463" s="2">
        <v>52</v>
      </c>
      <c r="C463" s="2">
        <v>2412815</v>
      </c>
      <c r="D463" s="2" t="s">
        <v>16</v>
      </c>
      <c r="E463" s="2">
        <v>20</v>
      </c>
      <c r="F463" s="2">
        <v>441</v>
      </c>
      <c r="G463" s="2">
        <v>2</v>
      </c>
      <c r="H463" s="2">
        <v>2886839</v>
      </c>
      <c r="I463" s="2">
        <v>23</v>
      </c>
      <c r="J463" s="2">
        <v>4701</v>
      </c>
      <c r="K463" s="2">
        <v>4294956</v>
      </c>
      <c r="L463" s="2" t="s">
        <v>13</v>
      </c>
    </row>
    <row r="464" spans="1:12" x14ac:dyDescent="0.25">
      <c r="A464" s="2" t="str">
        <f t="shared" si="7"/>
        <v>APP463</v>
      </c>
      <c r="B464" s="2">
        <v>23</v>
      </c>
      <c r="C464" s="2">
        <v>2015569</v>
      </c>
      <c r="D464" s="2" t="s">
        <v>12</v>
      </c>
      <c r="E464" s="2">
        <v>29</v>
      </c>
      <c r="F464" s="2">
        <v>843</v>
      </c>
      <c r="G464" s="2">
        <v>1</v>
      </c>
      <c r="H464" s="2">
        <v>4010484</v>
      </c>
      <c r="I464" s="2">
        <v>30</v>
      </c>
      <c r="J464" s="2">
        <v>17573</v>
      </c>
      <c r="K464" s="2">
        <v>7677480</v>
      </c>
      <c r="L464" s="2" t="s">
        <v>13</v>
      </c>
    </row>
    <row r="465" spans="1:12" x14ac:dyDescent="0.25">
      <c r="A465" s="2" t="str">
        <f t="shared" si="7"/>
        <v>APP464</v>
      </c>
      <c r="B465" s="2">
        <v>32</v>
      </c>
      <c r="C465" s="2">
        <v>2391924</v>
      </c>
      <c r="D465" s="2" t="s">
        <v>14</v>
      </c>
      <c r="E465" s="2">
        <v>33</v>
      </c>
      <c r="F465" s="2">
        <v>317</v>
      </c>
      <c r="G465" s="2">
        <v>5</v>
      </c>
      <c r="H465" s="2">
        <v>625303</v>
      </c>
      <c r="I465" s="2">
        <v>9</v>
      </c>
      <c r="J465" s="2">
        <v>8708</v>
      </c>
      <c r="K465" s="2">
        <v>7238862</v>
      </c>
      <c r="L465" s="2" t="s">
        <v>13</v>
      </c>
    </row>
    <row r="466" spans="1:12" x14ac:dyDescent="0.25">
      <c r="A466" s="2" t="str">
        <f t="shared" si="7"/>
        <v>APP465</v>
      </c>
      <c r="B466" s="2">
        <v>36</v>
      </c>
      <c r="C466" s="2">
        <v>1988697</v>
      </c>
      <c r="D466" s="2" t="s">
        <v>12</v>
      </c>
      <c r="E466" s="2">
        <v>11</v>
      </c>
      <c r="F466" s="2">
        <v>433</v>
      </c>
      <c r="G466" s="2">
        <v>0</v>
      </c>
      <c r="H466" s="2">
        <v>1883213</v>
      </c>
      <c r="I466" s="2">
        <v>20</v>
      </c>
      <c r="J466" s="2">
        <v>7675</v>
      </c>
      <c r="K466" s="2">
        <v>4599877</v>
      </c>
      <c r="L466" s="2" t="s">
        <v>13</v>
      </c>
    </row>
    <row r="467" spans="1:12" x14ac:dyDescent="0.25">
      <c r="A467" s="2" t="str">
        <f t="shared" si="7"/>
        <v>APP466</v>
      </c>
      <c r="B467" s="2">
        <v>52</v>
      </c>
      <c r="C467" s="2">
        <v>902809</v>
      </c>
      <c r="D467" s="2" t="s">
        <v>16</v>
      </c>
      <c r="E467" s="2">
        <v>12</v>
      </c>
      <c r="F467" s="2">
        <v>806</v>
      </c>
      <c r="G467" s="2">
        <v>3</v>
      </c>
      <c r="H467" s="2">
        <v>3118953</v>
      </c>
      <c r="I467" s="2">
        <v>7</v>
      </c>
      <c r="J467" s="2">
        <v>32315</v>
      </c>
      <c r="K467" s="2">
        <v>1883122</v>
      </c>
      <c r="L467" s="2" t="s">
        <v>13</v>
      </c>
    </row>
    <row r="468" spans="1:12" x14ac:dyDescent="0.25">
      <c r="A468" s="2" t="str">
        <f t="shared" si="7"/>
        <v>APP467</v>
      </c>
      <c r="B468" s="2">
        <v>44</v>
      </c>
      <c r="C468" s="2">
        <v>1807028</v>
      </c>
      <c r="D468" s="2" t="s">
        <v>16</v>
      </c>
      <c r="E468" s="2">
        <v>9</v>
      </c>
      <c r="F468" s="2">
        <v>608</v>
      </c>
      <c r="G468" s="2">
        <v>1</v>
      </c>
      <c r="H468" s="2">
        <v>3566447</v>
      </c>
      <c r="I468" s="2">
        <v>21</v>
      </c>
      <c r="J468" s="2">
        <v>27390</v>
      </c>
      <c r="K468" s="2">
        <v>1423336</v>
      </c>
      <c r="L468" s="2" t="s">
        <v>15</v>
      </c>
    </row>
    <row r="469" spans="1:12" x14ac:dyDescent="0.25">
      <c r="A469" s="2" t="str">
        <f t="shared" si="7"/>
        <v>APP468</v>
      </c>
      <c r="B469" s="2">
        <v>27</v>
      </c>
      <c r="C469" s="2">
        <v>1545917</v>
      </c>
      <c r="D469" s="2" t="s">
        <v>16</v>
      </c>
      <c r="E469" s="2">
        <v>8</v>
      </c>
      <c r="F469" s="2">
        <v>862</v>
      </c>
      <c r="G469" s="2">
        <v>1</v>
      </c>
      <c r="H469" s="2">
        <v>703433</v>
      </c>
      <c r="I469" s="2">
        <v>18</v>
      </c>
      <c r="J469" s="2">
        <v>10071</v>
      </c>
      <c r="K469" s="2">
        <v>9678044</v>
      </c>
      <c r="L469" s="2" t="s">
        <v>13</v>
      </c>
    </row>
    <row r="470" spans="1:12" x14ac:dyDescent="0.25">
      <c r="A470" s="2" t="str">
        <f t="shared" si="7"/>
        <v>APP469</v>
      </c>
      <c r="B470" s="2">
        <v>27</v>
      </c>
      <c r="C470" s="2">
        <v>523032</v>
      </c>
      <c r="D470" s="2" t="s">
        <v>14</v>
      </c>
      <c r="E470" s="2">
        <v>22</v>
      </c>
      <c r="F470" s="2">
        <v>783</v>
      </c>
      <c r="G470" s="2">
        <v>3</v>
      </c>
      <c r="H470" s="2">
        <v>1384757</v>
      </c>
      <c r="I470" s="2">
        <v>26</v>
      </c>
      <c r="J470" s="2">
        <v>71772</v>
      </c>
      <c r="K470" s="2">
        <v>6734899</v>
      </c>
      <c r="L470" s="2" t="s">
        <v>15</v>
      </c>
    </row>
    <row r="471" spans="1:12" x14ac:dyDescent="0.25">
      <c r="A471" s="2" t="str">
        <f t="shared" si="7"/>
        <v>APP470</v>
      </c>
      <c r="B471" s="2">
        <v>21</v>
      </c>
      <c r="C471" s="2">
        <v>350176</v>
      </c>
      <c r="D471" s="2" t="s">
        <v>12</v>
      </c>
      <c r="E471" s="2">
        <v>21</v>
      </c>
      <c r="F471" s="2">
        <v>500</v>
      </c>
      <c r="G471" s="2">
        <v>4</v>
      </c>
      <c r="H471" s="2">
        <v>3173968</v>
      </c>
      <c r="I471" s="2">
        <v>20</v>
      </c>
      <c r="J471" s="2">
        <v>22371</v>
      </c>
      <c r="K471" s="2">
        <v>7459230</v>
      </c>
      <c r="L471" s="2" t="s">
        <v>13</v>
      </c>
    </row>
    <row r="472" spans="1:12" x14ac:dyDescent="0.25">
      <c r="A472" s="2" t="str">
        <f t="shared" si="7"/>
        <v>APP471</v>
      </c>
      <c r="B472" s="2">
        <v>53</v>
      </c>
      <c r="C472" s="2">
        <v>1114318</v>
      </c>
      <c r="D472" s="2" t="s">
        <v>16</v>
      </c>
      <c r="E472" s="2">
        <v>6</v>
      </c>
      <c r="F472" s="2">
        <v>553</v>
      </c>
      <c r="G472" s="2">
        <v>3</v>
      </c>
      <c r="H472" s="2">
        <v>2626855</v>
      </c>
      <c r="I472" s="2">
        <v>18</v>
      </c>
      <c r="J472" s="2">
        <v>44531</v>
      </c>
      <c r="K472" s="2">
        <v>5568255</v>
      </c>
      <c r="L472" s="2" t="s">
        <v>13</v>
      </c>
    </row>
    <row r="473" spans="1:12" x14ac:dyDescent="0.25">
      <c r="A473" s="2" t="str">
        <f t="shared" si="7"/>
        <v>APP472</v>
      </c>
      <c r="B473" s="2">
        <v>44</v>
      </c>
      <c r="C473" s="2">
        <v>1180453</v>
      </c>
      <c r="D473" s="2" t="s">
        <v>14</v>
      </c>
      <c r="E473" s="2">
        <v>14</v>
      </c>
      <c r="F473" s="2">
        <v>852</v>
      </c>
      <c r="G473" s="2">
        <v>0</v>
      </c>
      <c r="H473" s="2">
        <v>2041848</v>
      </c>
      <c r="I473" s="2">
        <v>10</v>
      </c>
      <c r="J473" s="2">
        <v>19701</v>
      </c>
      <c r="K473" s="2">
        <v>544884</v>
      </c>
      <c r="L473" s="2" t="s">
        <v>15</v>
      </c>
    </row>
    <row r="474" spans="1:12" x14ac:dyDescent="0.25">
      <c r="A474" s="2" t="str">
        <f t="shared" si="7"/>
        <v>APP473</v>
      </c>
      <c r="B474" s="2">
        <v>60</v>
      </c>
      <c r="C474" s="2">
        <v>2428910</v>
      </c>
      <c r="D474" s="2" t="s">
        <v>12</v>
      </c>
      <c r="E474" s="2">
        <v>10</v>
      </c>
      <c r="F474" s="2">
        <v>487</v>
      </c>
      <c r="G474" s="2">
        <v>5</v>
      </c>
      <c r="H474" s="2">
        <v>3445084</v>
      </c>
      <c r="I474" s="2">
        <v>7</v>
      </c>
      <c r="J474" s="2">
        <v>51429</v>
      </c>
      <c r="K474" s="2">
        <v>7752976</v>
      </c>
      <c r="L474" s="2" t="s">
        <v>15</v>
      </c>
    </row>
    <row r="475" spans="1:12" x14ac:dyDescent="0.25">
      <c r="A475" s="2" t="str">
        <f t="shared" si="7"/>
        <v>APP474</v>
      </c>
      <c r="B475" s="2">
        <v>46</v>
      </c>
      <c r="C475" s="2">
        <v>2412035</v>
      </c>
      <c r="D475" s="2" t="s">
        <v>14</v>
      </c>
      <c r="E475" s="2">
        <v>18</v>
      </c>
      <c r="F475" s="2">
        <v>636</v>
      </c>
      <c r="G475" s="2">
        <v>4</v>
      </c>
      <c r="H475" s="2">
        <v>4611979</v>
      </c>
      <c r="I475" s="2">
        <v>4</v>
      </c>
      <c r="J475" s="2">
        <v>64085</v>
      </c>
      <c r="K475" s="2">
        <v>8062571</v>
      </c>
      <c r="L475" s="2" t="s">
        <v>13</v>
      </c>
    </row>
    <row r="476" spans="1:12" x14ac:dyDescent="0.25">
      <c r="A476" s="2" t="str">
        <f t="shared" si="7"/>
        <v>APP475</v>
      </c>
      <c r="B476" s="2">
        <v>34</v>
      </c>
      <c r="C476" s="2">
        <v>717005</v>
      </c>
      <c r="D476" s="2" t="s">
        <v>14</v>
      </c>
      <c r="E476" s="2">
        <v>20</v>
      </c>
      <c r="F476" s="2">
        <v>614</v>
      </c>
      <c r="G476" s="2">
        <v>0</v>
      </c>
      <c r="H476" s="2">
        <v>2921394</v>
      </c>
      <c r="I476" s="2">
        <v>2</v>
      </c>
      <c r="J476" s="2">
        <v>35265</v>
      </c>
      <c r="K476" s="2">
        <v>3681976</v>
      </c>
      <c r="L476" s="2" t="s">
        <v>13</v>
      </c>
    </row>
    <row r="477" spans="1:12" x14ac:dyDescent="0.25">
      <c r="A477" s="2" t="str">
        <f t="shared" si="7"/>
        <v>APP476</v>
      </c>
      <c r="B477" s="2">
        <v>51</v>
      </c>
      <c r="C477" s="2">
        <v>2305573</v>
      </c>
      <c r="D477" s="2" t="s">
        <v>12</v>
      </c>
      <c r="E477" s="2">
        <v>27</v>
      </c>
      <c r="F477" s="2">
        <v>545</v>
      </c>
      <c r="G477" s="2">
        <v>1</v>
      </c>
      <c r="H477" s="2">
        <v>1300490</v>
      </c>
      <c r="I477" s="2">
        <v>17</v>
      </c>
      <c r="J477" s="2">
        <v>39973</v>
      </c>
      <c r="K477" s="2">
        <v>7775100</v>
      </c>
      <c r="L477" s="2" t="s">
        <v>13</v>
      </c>
    </row>
    <row r="478" spans="1:12" x14ac:dyDescent="0.25">
      <c r="A478" s="2" t="str">
        <f t="shared" si="7"/>
        <v>APP477</v>
      </c>
      <c r="B478" s="2">
        <v>51</v>
      </c>
      <c r="C478" s="2">
        <v>877255</v>
      </c>
      <c r="D478" s="2" t="s">
        <v>12</v>
      </c>
      <c r="E478" s="2">
        <v>34</v>
      </c>
      <c r="F478" s="2">
        <v>855</v>
      </c>
      <c r="G478" s="2">
        <v>5</v>
      </c>
      <c r="H478" s="2">
        <v>1765506</v>
      </c>
      <c r="I478" s="2">
        <v>10</v>
      </c>
      <c r="J478" s="2">
        <v>22326</v>
      </c>
      <c r="K478" s="2">
        <v>6724716</v>
      </c>
      <c r="L478" s="2" t="s">
        <v>13</v>
      </c>
    </row>
    <row r="479" spans="1:12" x14ac:dyDescent="0.25">
      <c r="A479" s="2" t="str">
        <f t="shared" si="7"/>
        <v>APP478</v>
      </c>
      <c r="B479" s="2">
        <v>60</v>
      </c>
      <c r="C479" s="2">
        <v>378621</v>
      </c>
      <c r="D479" s="2" t="s">
        <v>12</v>
      </c>
      <c r="E479" s="2">
        <v>15</v>
      </c>
      <c r="F479" s="2">
        <v>639</v>
      </c>
      <c r="G479" s="2">
        <v>1</v>
      </c>
      <c r="H479" s="2">
        <v>4759278</v>
      </c>
      <c r="I479" s="2">
        <v>13</v>
      </c>
      <c r="J479" s="2">
        <v>13992</v>
      </c>
      <c r="K479" s="2">
        <v>1203656</v>
      </c>
      <c r="L479" s="2" t="s">
        <v>15</v>
      </c>
    </row>
    <row r="480" spans="1:12" x14ac:dyDescent="0.25">
      <c r="A480" s="2" t="str">
        <f t="shared" si="7"/>
        <v>APP479</v>
      </c>
      <c r="B480" s="2">
        <v>33</v>
      </c>
      <c r="C480" s="2">
        <v>1520063</v>
      </c>
      <c r="D480" s="2" t="s">
        <v>14</v>
      </c>
      <c r="E480" s="2">
        <v>22</v>
      </c>
      <c r="F480" s="2">
        <v>842</v>
      </c>
      <c r="G480" s="2">
        <v>1</v>
      </c>
      <c r="H480" s="2">
        <v>3515644</v>
      </c>
      <c r="I480" s="2">
        <v>8</v>
      </c>
      <c r="J480" s="2">
        <v>50496</v>
      </c>
      <c r="K480" s="2">
        <v>8666382</v>
      </c>
      <c r="L480" s="2" t="s">
        <v>13</v>
      </c>
    </row>
    <row r="481" spans="1:12" x14ac:dyDescent="0.25">
      <c r="A481" s="2" t="str">
        <f t="shared" si="7"/>
        <v>APP480</v>
      </c>
      <c r="B481" s="2">
        <v>61</v>
      </c>
      <c r="C481" s="2">
        <v>1478386</v>
      </c>
      <c r="D481" s="2" t="s">
        <v>12</v>
      </c>
      <c r="E481" s="2">
        <v>9</v>
      </c>
      <c r="F481" s="2">
        <v>522</v>
      </c>
      <c r="G481" s="2">
        <v>4</v>
      </c>
      <c r="H481" s="2">
        <v>874099</v>
      </c>
      <c r="I481" s="2">
        <v>28</v>
      </c>
      <c r="J481" s="2">
        <v>23504</v>
      </c>
      <c r="K481" s="2">
        <v>7052252</v>
      </c>
      <c r="L481" s="2" t="s">
        <v>15</v>
      </c>
    </row>
    <row r="482" spans="1:12" x14ac:dyDescent="0.25">
      <c r="A482" s="2" t="str">
        <f t="shared" si="7"/>
        <v>APP481</v>
      </c>
      <c r="B482" s="2">
        <v>63</v>
      </c>
      <c r="C482" s="2">
        <v>1199785</v>
      </c>
      <c r="D482" s="2" t="s">
        <v>16</v>
      </c>
      <c r="E482" s="2">
        <v>6</v>
      </c>
      <c r="F482" s="2">
        <v>787</v>
      </c>
      <c r="G482" s="2">
        <v>2</v>
      </c>
      <c r="H482" s="2">
        <v>4541108</v>
      </c>
      <c r="I482" s="2">
        <v>21</v>
      </c>
      <c r="J482" s="2">
        <v>72532</v>
      </c>
      <c r="K482" s="2">
        <v>5767695</v>
      </c>
      <c r="L482" s="2" t="s">
        <v>15</v>
      </c>
    </row>
    <row r="483" spans="1:12" x14ac:dyDescent="0.25">
      <c r="A483" s="2" t="str">
        <f t="shared" si="7"/>
        <v>APP482</v>
      </c>
      <c r="B483" s="2">
        <v>24</v>
      </c>
      <c r="C483" s="2">
        <v>1368536</v>
      </c>
      <c r="D483" s="2" t="s">
        <v>14</v>
      </c>
      <c r="E483" s="2">
        <v>7</v>
      </c>
      <c r="F483" s="2">
        <v>483</v>
      </c>
      <c r="G483" s="2">
        <v>0</v>
      </c>
      <c r="H483" s="2">
        <v>1880454</v>
      </c>
      <c r="I483" s="2">
        <v>19</v>
      </c>
      <c r="J483" s="2">
        <v>54551</v>
      </c>
      <c r="K483" s="2">
        <v>6004191</v>
      </c>
      <c r="L483" s="2" t="s">
        <v>13</v>
      </c>
    </row>
    <row r="484" spans="1:12" x14ac:dyDescent="0.25">
      <c r="A484" s="2" t="str">
        <f t="shared" si="7"/>
        <v>APP483</v>
      </c>
      <c r="B484" s="2">
        <v>35</v>
      </c>
      <c r="C484" s="2">
        <v>433465</v>
      </c>
      <c r="D484" s="2" t="s">
        <v>16</v>
      </c>
      <c r="E484" s="2">
        <v>2</v>
      </c>
      <c r="F484" s="2">
        <v>318</v>
      </c>
      <c r="G484" s="2">
        <v>3</v>
      </c>
      <c r="H484" s="2">
        <v>3411812</v>
      </c>
      <c r="I484" s="2">
        <v>28</v>
      </c>
      <c r="J484" s="2">
        <v>63113</v>
      </c>
      <c r="K484" s="2">
        <v>7654553</v>
      </c>
      <c r="L484" s="2" t="s">
        <v>13</v>
      </c>
    </row>
    <row r="485" spans="1:12" x14ac:dyDescent="0.25">
      <c r="A485" s="2" t="str">
        <f t="shared" si="7"/>
        <v>APP484</v>
      </c>
      <c r="B485" s="2">
        <v>58</v>
      </c>
      <c r="C485" s="2">
        <v>579492</v>
      </c>
      <c r="D485" s="2" t="s">
        <v>16</v>
      </c>
      <c r="E485" s="2">
        <v>14</v>
      </c>
      <c r="F485" s="2">
        <v>725</v>
      </c>
      <c r="G485" s="2">
        <v>4</v>
      </c>
      <c r="H485" s="2">
        <v>4541287</v>
      </c>
      <c r="I485" s="2">
        <v>18</v>
      </c>
      <c r="J485" s="2">
        <v>41553</v>
      </c>
      <c r="K485" s="2">
        <v>5692088</v>
      </c>
      <c r="L485" s="2" t="s">
        <v>13</v>
      </c>
    </row>
    <row r="486" spans="1:12" x14ac:dyDescent="0.25">
      <c r="A486" s="2" t="str">
        <f t="shared" si="7"/>
        <v>APP485</v>
      </c>
      <c r="B486" s="2">
        <v>28</v>
      </c>
      <c r="C486" s="2">
        <v>813972</v>
      </c>
      <c r="D486" s="2" t="s">
        <v>12</v>
      </c>
      <c r="E486" s="2">
        <v>29</v>
      </c>
      <c r="F486" s="2">
        <v>576</v>
      </c>
      <c r="G486" s="2">
        <v>5</v>
      </c>
      <c r="H486" s="2">
        <v>2946347</v>
      </c>
      <c r="I486" s="2">
        <v>27</v>
      </c>
      <c r="J486" s="2">
        <v>71795</v>
      </c>
      <c r="K486" s="2">
        <v>8569314</v>
      </c>
      <c r="L486" s="2" t="s">
        <v>13</v>
      </c>
    </row>
    <row r="487" spans="1:12" x14ac:dyDescent="0.25">
      <c r="A487" s="2" t="str">
        <f t="shared" si="7"/>
        <v>APP486</v>
      </c>
      <c r="B487" s="2">
        <v>23</v>
      </c>
      <c r="C487" s="2">
        <v>815020</v>
      </c>
      <c r="D487" s="2" t="s">
        <v>12</v>
      </c>
      <c r="E487" s="2">
        <v>10</v>
      </c>
      <c r="F487" s="2">
        <v>473</v>
      </c>
      <c r="G487" s="2">
        <v>0</v>
      </c>
      <c r="H487" s="2">
        <v>3594094</v>
      </c>
      <c r="I487" s="2">
        <v>14</v>
      </c>
      <c r="J487" s="2">
        <v>23460</v>
      </c>
      <c r="K487" s="2">
        <v>7908320</v>
      </c>
      <c r="L487" s="2" t="s">
        <v>15</v>
      </c>
    </row>
    <row r="488" spans="1:12" x14ac:dyDescent="0.25">
      <c r="A488" s="2" t="str">
        <f t="shared" si="7"/>
        <v>APP487</v>
      </c>
      <c r="B488" s="2">
        <v>48</v>
      </c>
      <c r="C488" s="2">
        <v>171592</v>
      </c>
      <c r="D488" s="2" t="s">
        <v>14</v>
      </c>
      <c r="E488" s="2">
        <v>11</v>
      </c>
      <c r="F488" s="2">
        <v>305</v>
      </c>
      <c r="G488" s="2">
        <v>4</v>
      </c>
      <c r="H488" s="2">
        <v>4265321</v>
      </c>
      <c r="I488" s="2">
        <v>5</v>
      </c>
      <c r="J488" s="2">
        <v>32747</v>
      </c>
      <c r="K488" s="2">
        <v>3604092</v>
      </c>
      <c r="L488" s="2" t="s">
        <v>13</v>
      </c>
    </row>
    <row r="489" spans="1:12" x14ac:dyDescent="0.25">
      <c r="A489" s="2" t="str">
        <f t="shared" si="7"/>
        <v>APP488</v>
      </c>
      <c r="B489" s="2">
        <v>36</v>
      </c>
      <c r="C489" s="2">
        <v>584706</v>
      </c>
      <c r="D489" s="2" t="s">
        <v>14</v>
      </c>
      <c r="E489" s="2">
        <v>14</v>
      </c>
      <c r="F489" s="2">
        <v>305</v>
      </c>
      <c r="G489" s="2">
        <v>3</v>
      </c>
      <c r="H489" s="2">
        <v>4509570</v>
      </c>
      <c r="I489" s="2">
        <v>26</v>
      </c>
      <c r="J489" s="2">
        <v>30842</v>
      </c>
      <c r="K489" s="2">
        <v>4656450</v>
      </c>
      <c r="L489" s="2" t="s">
        <v>13</v>
      </c>
    </row>
    <row r="490" spans="1:12" x14ac:dyDescent="0.25">
      <c r="A490" s="2" t="str">
        <f t="shared" si="7"/>
        <v>APP489</v>
      </c>
      <c r="B490" s="2">
        <v>49</v>
      </c>
      <c r="C490" s="2">
        <v>300746</v>
      </c>
      <c r="D490" s="2" t="s">
        <v>14</v>
      </c>
      <c r="E490" s="2">
        <v>12</v>
      </c>
      <c r="F490" s="2">
        <v>682</v>
      </c>
      <c r="G490" s="2">
        <v>1</v>
      </c>
      <c r="H490" s="2">
        <v>1157091</v>
      </c>
      <c r="I490" s="2">
        <v>3</v>
      </c>
      <c r="J490" s="2">
        <v>43156</v>
      </c>
      <c r="K490" s="2">
        <v>2458108</v>
      </c>
      <c r="L490" s="2" t="s">
        <v>15</v>
      </c>
    </row>
    <row r="491" spans="1:12" x14ac:dyDescent="0.25">
      <c r="A491" s="2" t="str">
        <f t="shared" si="7"/>
        <v>APP490</v>
      </c>
      <c r="B491" s="2">
        <v>53</v>
      </c>
      <c r="C491" s="2">
        <v>312632</v>
      </c>
      <c r="D491" s="2" t="s">
        <v>12</v>
      </c>
      <c r="E491" s="2">
        <v>22</v>
      </c>
      <c r="F491" s="2">
        <v>525</v>
      </c>
      <c r="G491" s="2">
        <v>1</v>
      </c>
      <c r="H491" s="2">
        <v>2865595</v>
      </c>
      <c r="I491" s="2">
        <v>21</v>
      </c>
      <c r="J491" s="2">
        <v>40294</v>
      </c>
      <c r="K491" s="2">
        <v>5019711</v>
      </c>
      <c r="L491" s="2" t="s">
        <v>15</v>
      </c>
    </row>
    <row r="492" spans="1:12" x14ac:dyDescent="0.25">
      <c r="A492" s="2" t="str">
        <f t="shared" si="7"/>
        <v>APP491</v>
      </c>
      <c r="B492" s="2">
        <v>30</v>
      </c>
      <c r="C492" s="2">
        <v>2394640</v>
      </c>
      <c r="D492" s="2" t="s">
        <v>16</v>
      </c>
      <c r="E492" s="2">
        <v>30</v>
      </c>
      <c r="F492" s="2">
        <v>588</v>
      </c>
      <c r="G492" s="2">
        <v>5</v>
      </c>
      <c r="H492" s="2">
        <v>1881806</v>
      </c>
      <c r="I492" s="2">
        <v>25</v>
      </c>
      <c r="J492" s="2">
        <v>71458</v>
      </c>
      <c r="K492" s="2">
        <v>280625</v>
      </c>
      <c r="L492" s="2" t="s">
        <v>13</v>
      </c>
    </row>
    <row r="493" spans="1:12" x14ac:dyDescent="0.25">
      <c r="A493" s="2" t="str">
        <f t="shared" si="7"/>
        <v>APP492</v>
      </c>
      <c r="B493" s="2">
        <v>38</v>
      </c>
      <c r="C493" s="2">
        <v>2175880</v>
      </c>
      <c r="D493" s="2" t="s">
        <v>16</v>
      </c>
      <c r="E493" s="2">
        <v>1</v>
      </c>
      <c r="F493" s="2">
        <v>411</v>
      </c>
      <c r="G493" s="2">
        <v>0</v>
      </c>
      <c r="H493" s="2">
        <v>340767</v>
      </c>
      <c r="I493" s="2">
        <v>22</v>
      </c>
      <c r="J493" s="2">
        <v>70602</v>
      </c>
      <c r="K493" s="2">
        <v>3587887</v>
      </c>
      <c r="L493" s="2" t="s">
        <v>13</v>
      </c>
    </row>
    <row r="494" spans="1:12" x14ac:dyDescent="0.25">
      <c r="A494" s="2" t="str">
        <f t="shared" si="7"/>
        <v>APP493</v>
      </c>
      <c r="B494" s="2">
        <v>57</v>
      </c>
      <c r="C494" s="2">
        <v>2012660</v>
      </c>
      <c r="D494" s="2" t="s">
        <v>16</v>
      </c>
      <c r="E494" s="2">
        <v>8</v>
      </c>
      <c r="F494" s="2">
        <v>779</v>
      </c>
      <c r="G494" s="2">
        <v>0</v>
      </c>
      <c r="H494" s="2">
        <v>3753981</v>
      </c>
      <c r="I494" s="2">
        <v>19</v>
      </c>
      <c r="J494" s="2">
        <v>11661</v>
      </c>
      <c r="K494" s="2">
        <v>4994767</v>
      </c>
      <c r="L494" s="2" t="s">
        <v>13</v>
      </c>
    </row>
    <row r="495" spans="1:12" x14ac:dyDescent="0.25">
      <c r="A495" s="2" t="str">
        <f t="shared" si="7"/>
        <v>APP494</v>
      </c>
      <c r="B495" s="2">
        <v>49</v>
      </c>
      <c r="C495" s="2">
        <v>781139</v>
      </c>
      <c r="D495" s="2" t="s">
        <v>16</v>
      </c>
      <c r="E495" s="2">
        <v>35</v>
      </c>
      <c r="F495" s="2">
        <v>603</v>
      </c>
      <c r="G495" s="2">
        <v>2</v>
      </c>
      <c r="H495" s="2">
        <v>756776</v>
      </c>
      <c r="I495" s="2">
        <v>8</v>
      </c>
      <c r="J495" s="2">
        <v>53189</v>
      </c>
      <c r="K495" s="2">
        <v>8929792</v>
      </c>
      <c r="L495" s="2" t="s">
        <v>13</v>
      </c>
    </row>
    <row r="496" spans="1:12" x14ac:dyDescent="0.25">
      <c r="A496" s="2" t="str">
        <f t="shared" si="7"/>
        <v>APP495</v>
      </c>
      <c r="B496" s="2">
        <v>23</v>
      </c>
      <c r="C496" s="2">
        <v>580784</v>
      </c>
      <c r="D496" s="2" t="s">
        <v>14</v>
      </c>
      <c r="E496" s="2">
        <v>4</v>
      </c>
      <c r="F496" s="2">
        <v>848</v>
      </c>
      <c r="G496" s="2">
        <v>4</v>
      </c>
      <c r="H496" s="2">
        <v>3437741</v>
      </c>
      <c r="I496" s="2">
        <v>9</v>
      </c>
      <c r="J496" s="2">
        <v>3290</v>
      </c>
      <c r="K496" s="2">
        <v>2104009</v>
      </c>
      <c r="L496" s="2" t="s">
        <v>13</v>
      </c>
    </row>
    <row r="497" spans="1:12" x14ac:dyDescent="0.25">
      <c r="A497" s="2" t="str">
        <f t="shared" si="7"/>
        <v>APP496</v>
      </c>
      <c r="B497" s="2">
        <v>36</v>
      </c>
      <c r="C497" s="2">
        <v>1947529</v>
      </c>
      <c r="D497" s="2" t="s">
        <v>14</v>
      </c>
      <c r="E497" s="2">
        <v>10</v>
      </c>
      <c r="F497" s="2">
        <v>749</v>
      </c>
      <c r="G497" s="2">
        <v>5</v>
      </c>
      <c r="H497" s="2">
        <v>1525959</v>
      </c>
      <c r="I497" s="2">
        <v>25</v>
      </c>
      <c r="J497" s="2">
        <v>63796</v>
      </c>
      <c r="K497" s="2">
        <v>1215054</v>
      </c>
      <c r="L497" s="2" t="s">
        <v>13</v>
      </c>
    </row>
    <row r="498" spans="1:12" x14ac:dyDescent="0.25">
      <c r="A498" s="2" t="str">
        <f t="shared" si="7"/>
        <v>APP497</v>
      </c>
      <c r="B498" s="2">
        <v>58</v>
      </c>
      <c r="C498" s="2">
        <v>1192164</v>
      </c>
      <c r="D498" s="2" t="s">
        <v>16</v>
      </c>
      <c r="E498" s="2">
        <v>3</v>
      </c>
      <c r="F498" s="2">
        <v>843</v>
      </c>
      <c r="G498" s="2">
        <v>2</v>
      </c>
      <c r="H498" s="2">
        <v>1429324</v>
      </c>
      <c r="I498" s="2">
        <v>7</v>
      </c>
      <c r="J498" s="2">
        <v>4567</v>
      </c>
      <c r="K498" s="2">
        <v>1117132</v>
      </c>
      <c r="L498" s="2" t="s">
        <v>13</v>
      </c>
    </row>
    <row r="499" spans="1:12" x14ac:dyDescent="0.25">
      <c r="A499" s="2" t="str">
        <f t="shared" si="7"/>
        <v>APP498</v>
      </c>
      <c r="B499" s="2">
        <v>22</v>
      </c>
      <c r="C499" s="2">
        <v>2252654</v>
      </c>
      <c r="D499" s="2" t="s">
        <v>12</v>
      </c>
      <c r="E499" s="2">
        <v>25</v>
      </c>
      <c r="F499" s="2">
        <v>387</v>
      </c>
      <c r="G499" s="2">
        <v>2</v>
      </c>
      <c r="H499" s="2">
        <v>3797516</v>
      </c>
      <c r="I499" s="2">
        <v>2</v>
      </c>
      <c r="J499" s="2">
        <v>22341</v>
      </c>
      <c r="K499" s="2">
        <v>7476368</v>
      </c>
      <c r="L499" s="2" t="s">
        <v>13</v>
      </c>
    </row>
    <row r="500" spans="1:12" x14ac:dyDescent="0.25">
      <c r="A500" s="2" t="str">
        <f t="shared" si="7"/>
        <v>APP499</v>
      </c>
      <c r="B500" s="2">
        <v>41</v>
      </c>
      <c r="C500" s="2">
        <v>2269603</v>
      </c>
      <c r="D500" s="2" t="s">
        <v>16</v>
      </c>
      <c r="E500" s="2">
        <v>10</v>
      </c>
      <c r="F500" s="2">
        <v>795</v>
      </c>
      <c r="G500" s="2">
        <v>5</v>
      </c>
      <c r="H500" s="2">
        <v>4591278</v>
      </c>
      <c r="I500" s="2">
        <v>27</v>
      </c>
      <c r="J500" s="2">
        <v>63461</v>
      </c>
      <c r="K500" s="2">
        <v>5158606</v>
      </c>
      <c r="L500" s="2" t="s">
        <v>13</v>
      </c>
    </row>
    <row r="501" spans="1:12" x14ac:dyDescent="0.25">
      <c r="A501" s="2" t="str">
        <f t="shared" si="7"/>
        <v>APP500</v>
      </c>
      <c r="B501" s="2">
        <v>44</v>
      </c>
      <c r="C501" s="2">
        <v>2478011</v>
      </c>
      <c r="D501" s="2" t="s">
        <v>12</v>
      </c>
      <c r="E501" s="2">
        <v>25</v>
      </c>
      <c r="F501" s="2">
        <v>311</v>
      </c>
      <c r="G501" s="2">
        <v>1</v>
      </c>
      <c r="H501" s="2">
        <v>1146604</v>
      </c>
      <c r="I501" s="2">
        <v>15</v>
      </c>
      <c r="J501" s="2">
        <v>28339</v>
      </c>
      <c r="K501" s="2">
        <v>2733356</v>
      </c>
      <c r="L501" s="2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F074-7264-43C0-9274-562B02C5CFED}">
  <sheetPr>
    <tabColor theme="8" tint="-0.249977111117893"/>
  </sheetPr>
  <dimension ref="A1:T501"/>
  <sheetViews>
    <sheetView topLeftCell="J1" workbookViewId="0">
      <selection activeCell="L11" sqref="L11"/>
    </sheetView>
  </sheetViews>
  <sheetFormatPr defaultColWidth="27.28515625" defaultRowHeight="15" x14ac:dyDescent="0.25"/>
  <cols>
    <col min="1" max="16384" width="27.28515625" style="3"/>
  </cols>
  <sheetData>
    <row r="1" spans="1:20" s="4" customFormat="1" ht="24.95" customHeight="1" x14ac:dyDescent="0.25">
      <c r="A1" s="4" t="s">
        <v>0</v>
      </c>
      <c r="B1" s="4" t="s">
        <v>17</v>
      </c>
      <c r="C1" s="4" t="s">
        <v>18</v>
      </c>
      <c r="D1" s="4" t="s">
        <v>19</v>
      </c>
      <c r="E1" s="4" t="s">
        <v>20</v>
      </c>
      <c r="F1" s="4" t="s">
        <v>21</v>
      </c>
      <c r="G1" s="4" t="s">
        <v>22</v>
      </c>
      <c r="H1" s="4" t="s">
        <v>23</v>
      </c>
      <c r="I1" s="4" t="s">
        <v>24</v>
      </c>
      <c r="J1" s="3"/>
      <c r="K1" s="4" t="s">
        <v>25</v>
      </c>
      <c r="L1" s="4" t="s">
        <v>26</v>
      </c>
      <c r="M1" s="4" t="s">
        <v>27</v>
      </c>
      <c r="N1" s="4" t="s">
        <v>28</v>
      </c>
      <c r="O1" s="4" t="s">
        <v>29</v>
      </c>
      <c r="P1" s="4" t="s">
        <v>30</v>
      </c>
      <c r="Q1" s="4" t="s">
        <v>31</v>
      </c>
      <c r="R1" s="4" t="s">
        <v>32</v>
      </c>
      <c r="S1" s="4" t="s">
        <v>33</v>
      </c>
      <c r="T1" s="4" t="s">
        <v>34</v>
      </c>
    </row>
    <row r="2" spans="1:20" x14ac:dyDescent="0.25">
      <c r="A2" s="3" t="str">
        <f>RAW_DATA!A2</f>
        <v>APP001</v>
      </c>
      <c r="B2" s="3" t="b">
        <f>AND(RAW_DATA!B2&gt;=21,RAW_DATA!B2&lt;=60)</f>
        <v>0</v>
      </c>
      <c r="C2" s="3" t="b">
        <f>RAW_DATA!C2&gt;=300000</f>
        <v>1</v>
      </c>
      <c r="D2" s="3" t="b">
        <f>RAW_DATA!F2&gt;=650</f>
        <v>0</v>
      </c>
      <c r="E2" s="3" t="b">
        <f>RAW_DATA!E2&gt;=1</f>
        <v>1</v>
      </c>
      <c r="F2" s="3" t="b">
        <f>RAW_DATA!L2="No"</f>
        <v>1</v>
      </c>
      <c r="G2" s="3" t="b">
        <f>AND(B2:F2)</f>
        <v>0</v>
      </c>
      <c r="H2" s="3" t="str">
        <f>IF(G2,"ELIGIBLE","INELIGIBLE")</f>
        <v>INELIGIBLE</v>
      </c>
      <c r="I2" s="3" t="str">
        <f>IF(G2,"",_xlfn.TEXTJOIN(", ",TRUE,IF(B2,"","Age"),IF(C2,"","Income"),IF(D2,"","Credit Score"),IF(E2,"","Employment"),IF(F2,"","Defaulter History")))</f>
        <v>Age, Credit Score</v>
      </c>
      <c r="K2" s="3" cm="1">
        <f t="array" ref="K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" s="5">
        <f>IF(RAW_DATA!C2&lt;300000,0,IF(RAW_DATA!C2&lt;600000,5,IF(RAW_DATA!C2&lt;1200000,15,IF(RAW_DATA!C2&lt;2000000,20,25))))</f>
        <v>20</v>
      </c>
      <c r="M2" s="3">
        <f>IF(RAW_DATA!E2&lt;1,0,IF(RAW_DATA!E2&lt;3,3,IF(RAW_DATA!E2&lt;5,5,IF(RAW_DATA!E2&lt;10,8,10))))</f>
        <v>8</v>
      </c>
      <c r="N2" s="3">
        <f>IF(RAW_DATA!F2&lt;650,0,IF(RAW_DATA!F2&lt;700,8,IF(RAW_DATA!F2&lt;750,15,IF(RAW_DATA!F2&lt;800,20,25))))</f>
        <v>0</v>
      </c>
      <c r="O2" s="3">
        <f>IF(RAW_DATA!G2=0,5,IF(RAW_DATA!G2=1,4,IF(RAW_DATA!G2=2,3,IF(RAW_DATA!G2=3,2,IF(RAW_DATA!G2=4,1,0)))))</f>
        <v>2</v>
      </c>
      <c r="P2" s="3">
        <f>IF(RAW_DATA!K2&gt;=RAW_DATA!H2,20,ROUND((RAW_DATA!K2/RAW_DATA!H2)*20,0))</f>
        <v>20</v>
      </c>
      <c r="Q2" s="3">
        <f>IF(RAW_DATA!L2="No",5,0)</f>
        <v>5</v>
      </c>
      <c r="R2" s="3">
        <f>K2+L2+M2+N2+O2+P2+Q2</f>
        <v>55</v>
      </c>
      <c r="S2" s="3">
        <f>R2</f>
        <v>55</v>
      </c>
      <c r="T2" s="3" t="str">
        <f>IF(H2="INELIGIBLE","Not Scored - Ineligible",IF(S2&gt;=70,"Strong",IF(S2&gt;=50,"Moderate","Weak")))</f>
        <v>Not Scored - Ineligible</v>
      </c>
    </row>
    <row r="3" spans="1:20" x14ac:dyDescent="0.25">
      <c r="A3" s="3" t="str">
        <f>RAW_DATA!A3</f>
        <v>APP002</v>
      </c>
      <c r="B3" s="3" t="b">
        <f>AND(RAW_DATA!B3&gt;=21,RAW_DATA!B3&lt;=60)</f>
        <v>1</v>
      </c>
      <c r="C3" s="3" t="b">
        <f>RAW_DATA!C3&gt;=300000</f>
        <v>1</v>
      </c>
      <c r="D3" s="3" t="b">
        <f>RAW_DATA!F3&gt;=650</f>
        <v>0</v>
      </c>
      <c r="E3" s="3" t="b">
        <f>RAW_DATA!E3&gt;=1</f>
        <v>1</v>
      </c>
      <c r="F3" s="3" t="b">
        <f>RAW_DATA!L3="No"</f>
        <v>0</v>
      </c>
      <c r="G3" s="3" t="b">
        <f t="shared" ref="G3:G66" si="0">AND(B3:F3)</f>
        <v>0</v>
      </c>
      <c r="H3" s="3" t="str">
        <f t="shared" ref="H3:H66" si="1">IF(G3,"ELIGIBLE","INELIGIBLE")</f>
        <v>INELIGIBLE</v>
      </c>
      <c r="I3" s="3" t="str">
        <f t="shared" ref="I3:I66" si="2">IF(G3,"",_xlfn.TEXTJOIN(", ",TRUE,IF(B3,"","Age"),IF(C3,"","Income"),IF(D3,"","Credit Score"),IF(E3,"","Employment"),IF(F3,"","Defaulter History")))</f>
        <v>Credit Score, Defaulter History</v>
      </c>
      <c r="K3" s="3" cm="1">
        <f t="array" ref="K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" s="5">
        <f>IF(RAW_DATA!C3&lt;300000,0,IF(RAW_DATA!C3&lt;600000,5,IF(RAW_DATA!C3&lt;1200000,15,IF(RAW_DATA!C3&lt;2000000,20,25))))</f>
        <v>25</v>
      </c>
      <c r="M3" s="3">
        <f>IF(RAW_DATA!E3&lt;1,0,IF(RAW_DATA!E3&lt;3,3,IF(RAW_DATA!E3&lt;5,5,IF(RAW_DATA!E3&lt;10,8,10))))</f>
        <v>10</v>
      </c>
      <c r="N3" s="3">
        <f>IF(RAW_DATA!F3&lt;650,0,IF(RAW_DATA!F3&lt;700,8,IF(RAW_DATA!F3&lt;750,15,IF(RAW_DATA!F3&lt;800,20,25))))</f>
        <v>0</v>
      </c>
      <c r="O3" s="3">
        <f>IF(RAW_DATA!G3=0,5,IF(RAW_DATA!G3=1,4,IF(RAW_DATA!G3=2,3,IF(RAW_DATA!G3=3,2,IF(RAW_DATA!G3=4,1,0)))))</f>
        <v>1</v>
      </c>
      <c r="P3" s="3">
        <f>IF(RAW_DATA!K3&gt;=RAW_DATA!H3,20,ROUND((RAW_DATA!K3/RAW_DATA!H3)*20,0))</f>
        <v>20</v>
      </c>
      <c r="Q3" s="3">
        <f>IF(RAW_DATA!L3="No",5,0)</f>
        <v>0</v>
      </c>
      <c r="R3" s="3">
        <f t="shared" ref="R3:R66" si="3">K3+L3+M3+N3+O3+P3+Q3</f>
        <v>66</v>
      </c>
      <c r="S3" s="3">
        <f t="shared" ref="S3:S66" si="4">R3</f>
        <v>66</v>
      </c>
      <c r="T3" s="3" t="str">
        <f t="shared" ref="T3:T66" si="5">IF(H3="INELIGIBLE","Not Scored - Ineligible",IF(S3&gt;=70,"Strong",IF(S3&gt;=50,"Moderate","Weak")))</f>
        <v>Not Scored - Ineligible</v>
      </c>
    </row>
    <row r="4" spans="1:20" x14ac:dyDescent="0.25">
      <c r="A4" s="3" t="str">
        <f>RAW_DATA!A4</f>
        <v>APP003</v>
      </c>
      <c r="B4" s="3" t="b">
        <f>AND(RAW_DATA!B4&gt;=21,RAW_DATA!B4&lt;=60)</f>
        <v>0</v>
      </c>
      <c r="C4" s="3" t="b">
        <f>RAW_DATA!C4&gt;=300000</f>
        <v>0</v>
      </c>
      <c r="D4" s="3" t="b">
        <f>RAW_DATA!F4&gt;=650</f>
        <v>1</v>
      </c>
      <c r="E4" s="3" t="b">
        <f>RAW_DATA!E4&gt;=1</f>
        <v>1</v>
      </c>
      <c r="F4" s="3" t="b">
        <f>RAW_DATA!L4="No"</f>
        <v>1</v>
      </c>
      <c r="G4" s="3" t="b">
        <f t="shared" si="0"/>
        <v>0</v>
      </c>
      <c r="H4" s="3" t="str">
        <f t="shared" si="1"/>
        <v>INELIGIBLE</v>
      </c>
      <c r="I4" s="3" t="str">
        <f t="shared" si="2"/>
        <v>Age, Income</v>
      </c>
      <c r="K4" s="3" cm="1">
        <f t="array" ref="K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" s="5">
        <f>IF(RAW_DATA!C4&lt;300000,0,IF(RAW_DATA!C4&lt;600000,5,IF(RAW_DATA!C4&lt;1200000,15,IF(RAW_DATA!C4&lt;2000000,20,25))))</f>
        <v>0</v>
      </c>
      <c r="M4" s="3">
        <f>IF(RAW_DATA!E4&lt;1,0,IF(RAW_DATA!E4&lt;3,3,IF(RAW_DATA!E4&lt;5,5,IF(RAW_DATA!E4&lt;10,8,10))))</f>
        <v>10</v>
      </c>
      <c r="N4" s="3">
        <f>IF(RAW_DATA!F4&lt;650,0,IF(RAW_DATA!F4&lt;700,8,IF(RAW_DATA!F4&lt;750,15,IF(RAW_DATA!F4&lt;800,20,25))))</f>
        <v>25</v>
      </c>
      <c r="O4" s="3">
        <f>IF(RAW_DATA!G4=0,5,IF(RAW_DATA!G4=1,4,IF(RAW_DATA!G4=2,3,IF(RAW_DATA!G4=3,2,IF(RAW_DATA!G4=4,1,0)))))</f>
        <v>0</v>
      </c>
      <c r="P4" s="3">
        <f>IF(RAW_DATA!K4&gt;=RAW_DATA!H4,20,ROUND((RAW_DATA!K4/RAW_DATA!H4)*20,0))</f>
        <v>12</v>
      </c>
      <c r="Q4" s="3">
        <f>IF(RAW_DATA!L4="No",5,0)</f>
        <v>5</v>
      </c>
      <c r="R4" s="3">
        <f t="shared" si="3"/>
        <v>52</v>
      </c>
      <c r="S4" s="3">
        <f t="shared" si="4"/>
        <v>52</v>
      </c>
      <c r="T4" s="3" t="str">
        <f t="shared" si="5"/>
        <v>Not Scored - Ineligible</v>
      </c>
    </row>
    <row r="5" spans="1:20" x14ac:dyDescent="0.25">
      <c r="A5" s="3" t="str">
        <f>RAW_DATA!A5</f>
        <v>APP004</v>
      </c>
      <c r="B5" s="3" t="b">
        <f>AND(RAW_DATA!B5&gt;=21,RAW_DATA!B5&lt;=60)</f>
        <v>1</v>
      </c>
      <c r="C5" s="3" t="b">
        <f>RAW_DATA!C5&gt;=300000</f>
        <v>1</v>
      </c>
      <c r="D5" s="3" t="b">
        <f>RAW_DATA!F5&gt;=650</f>
        <v>1</v>
      </c>
      <c r="E5" s="3" t="b">
        <f>RAW_DATA!E5&gt;=1</f>
        <v>1</v>
      </c>
      <c r="F5" s="3" t="b">
        <f>RAW_DATA!L5="No"</f>
        <v>1</v>
      </c>
      <c r="G5" s="3" t="b">
        <f t="shared" si="0"/>
        <v>1</v>
      </c>
      <c r="H5" s="3" t="str">
        <f t="shared" si="1"/>
        <v>ELIGIBLE</v>
      </c>
      <c r="I5" s="3" t="str">
        <f t="shared" si="2"/>
        <v/>
      </c>
      <c r="K5" s="3" cm="1">
        <f t="array" ref="K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5" s="5">
        <f>IF(RAW_DATA!C5&lt;300000,0,IF(RAW_DATA!C5&lt;600000,5,IF(RAW_DATA!C5&lt;1200000,15,IF(RAW_DATA!C5&lt;2000000,20,25))))</f>
        <v>20</v>
      </c>
      <c r="M5" s="3">
        <f>IF(RAW_DATA!E5&lt;1,0,IF(RAW_DATA!E5&lt;3,3,IF(RAW_DATA!E5&lt;5,5,IF(RAW_DATA!E5&lt;10,8,10))))</f>
        <v>10</v>
      </c>
      <c r="N5" s="3">
        <f>IF(RAW_DATA!F5&lt;650,0,IF(RAW_DATA!F5&lt;700,8,IF(RAW_DATA!F5&lt;750,15,IF(RAW_DATA!F5&lt;800,20,25))))</f>
        <v>25</v>
      </c>
      <c r="O5" s="3">
        <f>IF(RAW_DATA!G5=0,5,IF(RAW_DATA!G5=1,4,IF(RAW_DATA!G5=2,3,IF(RAW_DATA!G5=3,2,IF(RAW_DATA!G5=4,1,0)))))</f>
        <v>5</v>
      </c>
      <c r="P5" s="3">
        <f>IF(RAW_DATA!K5&gt;=RAW_DATA!H5,20,ROUND((RAW_DATA!K5/RAW_DATA!H5)*20,0))</f>
        <v>20</v>
      </c>
      <c r="Q5" s="3">
        <f>IF(RAW_DATA!L5="No",5,0)</f>
        <v>5</v>
      </c>
      <c r="R5" s="3">
        <f t="shared" si="3"/>
        <v>91</v>
      </c>
      <c r="S5" s="3">
        <f t="shared" si="4"/>
        <v>91</v>
      </c>
      <c r="T5" s="3" t="str">
        <f t="shared" si="5"/>
        <v>Strong</v>
      </c>
    </row>
    <row r="6" spans="1:20" x14ac:dyDescent="0.25">
      <c r="A6" s="3" t="str">
        <f>RAW_DATA!A6</f>
        <v>APP005</v>
      </c>
      <c r="B6" s="3" t="b">
        <f>AND(RAW_DATA!B6&gt;=21,RAW_DATA!B6&lt;=60)</f>
        <v>1</v>
      </c>
      <c r="C6" s="3" t="b">
        <f>RAW_DATA!C6&gt;=300000</f>
        <v>1</v>
      </c>
      <c r="D6" s="3" t="b">
        <f>RAW_DATA!F6&gt;=650</f>
        <v>1</v>
      </c>
      <c r="E6" s="3" t="b">
        <f>RAW_DATA!E6&gt;=1</f>
        <v>1</v>
      </c>
      <c r="F6" s="3" t="b">
        <f>RAW_DATA!L6="No"</f>
        <v>1</v>
      </c>
      <c r="G6" s="3" t="b">
        <f t="shared" si="0"/>
        <v>1</v>
      </c>
      <c r="H6" s="3" t="str">
        <f t="shared" si="1"/>
        <v>ELIGIBLE</v>
      </c>
      <c r="I6" s="3" t="str">
        <f t="shared" si="2"/>
        <v/>
      </c>
      <c r="K6" s="3" cm="1">
        <f t="array" ref="K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" s="5">
        <f>IF(RAW_DATA!C6&lt;300000,0,IF(RAW_DATA!C6&lt;600000,5,IF(RAW_DATA!C6&lt;1200000,15,IF(RAW_DATA!C6&lt;2000000,20,25))))</f>
        <v>20</v>
      </c>
      <c r="M6" s="3">
        <f>IF(RAW_DATA!E6&lt;1,0,IF(RAW_DATA!E6&lt;3,3,IF(RAW_DATA!E6&lt;5,5,IF(RAW_DATA!E6&lt;10,8,10))))</f>
        <v>10</v>
      </c>
      <c r="N6" s="3">
        <f>IF(RAW_DATA!F6&lt;650,0,IF(RAW_DATA!F6&lt;700,8,IF(RAW_DATA!F6&lt;750,15,IF(RAW_DATA!F6&lt;800,20,25))))</f>
        <v>25</v>
      </c>
      <c r="O6" s="3">
        <f>IF(RAW_DATA!G6=0,5,IF(RAW_DATA!G6=1,4,IF(RAW_DATA!G6=2,3,IF(RAW_DATA!G6=3,2,IF(RAW_DATA!G6=4,1,0)))))</f>
        <v>4</v>
      </c>
      <c r="P6" s="3">
        <f>IF(RAW_DATA!K6&gt;=RAW_DATA!H6,20,ROUND((RAW_DATA!K6/RAW_DATA!H6)*20,0))</f>
        <v>20</v>
      </c>
      <c r="Q6" s="3">
        <f>IF(RAW_DATA!L6="No",5,0)</f>
        <v>5</v>
      </c>
      <c r="R6" s="3">
        <f t="shared" si="3"/>
        <v>88</v>
      </c>
      <c r="S6" s="3">
        <f t="shared" si="4"/>
        <v>88</v>
      </c>
      <c r="T6" s="3" t="str">
        <f t="shared" si="5"/>
        <v>Strong</v>
      </c>
    </row>
    <row r="7" spans="1:20" x14ac:dyDescent="0.25">
      <c r="A7" s="3" t="str">
        <f>RAW_DATA!A7</f>
        <v>APP006</v>
      </c>
      <c r="B7" s="3" t="b">
        <f>AND(RAW_DATA!B7&gt;=21,RAW_DATA!B7&lt;=60)</f>
        <v>1</v>
      </c>
      <c r="C7" s="3" t="b">
        <f>RAW_DATA!C7&gt;=300000</f>
        <v>1</v>
      </c>
      <c r="D7" s="3" t="b">
        <f>RAW_DATA!F7&gt;=650</f>
        <v>0</v>
      </c>
      <c r="E7" s="3" t="b">
        <f>RAW_DATA!E7&gt;=1</f>
        <v>1</v>
      </c>
      <c r="F7" s="3" t="b">
        <f>RAW_DATA!L7="No"</f>
        <v>1</v>
      </c>
      <c r="G7" s="3" t="b">
        <f t="shared" si="0"/>
        <v>0</v>
      </c>
      <c r="H7" s="3" t="str">
        <f t="shared" si="1"/>
        <v>INELIGIBLE</v>
      </c>
      <c r="I7" s="3" t="str">
        <f t="shared" si="2"/>
        <v>Credit Score</v>
      </c>
      <c r="K7" s="3" cm="1">
        <f t="array" ref="K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" s="5">
        <f>IF(RAW_DATA!C7&lt;300000,0,IF(RAW_DATA!C7&lt;600000,5,IF(RAW_DATA!C7&lt;1200000,15,IF(RAW_DATA!C7&lt;2000000,20,25))))</f>
        <v>20</v>
      </c>
      <c r="M7" s="3">
        <f>IF(RAW_DATA!E7&lt;1,0,IF(RAW_DATA!E7&lt;3,3,IF(RAW_DATA!E7&lt;5,5,IF(RAW_DATA!E7&lt;10,8,10))))</f>
        <v>8</v>
      </c>
      <c r="N7" s="3">
        <f>IF(RAW_DATA!F7&lt;650,0,IF(RAW_DATA!F7&lt;700,8,IF(RAW_DATA!F7&lt;750,15,IF(RAW_DATA!F7&lt;800,20,25))))</f>
        <v>0</v>
      </c>
      <c r="O7" s="3">
        <f>IF(RAW_DATA!G7=0,5,IF(RAW_DATA!G7=1,4,IF(RAW_DATA!G7=2,3,IF(RAW_DATA!G7=3,2,IF(RAW_DATA!G7=4,1,0)))))</f>
        <v>1</v>
      </c>
      <c r="P7" s="3">
        <f>IF(RAW_DATA!K7&gt;=RAW_DATA!H7,20,ROUND((RAW_DATA!K7/RAW_DATA!H7)*20,0))</f>
        <v>20</v>
      </c>
      <c r="Q7" s="3">
        <f>IF(RAW_DATA!L7="No",5,0)</f>
        <v>5</v>
      </c>
      <c r="R7" s="3">
        <f t="shared" si="3"/>
        <v>64</v>
      </c>
      <c r="S7" s="3">
        <f t="shared" si="4"/>
        <v>64</v>
      </c>
      <c r="T7" s="3" t="str">
        <f t="shared" si="5"/>
        <v>Not Scored - Ineligible</v>
      </c>
    </row>
    <row r="8" spans="1:20" x14ac:dyDescent="0.25">
      <c r="A8" s="3" t="str">
        <f>RAW_DATA!A8</f>
        <v>APP007</v>
      </c>
      <c r="B8" s="3" t="b">
        <f>AND(RAW_DATA!B8&gt;=21,RAW_DATA!B8&lt;=60)</f>
        <v>1</v>
      </c>
      <c r="C8" s="3" t="b">
        <f>RAW_DATA!C8&gt;=300000</f>
        <v>1</v>
      </c>
      <c r="D8" s="3" t="b">
        <f>RAW_DATA!F8&gt;=650</f>
        <v>1</v>
      </c>
      <c r="E8" s="3" t="b">
        <f>RAW_DATA!E8&gt;=1</f>
        <v>1</v>
      </c>
      <c r="F8" s="3" t="b">
        <f>RAW_DATA!L8="No"</f>
        <v>1</v>
      </c>
      <c r="G8" s="3" t="b">
        <f t="shared" si="0"/>
        <v>1</v>
      </c>
      <c r="H8" s="3" t="str">
        <f t="shared" si="1"/>
        <v>ELIGIBLE</v>
      </c>
      <c r="I8" s="3" t="str">
        <f t="shared" si="2"/>
        <v/>
      </c>
      <c r="K8" s="3" cm="1">
        <f t="array" ref="K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" s="5">
        <f>IF(RAW_DATA!C8&lt;300000,0,IF(RAW_DATA!C8&lt;600000,5,IF(RAW_DATA!C8&lt;1200000,15,IF(RAW_DATA!C8&lt;2000000,20,25))))</f>
        <v>25</v>
      </c>
      <c r="M8" s="3">
        <f>IF(RAW_DATA!E8&lt;1,0,IF(RAW_DATA!E8&lt;3,3,IF(RAW_DATA!E8&lt;5,5,IF(RAW_DATA!E8&lt;10,8,10))))</f>
        <v>5</v>
      </c>
      <c r="N8" s="3">
        <f>IF(RAW_DATA!F8&lt;650,0,IF(RAW_DATA!F8&lt;700,8,IF(RAW_DATA!F8&lt;750,15,IF(RAW_DATA!F8&lt;800,20,25))))</f>
        <v>20</v>
      </c>
      <c r="O8" s="3">
        <f>IF(RAW_DATA!G8=0,5,IF(RAW_DATA!G8=1,4,IF(RAW_DATA!G8=2,3,IF(RAW_DATA!G8=3,2,IF(RAW_DATA!G8=4,1,0)))))</f>
        <v>2</v>
      </c>
      <c r="P8" s="3">
        <f>IF(RAW_DATA!K8&gt;=RAW_DATA!H8,20,ROUND((RAW_DATA!K8/RAW_DATA!H8)*20,0))</f>
        <v>20</v>
      </c>
      <c r="Q8" s="3">
        <f>IF(RAW_DATA!L8="No",5,0)</f>
        <v>5</v>
      </c>
      <c r="R8" s="3">
        <f t="shared" si="3"/>
        <v>81</v>
      </c>
      <c r="S8" s="3">
        <f t="shared" si="4"/>
        <v>81</v>
      </c>
      <c r="T8" s="3" t="str">
        <f t="shared" si="5"/>
        <v>Strong</v>
      </c>
    </row>
    <row r="9" spans="1:20" x14ac:dyDescent="0.25">
      <c r="A9" s="3" t="str">
        <f>RAW_DATA!A9</f>
        <v>APP008</v>
      </c>
      <c r="B9" s="3" t="b">
        <f>AND(RAW_DATA!B9&gt;=21,RAW_DATA!B9&lt;=60)</f>
        <v>1</v>
      </c>
      <c r="C9" s="3" t="b">
        <f>RAW_DATA!C9&gt;=300000</f>
        <v>1</v>
      </c>
      <c r="D9" s="3" t="b">
        <f>RAW_DATA!F9&gt;=650</f>
        <v>0</v>
      </c>
      <c r="E9" s="3" t="b">
        <f>RAW_DATA!E9&gt;=1</f>
        <v>1</v>
      </c>
      <c r="F9" s="3" t="b">
        <f>RAW_DATA!L9="No"</f>
        <v>0</v>
      </c>
      <c r="G9" s="3" t="b">
        <f t="shared" si="0"/>
        <v>0</v>
      </c>
      <c r="H9" s="3" t="str">
        <f t="shared" si="1"/>
        <v>INELIGIBLE</v>
      </c>
      <c r="I9" s="3" t="str">
        <f t="shared" si="2"/>
        <v>Credit Score, Defaulter History</v>
      </c>
      <c r="K9" s="3" cm="1">
        <f t="array" ref="K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" s="5">
        <f>IF(RAW_DATA!C9&lt;300000,0,IF(RAW_DATA!C9&lt;600000,5,IF(RAW_DATA!C9&lt;1200000,15,IF(RAW_DATA!C9&lt;2000000,20,25))))</f>
        <v>15</v>
      </c>
      <c r="M9" s="3">
        <f>IF(RAW_DATA!E9&lt;1,0,IF(RAW_DATA!E9&lt;3,3,IF(RAW_DATA!E9&lt;5,5,IF(RAW_DATA!E9&lt;10,8,10))))</f>
        <v>8</v>
      </c>
      <c r="N9" s="3">
        <f>IF(RAW_DATA!F9&lt;650,0,IF(RAW_DATA!F9&lt;700,8,IF(RAW_DATA!F9&lt;750,15,IF(RAW_DATA!F9&lt;800,20,25))))</f>
        <v>0</v>
      </c>
      <c r="O9" s="3">
        <f>IF(RAW_DATA!G9=0,5,IF(RAW_DATA!G9=1,4,IF(RAW_DATA!G9=2,3,IF(RAW_DATA!G9=3,2,IF(RAW_DATA!G9=4,1,0)))))</f>
        <v>2</v>
      </c>
      <c r="P9" s="3">
        <f>IF(RAW_DATA!K9&gt;=RAW_DATA!H9,20,ROUND((RAW_DATA!K9/RAW_DATA!H9)*20,0))</f>
        <v>20</v>
      </c>
      <c r="Q9" s="3">
        <f>IF(RAW_DATA!L9="No",5,0)</f>
        <v>0</v>
      </c>
      <c r="R9" s="3">
        <f t="shared" si="3"/>
        <v>55</v>
      </c>
      <c r="S9" s="3">
        <f t="shared" si="4"/>
        <v>55</v>
      </c>
      <c r="T9" s="3" t="str">
        <f t="shared" si="5"/>
        <v>Not Scored - Ineligible</v>
      </c>
    </row>
    <row r="10" spans="1:20" x14ac:dyDescent="0.25">
      <c r="A10" s="3" t="str">
        <f>RAW_DATA!A10</f>
        <v>APP009</v>
      </c>
      <c r="B10" s="3" t="b">
        <f>AND(RAW_DATA!B10&gt;=21,RAW_DATA!B10&lt;=60)</f>
        <v>1</v>
      </c>
      <c r="C10" s="3" t="b">
        <f>RAW_DATA!C10&gt;=300000</f>
        <v>1</v>
      </c>
      <c r="D10" s="3" t="b">
        <f>RAW_DATA!F10&gt;=650</f>
        <v>1</v>
      </c>
      <c r="E10" s="3" t="b">
        <f>RAW_DATA!E10&gt;=1</f>
        <v>1</v>
      </c>
      <c r="F10" s="3" t="b">
        <f>RAW_DATA!L10="No"</f>
        <v>0</v>
      </c>
      <c r="G10" s="3" t="b">
        <f t="shared" si="0"/>
        <v>0</v>
      </c>
      <c r="H10" s="3" t="str">
        <f t="shared" si="1"/>
        <v>INELIGIBLE</v>
      </c>
      <c r="I10" s="3" t="str">
        <f t="shared" si="2"/>
        <v>Defaulter History</v>
      </c>
      <c r="K10" s="3" cm="1">
        <f t="array" ref="K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" s="5">
        <f>IF(RAW_DATA!C10&lt;300000,0,IF(RAW_DATA!C10&lt;600000,5,IF(RAW_DATA!C10&lt;1200000,15,IF(RAW_DATA!C10&lt;2000000,20,25))))</f>
        <v>20</v>
      </c>
      <c r="M10" s="3">
        <f>IF(RAW_DATA!E10&lt;1,0,IF(RAW_DATA!E10&lt;3,3,IF(RAW_DATA!E10&lt;5,5,IF(RAW_DATA!E10&lt;10,8,10))))</f>
        <v>10</v>
      </c>
      <c r="N10" s="3">
        <f>IF(RAW_DATA!F10&lt;650,0,IF(RAW_DATA!F10&lt;700,8,IF(RAW_DATA!F10&lt;750,15,IF(RAW_DATA!F10&lt;800,20,25))))</f>
        <v>15</v>
      </c>
      <c r="O10" s="3">
        <f>IF(RAW_DATA!G10=0,5,IF(RAW_DATA!G10=1,4,IF(RAW_DATA!G10=2,3,IF(RAW_DATA!G10=3,2,IF(RAW_DATA!G10=4,1,0)))))</f>
        <v>3</v>
      </c>
      <c r="P10" s="3">
        <f>IF(RAW_DATA!K10&gt;=RAW_DATA!H10,20,ROUND((RAW_DATA!K10/RAW_DATA!H10)*20,0))</f>
        <v>20</v>
      </c>
      <c r="Q10" s="3">
        <f>IF(RAW_DATA!L10="No",5,0)</f>
        <v>0</v>
      </c>
      <c r="R10" s="3">
        <f t="shared" si="3"/>
        <v>74</v>
      </c>
      <c r="S10" s="3">
        <f t="shared" si="4"/>
        <v>74</v>
      </c>
      <c r="T10" s="3" t="str">
        <f t="shared" si="5"/>
        <v>Not Scored - Ineligible</v>
      </c>
    </row>
    <row r="11" spans="1:20" x14ac:dyDescent="0.25">
      <c r="A11" s="3" t="str">
        <f>RAW_DATA!A11</f>
        <v>APP010</v>
      </c>
      <c r="B11" s="3" t="b">
        <f>AND(RAW_DATA!B11&gt;=21,RAW_DATA!B11&lt;=60)</f>
        <v>1</v>
      </c>
      <c r="C11" s="3" t="b">
        <f>RAW_DATA!C11&gt;=300000</f>
        <v>1</v>
      </c>
      <c r="D11" s="3" t="b">
        <f>RAW_DATA!F11&gt;=650</f>
        <v>0</v>
      </c>
      <c r="E11" s="3" t="b">
        <f>RAW_DATA!E11&gt;=1</f>
        <v>1</v>
      </c>
      <c r="F11" s="3" t="b">
        <f>RAW_DATA!L11="No"</f>
        <v>1</v>
      </c>
      <c r="G11" s="3" t="b">
        <f t="shared" si="0"/>
        <v>0</v>
      </c>
      <c r="H11" s="3" t="str">
        <f t="shared" si="1"/>
        <v>INELIGIBLE</v>
      </c>
      <c r="I11" s="3" t="str">
        <f t="shared" si="2"/>
        <v>Credit Score</v>
      </c>
      <c r="K11" s="3" cm="1">
        <f t="array" ref="K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" s="5">
        <f>IF(RAW_DATA!C11&lt;300000,0,IF(RAW_DATA!C11&lt;600000,5,IF(RAW_DATA!C11&lt;1200000,15,IF(RAW_DATA!C11&lt;2000000,20,25))))</f>
        <v>15</v>
      </c>
      <c r="M11" s="3">
        <f>IF(RAW_DATA!E11&lt;1,0,IF(RAW_DATA!E11&lt;3,3,IF(RAW_DATA!E11&lt;5,5,IF(RAW_DATA!E11&lt;10,8,10))))</f>
        <v>5</v>
      </c>
      <c r="N11" s="3">
        <f>IF(RAW_DATA!F11&lt;650,0,IF(RAW_DATA!F11&lt;700,8,IF(RAW_DATA!F11&lt;750,15,IF(RAW_DATA!F11&lt;800,20,25))))</f>
        <v>0</v>
      </c>
      <c r="O11" s="3">
        <f>IF(RAW_DATA!G11=0,5,IF(RAW_DATA!G11=1,4,IF(RAW_DATA!G11=2,3,IF(RAW_DATA!G11=3,2,IF(RAW_DATA!G11=4,1,0)))))</f>
        <v>2</v>
      </c>
      <c r="P11" s="3">
        <f>IF(RAW_DATA!K11&gt;=RAW_DATA!H11,20,ROUND((RAW_DATA!K11/RAW_DATA!H11)*20,0))</f>
        <v>20</v>
      </c>
      <c r="Q11" s="3">
        <f>IF(RAW_DATA!L11="No",5,0)</f>
        <v>5</v>
      </c>
      <c r="R11" s="3">
        <f t="shared" si="3"/>
        <v>57</v>
      </c>
      <c r="S11" s="3">
        <f t="shared" si="4"/>
        <v>57</v>
      </c>
      <c r="T11" s="3" t="str">
        <f t="shared" si="5"/>
        <v>Not Scored - Ineligible</v>
      </c>
    </row>
    <row r="12" spans="1:20" x14ac:dyDescent="0.25">
      <c r="A12" s="3" t="str">
        <f>RAW_DATA!A12</f>
        <v>APP011</v>
      </c>
      <c r="B12" s="3" t="b">
        <f>AND(RAW_DATA!B12&gt;=21,RAW_DATA!B12&lt;=60)</f>
        <v>1</v>
      </c>
      <c r="C12" s="3" t="b">
        <f>RAW_DATA!C12&gt;=300000</f>
        <v>1</v>
      </c>
      <c r="D12" s="3" t="b">
        <f>RAW_DATA!F12&gt;=650</f>
        <v>0</v>
      </c>
      <c r="E12" s="3" t="b">
        <f>RAW_DATA!E12&gt;=1</f>
        <v>1</v>
      </c>
      <c r="F12" s="3" t="b">
        <f>RAW_DATA!L12="No"</f>
        <v>1</v>
      </c>
      <c r="G12" s="3" t="b">
        <f t="shared" si="0"/>
        <v>0</v>
      </c>
      <c r="H12" s="3" t="str">
        <f t="shared" si="1"/>
        <v>INELIGIBLE</v>
      </c>
      <c r="I12" s="3" t="str">
        <f t="shared" si="2"/>
        <v>Credit Score</v>
      </c>
      <c r="K12" s="3" cm="1">
        <f t="array" ref="K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" s="5">
        <f>IF(RAW_DATA!C12&lt;300000,0,IF(RAW_DATA!C12&lt;600000,5,IF(RAW_DATA!C12&lt;1200000,15,IF(RAW_DATA!C12&lt;2000000,20,25))))</f>
        <v>15</v>
      </c>
      <c r="M12" s="3">
        <f>IF(RAW_DATA!E12&lt;1,0,IF(RAW_DATA!E12&lt;3,3,IF(RAW_DATA!E12&lt;5,5,IF(RAW_DATA!E12&lt;10,8,10))))</f>
        <v>10</v>
      </c>
      <c r="N12" s="3">
        <f>IF(RAW_DATA!F12&lt;650,0,IF(RAW_DATA!F12&lt;700,8,IF(RAW_DATA!F12&lt;750,15,IF(RAW_DATA!F12&lt;800,20,25))))</f>
        <v>0</v>
      </c>
      <c r="O12" s="3">
        <f>IF(RAW_DATA!G12=0,5,IF(RAW_DATA!G12=1,4,IF(RAW_DATA!G12=2,3,IF(RAW_DATA!G12=3,2,IF(RAW_DATA!G12=4,1,0)))))</f>
        <v>5</v>
      </c>
      <c r="P12" s="3">
        <f>IF(RAW_DATA!K12&gt;=RAW_DATA!H12,20,ROUND((RAW_DATA!K12/RAW_DATA!H12)*20,0))</f>
        <v>20</v>
      </c>
      <c r="Q12" s="3">
        <f>IF(RAW_DATA!L12="No",5,0)</f>
        <v>5</v>
      </c>
      <c r="R12" s="3">
        <f t="shared" si="3"/>
        <v>65</v>
      </c>
      <c r="S12" s="3">
        <f t="shared" si="4"/>
        <v>65</v>
      </c>
      <c r="T12" s="3" t="str">
        <f t="shared" si="5"/>
        <v>Not Scored - Ineligible</v>
      </c>
    </row>
    <row r="13" spans="1:20" x14ac:dyDescent="0.25">
      <c r="A13" s="3" t="str">
        <f>RAW_DATA!A13</f>
        <v>APP012</v>
      </c>
      <c r="B13" s="3" t="b">
        <f>AND(RAW_DATA!B13&gt;=21,RAW_DATA!B13&lt;=60)</f>
        <v>1</v>
      </c>
      <c r="C13" s="3" t="b">
        <f>RAW_DATA!C13&gt;=300000</f>
        <v>1</v>
      </c>
      <c r="D13" s="3" t="b">
        <f>RAW_DATA!F13&gt;=650</f>
        <v>1</v>
      </c>
      <c r="E13" s="3" t="b">
        <f>RAW_DATA!E13&gt;=1</f>
        <v>1</v>
      </c>
      <c r="F13" s="3" t="b">
        <f>RAW_DATA!L13="No"</f>
        <v>1</v>
      </c>
      <c r="G13" s="3" t="b">
        <f t="shared" si="0"/>
        <v>1</v>
      </c>
      <c r="H13" s="3" t="str">
        <f t="shared" si="1"/>
        <v>ELIGIBLE</v>
      </c>
      <c r="I13" s="3" t="str">
        <f t="shared" si="2"/>
        <v/>
      </c>
      <c r="K13" s="3" cm="1">
        <f t="array" ref="K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" s="5">
        <f>IF(RAW_DATA!C13&lt;300000,0,IF(RAW_DATA!C13&lt;600000,5,IF(RAW_DATA!C13&lt;1200000,15,IF(RAW_DATA!C13&lt;2000000,20,25))))</f>
        <v>5</v>
      </c>
      <c r="M13" s="3">
        <f>IF(RAW_DATA!E13&lt;1,0,IF(RAW_DATA!E13&lt;3,3,IF(RAW_DATA!E13&lt;5,5,IF(RAW_DATA!E13&lt;10,8,10))))</f>
        <v>10</v>
      </c>
      <c r="N13" s="3">
        <f>IF(RAW_DATA!F13&lt;650,0,IF(RAW_DATA!F13&lt;700,8,IF(RAW_DATA!F13&lt;750,15,IF(RAW_DATA!F13&lt;800,20,25))))</f>
        <v>25</v>
      </c>
      <c r="O13" s="3">
        <f>IF(RAW_DATA!G13=0,5,IF(RAW_DATA!G13=1,4,IF(RAW_DATA!G13=2,3,IF(RAW_DATA!G13=3,2,IF(RAW_DATA!G13=4,1,0)))))</f>
        <v>2</v>
      </c>
      <c r="P13" s="3">
        <f>IF(RAW_DATA!K13&gt;=RAW_DATA!H13,20,ROUND((RAW_DATA!K13/RAW_DATA!H13)*20,0))</f>
        <v>20</v>
      </c>
      <c r="Q13" s="3">
        <f>IF(RAW_DATA!L13="No",5,0)</f>
        <v>5</v>
      </c>
      <c r="R13" s="3">
        <f t="shared" si="3"/>
        <v>75</v>
      </c>
      <c r="S13" s="3">
        <f t="shared" si="4"/>
        <v>75</v>
      </c>
      <c r="T13" s="3" t="str">
        <f t="shared" si="5"/>
        <v>Strong</v>
      </c>
    </row>
    <row r="14" spans="1:20" x14ac:dyDescent="0.25">
      <c r="A14" s="3" t="str">
        <f>RAW_DATA!A14</f>
        <v>APP013</v>
      </c>
      <c r="B14" s="3" t="b">
        <f>AND(RAW_DATA!B14&gt;=21,RAW_DATA!B14&lt;=60)</f>
        <v>1</v>
      </c>
      <c r="C14" s="3" t="b">
        <f>RAW_DATA!C14&gt;=300000</f>
        <v>1</v>
      </c>
      <c r="D14" s="3" t="b">
        <f>RAW_DATA!F14&gt;=650</f>
        <v>1</v>
      </c>
      <c r="E14" s="3" t="b">
        <f>RAW_DATA!E14&gt;=1</f>
        <v>1</v>
      </c>
      <c r="F14" s="3" t="b">
        <f>RAW_DATA!L14="No"</f>
        <v>1</v>
      </c>
      <c r="G14" s="3" t="b">
        <f t="shared" si="0"/>
        <v>1</v>
      </c>
      <c r="H14" s="3" t="str">
        <f t="shared" si="1"/>
        <v>ELIGIBLE</v>
      </c>
      <c r="I14" s="3" t="str">
        <f t="shared" si="2"/>
        <v/>
      </c>
      <c r="K14" s="3" cm="1">
        <f t="array" ref="K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" s="5">
        <f>IF(RAW_DATA!C14&lt;300000,0,IF(RAW_DATA!C14&lt;600000,5,IF(RAW_DATA!C14&lt;1200000,15,IF(RAW_DATA!C14&lt;2000000,20,25))))</f>
        <v>15</v>
      </c>
      <c r="M14" s="3">
        <f>IF(RAW_DATA!E14&lt;1,0,IF(RAW_DATA!E14&lt;3,3,IF(RAW_DATA!E14&lt;5,5,IF(RAW_DATA!E14&lt;10,8,10))))</f>
        <v>10</v>
      </c>
      <c r="N14" s="3">
        <f>IF(RAW_DATA!F14&lt;650,0,IF(RAW_DATA!F14&lt;700,8,IF(RAW_DATA!F14&lt;750,15,IF(RAW_DATA!F14&lt;800,20,25))))</f>
        <v>8</v>
      </c>
      <c r="O14" s="3">
        <f>IF(RAW_DATA!G14=0,5,IF(RAW_DATA!G14=1,4,IF(RAW_DATA!G14=2,3,IF(RAW_DATA!G14=3,2,IF(RAW_DATA!G14=4,1,0)))))</f>
        <v>2</v>
      </c>
      <c r="P14" s="3">
        <f>IF(RAW_DATA!K14&gt;=RAW_DATA!H14,20,ROUND((RAW_DATA!K14/RAW_DATA!H14)*20,0))</f>
        <v>20</v>
      </c>
      <c r="Q14" s="3">
        <f>IF(RAW_DATA!L14="No",5,0)</f>
        <v>5</v>
      </c>
      <c r="R14" s="3">
        <f t="shared" si="3"/>
        <v>68</v>
      </c>
      <c r="S14" s="3">
        <f t="shared" si="4"/>
        <v>68</v>
      </c>
      <c r="T14" s="3" t="str">
        <f t="shared" si="5"/>
        <v>Moderate</v>
      </c>
    </row>
    <row r="15" spans="1:20" x14ac:dyDescent="0.25">
      <c r="A15" s="3" t="str">
        <f>RAW_DATA!A15</f>
        <v>APP014</v>
      </c>
      <c r="B15" s="3" t="b">
        <f>AND(RAW_DATA!B15&gt;=21,RAW_DATA!B15&lt;=60)</f>
        <v>1</v>
      </c>
      <c r="C15" s="3" t="b">
        <f>RAW_DATA!C15&gt;=300000</f>
        <v>1</v>
      </c>
      <c r="D15" s="3" t="b">
        <f>RAW_DATA!F15&gt;=650</f>
        <v>1</v>
      </c>
      <c r="E15" s="3" t="b">
        <f>RAW_DATA!E15&gt;=1</f>
        <v>1</v>
      </c>
      <c r="F15" s="3" t="b">
        <f>RAW_DATA!L15="No"</f>
        <v>0</v>
      </c>
      <c r="G15" s="3" t="b">
        <f t="shared" si="0"/>
        <v>0</v>
      </c>
      <c r="H15" s="3" t="str">
        <f t="shared" si="1"/>
        <v>INELIGIBLE</v>
      </c>
      <c r="I15" s="3" t="str">
        <f t="shared" si="2"/>
        <v>Defaulter History</v>
      </c>
      <c r="K15" s="3" cm="1">
        <f t="array" ref="K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" s="5">
        <f>IF(RAW_DATA!C15&lt;300000,0,IF(RAW_DATA!C15&lt;600000,5,IF(RAW_DATA!C15&lt;1200000,15,IF(RAW_DATA!C15&lt;2000000,20,25))))</f>
        <v>5</v>
      </c>
      <c r="M15" s="3">
        <f>IF(RAW_DATA!E15&lt;1,0,IF(RAW_DATA!E15&lt;3,3,IF(RAW_DATA!E15&lt;5,5,IF(RAW_DATA!E15&lt;10,8,10))))</f>
        <v>8</v>
      </c>
      <c r="N15" s="3">
        <f>IF(RAW_DATA!F15&lt;650,0,IF(RAW_DATA!F15&lt;700,8,IF(RAW_DATA!F15&lt;750,15,IF(RAW_DATA!F15&lt;800,20,25))))</f>
        <v>25</v>
      </c>
      <c r="O15" s="3">
        <f>IF(RAW_DATA!G15=0,5,IF(RAW_DATA!G15=1,4,IF(RAW_DATA!G15=2,3,IF(RAW_DATA!G15=3,2,IF(RAW_DATA!G15=4,1,0)))))</f>
        <v>5</v>
      </c>
      <c r="P15" s="3">
        <f>IF(RAW_DATA!K15&gt;=RAW_DATA!H15,20,ROUND((RAW_DATA!K15/RAW_DATA!H15)*20,0))</f>
        <v>20</v>
      </c>
      <c r="Q15" s="3">
        <f>IF(RAW_DATA!L15="No",5,0)</f>
        <v>0</v>
      </c>
      <c r="R15" s="3">
        <f t="shared" si="3"/>
        <v>71</v>
      </c>
      <c r="S15" s="3">
        <f t="shared" si="4"/>
        <v>71</v>
      </c>
      <c r="T15" s="3" t="str">
        <f t="shared" si="5"/>
        <v>Not Scored - Ineligible</v>
      </c>
    </row>
    <row r="16" spans="1:20" x14ac:dyDescent="0.25">
      <c r="A16" s="3" t="str">
        <f>RAW_DATA!A16</f>
        <v>APP015</v>
      </c>
      <c r="B16" s="3" t="b">
        <f>AND(RAW_DATA!B16&gt;=21,RAW_DATA!B16&lt;=60)</f>
        <v>1</v>
      </c>
      <c r="C16" s="3" t="b">
        <f>RAW_DATA!C16&gt;=300000</f>
        <v>1</v>
      </c>
      <c r="D16" s="3" t="b">
        <f>RAW_DATA!F16&gt;=650</f>
        <v>1</v>
      </c>
      <c r="E16" s="3" t="b">
        <f>RAW_DATA!E16&gt;=1</f>
        <v>1</v>
      </c>
      <c r="F16" s="3" t="b">
        <f>RAW_DATA!L16="No"</f>
        <v>0</v>
      </c>
      <c r="G16" s="3" t="b">
        <f t="shared" si="0"/>
        <v>0</v>
      </c>
      <c r="H16" s="3" t="str">
        <f t="shared" si="1"/>
        <v>INELIGIBLE</v>
      </c>
      <c r="I16" s="3" t="str">
        <f t="shared" si="2"/>
        <v>Defaulter History</v>
      </c>
      <c r="K16" s="3" cm="1">
        <f t="array" ref="K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6" s="5">
        <f>IF(RAW_DATA!C16&lt;300000,0,IF(RAW_DATA!C16&lt;600000,5,IF(RAW_DATA!C16&lt;1200000,15,IF(RAW_DATA!C16&lt;2000000,20,25))))</f>
        <v>20</v>
      </c>
      <c r="M16" s="3">
        <f>IF(RAW_DATA!E16&lt;1,0,IF(RAW_DATA!E16&lt;3,3,IF(RAW_DATA!E16&lt;5,5,IF(RAW_DATA!E16&lt;10,8,10))))</f>
        <v>10</v>
      </c>
      <c r="N16" s="3">
        <f>IF(RAW_DATA!F16&lt;650,0,IF(RAW_DATA!F16&lt;700,8,IF(RAW_DATA!F16&lt;750,15,IF(RAW_DATA!F16&lt;800,20,25))))</f>
        <v>8</v>
      </c>
      <c r="O16" s="3">
        <f>IF(RAW_DATA!G16=0,5,IF(RAW_DATA!G16=1,4,IF(RAW_DATA!G16=2,3,IF(RAW_DATA!G16=3,2,IF(RAW_DATA!G16=4,1,0)))))</f>
        <v>3</v>
      </c>
      <c r="P16" s="3">
        <f>IF(RAW_DATA!K16&gt;=RAW_DATA!H16,20,ROUND((RAW_DATA!K16/RAW_DATA!H16)*20,0))</f>
        <v>20</v>
      </c>
      <c r="Q16" s="3">
        <f>IF(RAW_DATA!L16="No",5,0)</f>
        <v>0</v>
      </c>
      <c r="R16" s="3">
        <f t="shared" si="3"/>
        <v>67</v>
      </c>
      <c r="S16" s="3">
        <f t="shared" si="4"/>
        <v>67</v>
      </c>
      <c r="T16" s="3" t="str">
        <f t="shared" si="5"/>
        <v>Not Scored - Ineligible</v>
      </c>
    </row>
    <row r="17" spans="1:20" x14ac:dyDescent="0.25">
      <c r="A17" s="3" t="str">
        <f>RAW_DATA!A17</f>
        <v>APP016</v>
      </c>
      <c r="B17" s="3" t="b">
        <f>AND(RAW_DATA!B17&gt;=21,RAW_DATA!B17&lt;=60)</f>
        <v>1</v>
      </c>
      <c r="C17" s="3" t="b">
        <f>RAW_DATA!C17&gt;=300000</f>
        <v>1</v>
      </c>
      <c r="D17" s="3" t="b">
        <f>RAW_DATA!F17&gt;=650</f>
        <v>0</v>
      </c>
      <c r="E17" s="3" t="b">
        <f>RAW_DATA!E17&gt;=1</f>
        <v>1</v>
      </c>
      <c r="F17" s="3" t="b">
        <f>RAW_DATA!L17="No"</f>
        <v>0</v>
      </c>
      <c r="G17" s="3" t="b">
        <f t="shared" si="0"/>
        <v>0</v>
      </c>
      <c r="H17" s="3" t="str">
        <f t="shared" si="1"/>
        <v>INELIGIBLE</v>
      </c>
      <c r="I17" s="3" t="str">
        <f t="shared" si="2"/>
        <v>Credit Score, Defaulter History</v>
      </c>
      <c r="K17" s="3" cm="1">
        <f t="array" ref="K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" s="5">
        <f>IF(RAW_DATA!C17&lt;300000,0,IF(RAW_DATA!C17&lt;600000,5,IF(RAW_DATA!C17&lt;1200000,15,IF(RAW_DATA!C17&lt;2000000,20,25))))</f>
        <v>25</v>
      </c>
      <c r="M17" s="3">
        <f>IF(RAW_DATA!E17&lt;1,0,IF(RAW_DATA!E17&lt;3,3,IF(RAW_DATA!E17&lt;5,5,IF(RAW_DATA!E17&lt;10,8,10))))</f>
        <v>5</v>
      </c>
      <c r="N17" s="3">
        <f>IF(RAW_DATA!F17&lt;650,0,IF(RAW_DATA!F17&lt;700,8,IF(RAW_DATA!F17&lt;750,15,IF(RAW_DATA!F17&lt;800,20,25))))</f>
        <v>0</v>
      </c>
      <c r="O17" s="3">
        <f>IF(RAW_DATA!G17=0,5,IF(RAW_DATA!G17=1,4,IF(RAW_DATA!G17=2,3,IF(RAW_DATA!G17=3,2,IF(RAW_DATA!G17=4,1,0)))))</f>
        <v>3</v>
      </c>
      <c r="P17" s="3">
        <f>IF(RAW_DATA!K17&gt;=RAW_DATA!H17,20,ROUND((RAW_DATA!K17/RAW_DATA!H17)*20,0))</f>
        <v>18</v>
      </c>
      <c r="Q17" s="3">
        <f>IF(RAW_DATA!L17="No",5,0)</f>
        <v>0</v>
      </c>
      <c r="R17" s="3">
        <f t="shared" si="3"/>
        <v>59</v>
      </c>
      <c r="S17" s="3">
        <f t="shared" si="4"/>
        <v>59</v>
      </c>
      <c r="T17" s="3" t="str">
        <f t="shared" si="5"/>
        <v>Not Scored - Ineligible</v>
      </c>
    </row>
    <row r="18" spans="1:20" x14ac:dyDescent="0.25">
      <c r="A18" s="3" t="str">
        <f>RAW_DATA!A18</f>
        <v>APP017</v>
      </c>
      <c r="B18" s="3" t="b">
        <f>AND(RAW_DATA!B18&gt;=21,RAW_DATA!B18&lt;=60)</f>
        <v>1</v>
      </c>
      <c r="C18" s="3" t="b">
        <f>RAW_DATA!C18&gt;=300000</f>
        <v>1</v>
      </c>
      <c r="D18" s="3" t="b">
        <f>RAW_DATA!F18&gt;=650</f>
        <v>0</v>
      </c>
      <c r="E18" s="3" t="b">
        <f>RAW_DATA!E18&gt;=1</f>
        <v>1</v>
      </c>
      <c r="F18" s="3" t="b">
        <f>RAW_DATA!L18="No"</f>
        <v>1</v>
      </c>
      <c r="G18" s="3" t="b">
        <f t="shared" si="0"/>
        <v>0</v>
      </c>
      <c r="H18" s="3" t="str">
        <f t="shared" si="1"/>
        <v>INELIGIBLE</v>
      </c>
      <c r="I18" s="3" t="str">
        <f t="shared" si="2"/>
        <v>Credit Score</v>
      </c>
      <c r="K18" s="3" cm="1">
        <f t="array" ref="K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8" s="5">
        <f>IF(RAW_DATA!C18&lt;300000,0,IF(RAW_DATA!C18&lt;600000,5,IF(RAW_DATA!C18&lt;1200000,15,IF(RAW_DATA!C18&lt;2000000,20,25))))</f>
        <v>25</v>
      </c>
      <c r="M18" s="3">
        <f>IF(RAW_DATA!E18&lt;1,0,IF(RAW_DATA!E18&lt;3,3,IF(RAW_DATA!E18&lt;5,5,IF(RAW_DATA!E18&lt;10,8,10))))</f>
        <v>10</v>
      </c>
      <c r="N18" s="3">
        <f>IF(RAW_DATA!F18&lt;650,0,IF(RAW_DATA!F18&lt;700,8,IF(RAW_DATA!F18&lt;750,15,IF(RAW_DATA!F18&lt;800,20,25))))</f>
        <v>0</v>
      </c>
      <c r="O18" s="3">
        <f>IF(RAW_DATA!G18=0,5,IF(RAW_DATA!G18=1,4,IF(RAW_DATA!G18=2,3,IF(RAW_DATA!G18=3,2,IF(RAW_DATA!G18=4,1,0)))))</f>
        <v>5</v>
      </c>
      <c r="P18" s="3">
        <f>IF(RAW_DATA!K18&gt;=RAW_DATA!H18,20,ROUND((RAW_DATA!K18/RAW_DATA!H18)*20,0))</f>
        <v>20</v>
      </c>
      <c r="Q18" s="3">
        <f>IF(RAW_DATA!L18="No",5,0)</f>
        <v>5</v>
      </c>
      <c r="R18" s="3">
        <f t="shared" si="3"/>
        <v>71</v>
      </c>
      <c r="S18" s="3">
        <f t="shared" si="4"/>
        <v>71</v>
      </c>
      <c r="T18" s="3" t="str">
        <f t="shared" si="5"/>
        <v>Not Scored - Ineligible</v>
      </c>
    </row>
    <row r="19" spans="1:20" x14ac:dyDescent="0.25">
      <c r="A19" s="3" t="str">
        <f>RAW_DATA!A19</f>
        <v>APP018</v>
      </c>
      <c r="B19" s="3" t="b">
        <f>AND(RAW_DATA!B19&gt;=21,RAW_DATA!B19&lt;=60)</f>
        <v>1</v>
      </c>
      <c r="C19" s="3" t="b">
        <f>RAW_DATA!C19&gt;=300000</f>
        <v>1</v>
      </c>
      <c r="D19" s="3" t="b">
        <f>RAW_DATA!F19&gt;=650</f>
        <v>0</v>
      </c>
      <c r="E19" s="3" t="b">
        <f>RAW_DATA!E19&gt;=1</f>
        <v>1</v>
      </c>
      <c r="F19" s="3" t="b">
        <f>RAW_DATA!L19="No"</f>
        <v>1</v>
      </c>
      <c r="G19" s="3" t="b">
        <f t="shared" si="0"/>
        <v>0</v>
      </c>
      <c r="H19" s="3" t="str">
        <f t="shared" si="1"/>
        <v>INELIGIBLE</v>
      </c>
      <c r="I19" s="3" t="str">
        <f t="shared" si="2"/>
        <v>Credit Score</v>
      </c>
      <c r="K19" s="3" cm="1">
        <f t="array" ref="K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" s="5">
        <f>IF(RAW_DATA!C19&lt;300000,0,IF(RAW_DATA!C19&lt;600000,5,IF(RAW_DATA!C19&lt;1200000,15,IF(RAW_DATA!C19&lt;2000000,20,25))))</f>
        <v>20</v>
      </c>
      <c r="M19" s="3">
        <f>IF(RAW_DATA!E19&lt;1,0,IF(RAW_DATA!E19&lt;3,3,IF(RAW_DATA!E19&lt;5,5,IF(RAW_DATA!E19&lt;10,8,10))))</f>
        <v>8</v>
      </c>
      <c r="N19" s="3">
        <f>IF(RAW_DATA!F19&lt;650,0,IF(RAW_DATA!F19&lt;700,8,IF(RAW_DATA!F19&lt;750,15,IF(RAW_DATA!F19&lt;800,20,25))))</f>
        <v>0</v>
      </c>
      <c r="O19" s="3">
        <f>IF(RAW_DATA!G19=0,5,IF(RAW_DATA!G19=1,4,IF(RAW_DATA!G19=2,3,IF(RAW_DATA!G19=3,2,IF(RAW_DATA!G19=4,1,0)))))</f>
        <v>3</v>
      </c>
      <c r="P19" s="3">
        <f>IF(RAW_DATA!K19&gt;=RAW_DATA!H19,20,ROUND((RAW_DATA!K19/RAW_DATA!H19)*20,0))</f>
        <v>20</v>
      </c>
      <c r="Q19" s="3">
        <f>IF(RAW_DATA!L19="No",5,0)</f>
        <v>5</v>
      </c>
      <c r="R19" s="3">
        <f t="shared" si="3"/>
        <v>63</v>
      </c>
      <c r="S19" s="3">
        <f t="shared" si="4"/>
        <v>63</v>
      </c>
      <c r="T19" s="3" t="str">
        <f t="shared" si="5"/>
        <v>Not Scored - Ineligible</v>
      </c>
    </row>
    <row r="20" spans="1:20" x14ac:dyDescent="0.25">
      <c r="A20" s="3" t="str">
        <f>RAW_DATA!A20</f>
        <v>APP019</v>
      </c>
      <c r="B20" s="3" t="b">
        <f>AND(RAW_DATA!B20&gt;=21,RAW_DATA!B20&lt;=60)</f>
        <v>0</v>
      </c>
      <c r="C20" s="3" t="b">
        <f>RAW_DATA!C20&gt;=300000</f>
        <v>1</v>
      </c>
      <c r="D20" s="3" t="b">
        <f>RAW_DATA!F20&gt;=650</f>
        <v>0</v>
      </c>
      <c r="E20" s="3" t="b">
        <f>RAW_DATA!E20&gt;=1</f>
        <v>1</v>
      </c>
      <c r="F20" s="3" t="b">
        <f>RAW_DATA!L20="No"</f>
        <v>0</v>
      </c>
      <c r="G20" s="3" t="b">
        <f t="shared" si="0"/>
        <v>0</v>
      </c>
      <c r="H20" s="3" t="str">
        <f t="shared" si="1"/>
        <v>INELIGIBLE</v>
      </c>
      <c r="I20" s="3" t="str">
        <f t="shared" si="2"/>
        <v>Age, Credit Score, Defaulter History</v>
      </c>
      <c r="K20" s="3" cm="1">
        <f t="array" ref="K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" s="5">
        <f>IF(RAW_DATA!C20&lt;300000,0,IF(RAW_DATA!C20&lt;600000,5,IF(RAW_DATA!C20&lt;1200000,15,IF(RAW_DATA!C20&lt;2000000,20,25))))</f>
        <v>20</v>
      </c>
      <c r="M20" s="3">
        <f>IF(RAW_DATA!E20&lt;1,0,IF(RAW_DATA!E20&lt;3,3,IF(RAW_DATA!E20&lt;5,5,IF(RAW_DATA!E20&lt;10,8,10))))</f>
        <v>10</v>
      </c>
      <c r="N20" s="3">
        <f>IF(RAW_DATA!F20&lt;650,0,IF(RAW_DATA!F20&lt;700,8,IF(RAW_DATA!F20&lt;750,15,IF(RAW_DATA!F20&lt;800,20,25))))</f>
        <v>0</v>
      </c>
      <c r="O20" s="3">
        <f>IF(RAW_DATA!G20=0,5,IF(RAW_DATA!G20=1,4,IF(RAW_DATA!G20=2,3,IF(RAW_DATA!G20=3,2,IF(RAW_DATA!G20=4,1,0)))))</f>
        <v>5</v>
      </c>
      <c r="P20" s="3">
        <f>IF(RAW_DATA!K20&gt;=RAW_DATA!H20,20,ROUND((RAW_DATA!K20/RAW_DATA!H20)*20,0))</f>
        <v>20</v>
      </c>
      <c r="Q20" s="3">
        <f>IF(RAW_DATA!L20="No",5,0)</f>
        <v>0</v>
      </c>
      <c r="R20" s="3">
        <f t="shared" si="3"/>
        <v>55</v>
      </c>
      <c r="S20" s="3">
        <f t="shared" si="4"/>
        <v>55</v>
      </c>
      <c r="T20" s="3" t="str">
        <f t="shared" si="5"/>
        <v>Not Scored - Ineligible</v>
      </c>
    </row>
    <row r="21" spans="1:20" x14ac:dyDescent="0.25">
      <c r="A21" s="3" t="str">
        <f>RAW_DATA!A21</f>
        <v>APP020</v>
      </c>
      <c r="B21" s="3" t="b">
        <f>AND(RAW_DATA!B21&gt;=21,RAW_DATA!B21&lt;=60)</f>
        <v>1</v>
      </c>
      <c r="C21" s="3" t="b">
        <f>RAW_DATA!C21&gt;=300000</f>
        <v>1</v>
      </c>
      <c r="D21" s="3" t="b">
        <f>RAW_DATA!F21&gt;=650</f>
        <v>1</v>
      </c>
      <c r="E21" s="3" t="b">
        <f>RAW_DATA!E21&gt;=1</f>
        <v>1</v>
      </c>
      <c r="F21" s="3" t="b">
        <f>RAW_DATA!L21="No"</f>
        <v>1</v>
      </c>
      <c r="G21" s="3" t="b">
        <f t="shared" si="0"/>
        <v>1</v>
      </c>
      <c r="H21" s="3" t="str">
        <f t="shared" si="1"/>
        <v>ELIGIBLE</v>
      </c>
      <c r="I21" s="3" t="str">
        <f t="shared" si="2"/>
        <v/>
      </c>
      <c r="K21" s="3" cm="1">
        <f t="array" ref="K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" s="5">
        <f>IF(RAW_DATA!C21&lt;300000,0,IF(RAW_DATA!C21&lt;600000,5,IF(RAW_DATA!C21&lt;1200000,15,IF(RAW_DATA!C21&lt;2000000,20,25))))</f>
        <v>15</v>
      </c>
      <c r="M21" s="3">
        <f>IF(RAW_DATA!E21&lt;1,0,IF(RAW_DATA!E21&lt;3,3,IF(RAW_DATA!E21&lt;5,5,IF(RAW_DATA!E21&lt;10,8,10))))</f>
        <v>10</v>
      </c>
      <c r="N21" s="3">
        <f>IF(RAW_DATA!F21&lt;650,0,IF(RAW_DATA!F21&lt;700,8,IF(RAW_DATA!F21&lt;750,15,IF(RAW_DATA!F21&lt;800,20,25))))</f>
        <v>8</v>
      </c>
      <c r="O21" s="3">
        <f>IF(RAW_DATA!G21=0,5,IF(RAW_DATA!G21=1,4,IF(RAW_DATA!G21=2,3,IF(RAW_DATA!G21=3,2,IF(RAW_DATA!G21=4,1,0)))))</f>
        <v>2</v>
      </c>
      <c r="P21" s="3">
        <f>IF(RAW_DATA!K21&gt;=RAW_DATA!H21,20,ROUND((RAW_DATA!K21/RAW_DATA!H21)*20,0))</f>
        <v>20</v>
      </c>
      <c r="Q21" s="3">
        <f>IF(RAW_DATA!L21="No",5,0)</f>
        <v>5</v>
      </c>
      <c r="R21" s="3">
        <f t="shared" si="3"/>
        <v>67</v>
      </c>
      <c r="S21" s="3">
        <f t="shared" si="4"/>
        <v>67</v>
      </c>
      <c r="T21" s="3" t="str">
        <f t="shared" si="5"/>
        <v>Moderate</v>
      </c>
    </row>
    <row r="22" spans="1:20" x14ac:dyDescent="0.25">
      <c r="A22" s="3" t="str">
        <f>RAW_DATA!A22</f>
        <v>APP021</v>
      </c>
      <c r="B22" s="3" t="b">
        <f>AND(RAW_DATA!B22&gt;=21,RAW_DATA!B22&lt;=60)</f>
        <v>0</v>
      </c>
      <c r="C22" s="3" t="b">
        <f>RAW_DATA!C22&gt;=300000</f>
        <v>1</v>
      </c>
      <c r="D22" s="3" t="b">
        <f>RAW_DATA!F22&gt;=650</f>
        <v>1</v>
      </c>
      <c r="E22" s="3" t="b">
        <f>RAW_DATA!E22&gt;=1</f>
        <v>1</v>
      </c>
      <c r="F22" s="3" t="b">
        <f>RAW_DATA!L22="No"</f>
        <v>1</v>
      </c>
      <c r="G22" s="3" t="b">
        <f t="shared" si="0"/>
        <v>0</v>
      </c>
      <c r="H22" s="3" t="str">
        <f t="shared" si="1"/>
        <v>INELIGIBLE</v>
      </c>
      <c r="I22" s="3" t="str">
        <f t="shared" si="2"/>
        <v>Age</v>
      </c>
      <c r="K22" s="3" cm="1">
        <f t="array" ref="K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" s="5">
        <f>IF(RAW_DATA!C22&lt;300000,0,IF(RAW_DATA!C22&lt;600000,5,IF(RAW_DATA!C22&lt;1200000,15,IF(RAW_DATA!C22&lt;2000000,20,25))))</f>
        <v>15</v>
      </c>
      <c r="M22" s="3">
        <f>IF(RAW_DATA!E22&lt;1,0,IF(RAW_DATA!E22&lt;3,3,IF(RAW_DATA!E22&lt;5,5,IF(RAW_DATA!E22&lt;10,8,10))))</f>
        <v>10</v>
      </c>
      <c r="N22" s="3">
        <f>IF(RAW_DATA!F22&lt;650,0,IF(RAW_DATA!F22&lt;700,8,IF(RAW_DATA!F22&lt;750,15,IF(RAW_DATA!F22&lt;800,20,25))))</f>
        <v>15</v>
      </c>
      <c r="O22" s="3">
        <f>IF(RAW_DATA!G22=0,5,IF(RAW_DATA!G22=1,4,IF(RAW_DATA!G22=2,3,IF(RAW_DATA!G22=3,2,IF(RAW_DATA!G22=4,1,0)))))</f>
        <v>2</v>
      </c>
      <c r="P22" s="3">
        <f>IF(RAW_DATA!K22&gt;=RAW_DATA!H22,20,ROUND((RAW_DATA!K22/RAW_DATA!H22)*20,0))</f>
        <v>2</v>
      </c>
      <c r="Q22" s="3">
        <f>IF(RAW_DATA!L22="No",5,0)</f>
        <v>5</v>
      </c>
      <c r="R22" s="3">
        <f t="shared" si="3"/>
        <v>49</v>
      </c>
      <c r="S22" s="3">
        <f t="shared" si="4"/>
        <v>49</v>
      </c>
      <c r="T22" s="3" t="str">
        <f t="shared" si="5"/>
        <v>Not Scored - Ineligible</v>
      </c>
    </row>
    <row r="23" spans="1:20" x14ac:dyDescent="0.25">
      <c r="A23" s="3" t="str">
        <f>RAW_DATA!A23</f>
        <v>APP022</v>
      </c>
      <c r="B23" s="3" t="b">
        <f>AND(RAW_DATA!B23&gt;=21,RAW_DATA!B23&lt;=60)</f>
        <v>1</v>
      </c>
      <c r="C23" s="3" t="b">
        <f>RAW_DATA!C23&gt;=300000</f>
        <v>1</v>
      </c>
      <c r="D23" s="3" t="b">
        <f>RAW_DATA!F23&gt;=650</f>
        <v>0</v>
      </c>
      <c r="E23" s="3" t="b">
        <f>RAW_DATA!E23&gt;=1</f>
        <v>1</v>
      </c>
      <c r="F23" s="3" t="b">
        <f>RAW_DATA!L23="No"</f>
        <v>1</v>
      </c>
      <c r="G23" s="3" t="b">
        <f t="shared" si="0"/>
        <v>0</v>
      </c>
      <c r="H23" s="3" t="str">
        <f t="shared" si="1"/>
        <v>INELIGIBLE</v>
      </c>
      <c r="I23" s="3" t="str">
        <f t="shared" si="2"/>
        <v>Credit Score</v>
      </c>
      <c r="K23" s="3" cm="1">
        <f t="array" ref="K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" s="5">
        <f>IF(RAW_DATA!C23&lt;300000,0,IF(RAW_DATA!C23&lt;600000,5,IF(RAW_DATA!C23&lt;1200000,15,IF(RAW_DATA!C23&lt;2000000,20,25))))</f>
        <v>20</v>
      </c>
      <c r="M23" s="3">
        <f>IF(RAW_DATA!E23&lt;1,0,IF(RAW_DATA!E23&lt;3,3,IF(RAW_DATA!E23&lt;5,5,IF(RAW_DATA!E23&lt;10,8,10))))</f>
        <v>10</v>
      </c>
      <c r="N23" s="3">
        <f>IF(RAW_DATA!F23&lt;650,0,IF(RAW_DATA!F23&lt;700,8,IF(RAW_DATA!F23&lt;750,15,IF(RAW_DATA!F23&lt;800,20,25))))</f>
        <v>0</v>
      </c>
      <c r="O23" s="3">
        <f>IF(RAW_DATA!G23=0,5,IF(RAW_DATA!G23=1,4,IF(RAW_DATA!G23=2,3,IF(RAW_DATA!G23=3,2,IF(RAW_DATA!G23=4,1,0)))))</f>
        <v>3</v>
      </c>
      <c r="P23" s="3">
        <f>IF(RAW_DATA!K23&gt;=RAW_DATA!H23,20,ROUND((RAW_DATA!K23/RAW_DATA!H23)*20,0))</f>
        <v>20</v>
      </c>
      <c r="Q23" s="3">
        <f>IF(RAW_DATA!L23="No",5,0)</f>
        <v>5</v>
      </c>
      <c r="R23" s="3">
        <f t="shared" si="3"/>
        <v>68</v>
      </c>
      <c r="S23" s="3">
        <f t="shared" si="4"/>
        <v>68</v>
      </c>
      <c r="T23" s="3" t="str">
        <f t="shared" si="5"/>
        <v>Not Scored - Ineligible</v>
      </c>
    </row>
    <row r="24" spans="1:20" x14ac:dyDescent="0.25">
      <c r="A24" s="3" t="str">
        <f>RAW_DATA!A24</f>
        <v>APP023</v>
      </c>
      <c r="B24" s="3" t="b">
        <f>AND(RAW_DATA!B24&gt;=21,RAW_DATA!B24&lt;=60)</f>
        <v>1</v>
      </c>
      <c r="C24" s="3" t="b">
        <f>RAW_DATA!C24&gt;=300000</f>
        <v>1</v>
      </c>
      <c r="D24" s="3" t="b">
        <f>RAW_DATA!F24&gt;=650</f>
        <v>0</v>
      </c>
      <c r="E24" s="3" t="b">
        <f>RAW_DATA!E24&gt;=1</f>
        <v>1</v>
      </c>
      <c r="F24" s="3" t="b">
        <f>RAW_DATA!L24="No"</f>
        <v>0</v>
      </c>
      <c r="G24" s="3" t="b">
        <f t="shared" si="0"/>
        <v>0</v>
      </c>
      <c r="H24" s="3" t="str">
        <f t="shared" si="1"/>
        <v>INELIGIBLE</v>
      </c>
      <c r="I24" s="3" t="str">
        <f t="shared" si="2"/>
        <v>Credit Score, Defaulter History</v>
      </c>
      <c r="K24" s="3" cm="1">
        <f t="array" ref="K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" s="5">
        <f>IF(RAW_DATA!C24&lt;300000,0,IF(RAW_DATA!C24&lt;600000,5,IF(RAW_DATA!C24&lt;1200000,15,IF(RAW_DATA!C24&lt;2000000,20,25))))</f>
        <v>15</v>
      </c>
      <c r="M24" s="3">
        <f>IF(RAW_DATA!E24&lt;1,0,IF(RAW_DATA!E24&lt;3,3,IF(RAW_DATA!E24&lt;5,5,IF(RAW_DATA!E24&lt;10,8,10))))</f>
        <v>10</v>
      </c>
      <c r="N24" s="3">
        <f>IF(RAW_DATA!F24&lt;650,0,IF(RAW_DATA!F24&lt;700,8,IF(RAW_DATA!F24&lt;750,15,IF(RAW_DATA!F24&lt;800,20,25))))</f>
        <v>0</v>
      </c>
      <c r="O24" s="3">
        <f>IF(RAW_DATA!G24=0,5,IF(RAW_DATA!G24=1,4,IF(RAW_DATA!G24=2,3,IF(RAW_DATA!G24=3,2,IF(RAW_DATA!G24=4,1,0)))))</f>
        <v>5</v>
      </c>
      <c r="P24" s="3">
        <f>IF(RAW_DATA!K24&gt;=RAW_DATA!H24,20,ROUND((RAW_DATA!K24/RAW_DATA!H24)*20,0))</f>
        <v>20</v>
      </c>
      <c r="Q24" s="3">
        <f>IF(RAW_DATA!L24="No",5,0)</f>
        <v>0</v>
      </c>
      <c r="R24" s="3">
        <f t="shared" si="3"/>
        <v>58</v>
      </c>
      <c r="S24" s="3">
        <f t="shared" si="4"/>
        <v>58</v>
      </c>
      <c r="T24" s="3" t="str">
        <f t="shared" si="5"/>
        <v>Not Scored - Ineligible</v>
      </c>
    </row>
    <row r="25" spans="1:20" x14ac:dyDescent="0.25">
      <c r="A25" s="3" t="str">
        <f>RAW_DATA!A25</f>
        <v>APP024</v>
      </c>
      <c r="B25" s="3" t="b">
        <f>AND(RAW_DATA!B25&gt;=21,RAW_DATA!B25&lt;=60)</f>
        <v>0</v>
      </c>
      <c r="C25" s="3" t="b">
        <f>RAW_DATA!C25&gt;=300000</f>
        <v>1</v>
      </c>
      <c r="D25" s="3" t="b">
        <f>RAW_DATA!F25&gt;=650</f>
        <v>0</v>
      </c>
      <c r="E25" s="3" t="b">
        <f>RAW_DATA!E25&gt;=1</f>
        <v>1</v>
      </c>
      <c r="F25" s="3" t="b">
        <f>RAW_DATA!L25="No"</f>
        <v>0</v>
      </c>
      <c r="G25" s="3" t="b">
        <f t="shared" si="0"/>
        <v>0</v>
      </c>
      <c r="H25" s="3" t="str">
        <f t="shared" si="1"/>
        <v>INELIGIBLE</v>
      </c>
      <c r="I25" s="3" t="str">
        <f t="shared" si="2"/>
        <v>Age, Credit Score, Defaulter History</v>
      </c>
      <c r="K25" s="3" cm="1">
        <f t="array" ref="K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" s="5">
        <f>IF(RAW_DATA!C25&lt;300000,0,IF(RAW_DATA!C25&lt;600000,5,IF(RAW_DATA!C25&lt;1200000,15,IF(RAW_DATA!C25&lt;2000000,20,25))))</f>
        <v>20</v>
      </c>
      <c r="M25" s="3">
        <f>IF(RAW_DATA!E25&lt;1,0,IF(RAW_DATA!E25&lt;3,3,IF(RAW_DATA!E25&lt;5,5,IF(RAW_DATA!E25&lt;10,8,10))))</f>
        <v>10</v>
      </c>
      <c r="N25" s="3">
        <f>IF(RAW_DATA!F25&lt;650,0,IF(RAW_DATA!F25&lt;700,8,IF(RAW_DATA!F25&lt;750,15,IF(RAW_DATA!F25&lt;800,20,25))))</f>
        <v>0</v>
      </c>
      <c r="O25" s="3">
        <f>IF(RAW_DATA!G25=0,5,IF(RAW_DATA!G25=1,4,IF(RAW_DATA!G25=2,3,IF(RAW_DATA!G25=3,2,IF(RAW_DATA!G25=4,1,0)))))</f>
        <v>4</v>
      </c>
      <c r="P25" s="3">
        <f>IF(RAW_DATA!K25&gt;=RAW_DATA!H25,20,ROUND((RAW_DATA!K25/RAW_DATA!H25)*20,0))</f>
        <v>20</v>
      </c>
      <c r="Q25" s="3">
        <f>IF(RAW_DATA!L25="No",5,0)</f>
        <v>0</v>
      </c>
      <c r="R25" s="3">
        <f t="shared" si="3"/>
        <v>54</v>
      </c>
      <c r="S25" s="3">
        <f t="shared" si="4"/>
        <v>54</v>
      </c>
      <c r="T25" s="3" t="str">
        <f t="shared" si="5"/>
        <v>Not Scored - Ineligible</v>
      </c>
    </row>
    <row r="26" spans="1:20" x14ac:dyDescent="0.25">
      <c r="A26" s="3" t="str">
        <f>RAW_DATA!A26</f>
        <v>APP025</v>
      </c>
      <c r="B26" s="3" t="b">
        <f>AND(RAW_DATA!B26&gt;=21,RAW_DATA!B26&lt;=60)</f>
        <v>0</v>
      </c>
      <c r="C26" s="3" t="b">
        <f>RAW_DATA!C26&gt;=300000</f>
        <v>1</v>
      </c>
      <c r="D26" s="3" t="b">
        <f>RAW_DATA!F26&gt;=650</f>
        <v>1</v>
      </c>
      <c r="E26" s="3" t="b">
        <f>RAW_DATA!E26&gt;=1</f>
        <v>1</v>
      </c>
      <c r="F26" s="3" t="b">
        <f>RAW_DATA!L26="No"</f>
        <v>1</v>
      </c>
      <c r="G26" s="3" t="b">
        <f t="shared" si="0"/>
        <v>0</v>
      </c>
      <c r="H26" s="3" t="str">
        <f t="shared" si="1"/>
        <v>INELIGIBLE</v>
      </c>
      <c r="I26" s="3" t="str">
        <f t="shared" si="2"/>
        <v>Age</v>
      </c>
      <c r="K26" s="3" cm="1">
        <f t="array" ref="K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6" s="5">
        <f>IF(RAW_DATA!C26&lt;300000,0,IF(RAW_DATA!C26&lt;600000,5,IF(RAW_DATA!C26&lt;1200000,15,IF(RAW_DATA!C26&lt;2000000,20,25))))</f>
        <v>25</v>
      </c>
      <c r="M26" s="3">
        <f>IF(RAW_DATA!E26&lt;1,0,IF(RAW_DATA!E26&lt;3,3,IF(RAW_DATA!E26&lt;5,5,IF(RAW_DATA!E26&lt;10,8,10))))</f>
        <v>10</v>
      </c>
      <c r="N26" s="3">
        <f>IF(RAW_DATA!F26&lt;650,0,IF(RAW_DATA!F26&lt;700,8,IF(RAW_DATA!F26&lt;750,15,IF(RAW_DATA!F26&lt;800,20,25))))</f>
        <v>20</v>
      </c>
      <c r="O26" s="3">
        <f>IF(RAW_DATA!G26=0,5,IF(RAW_DATA!G26=1,4,IF(RAW_DATA!G26=2,3,IF(RAW_DATA!G26=3,2,IF(RAW_DATA!G26=4,1,0)))))</f>
        <v>1</v>
      </c>
      <c r="P26" s="3">
        <f>IF(RAW_DATA!K26&gt;=RAW_DATA!H26,20,ROUND((RAW_DATA!K26/RAW_DATA!H26)*20,0))</f>
        <v>20</v>
      </c>
      <c r="Q26" s="3">
        <f>IF(RAW_DATA!L26="No",5,0)</f>
        <v>5</v>
      </c>
      <c r="R26" s="3">
        <f t="shared" si="3"/>
        <v>81</v>
      </c>
      <c r="S26" s="3">
        <f t="shared" si="4"/>
        <v>81</v>
      </c>
      <c r="T26" s="3" t="str">
        <f t="shared" si="5"/>
        <v>Not Scored - Ineligible</v>
      </c>
    </row>
    <row r="27" spans="1:20" x14ac:dyDescent="0.25">
      <c r="A27" s="3" t="str">
        <f>RAW_DATA!A27</f>
        <v>APP026</v>
      </c>
      <c r="B27" s="3" t="b">
        <f>AND(RAW_DATA!B27&gt;=21,RAW_DATA!B27&lt;=60)</f>
        <v>1</v>
      </c>
      <c r="C27" s="3" t="b">
        <f>RAW_DATA!C27&gt;=300000</f>
        <v>1</v>
      </c>
      <c r="D27" s="3" t="b">
        <f>RAW_DATA!F27&gt;=650</f>
        <v>1</v>
      </c>
      <c r="E27" s="3" t="b">
        <f>RAW_DATA!E27&gt;=1</f>
        <v>1</v>
      </c>
      <c r="F27" s="3" t="b">
        <f>RAW_DATA!L27="No"</f>
        <v>0</v>
      </c>
      <c r="G27" s="3" t="b">
        <f t="shared" si="0"/>
        <v>0</v>
      </c>
      <c r="H27" s="3" t="str">
        <f t="shared" si="1"/>
        <v>INELIGIBLE</v>
      </c>
      <c r="I27" s="3" t="str">
        <f t="shared" si="2"/>
        <v>Defaulter History</v>
      </c>
      <c r="K27" s="3" cm="1">
        <f t="array" ref="K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" s="5">
        <f>IF(RAW_DATA!C27&lt;300000,0,IF(RAW_DATA!C27&lt;600000,5,IF(RAW_DATA!C27&lt;1200000,15,IF(RAW_DATA!C27&lt;2000000,20,25))))</f>
        <v>15</v>
      </c>
      <c r="M27" s="3">
        <f>IF(RAW_DATA!E27&lt;1,0,IF(RAW_DATA!E27&lt;3,3,IF(RAW_DATA!E27&lt;5,5,IF(RAW_DATA!E27&lt;10,8,10))))</f>
        <v>10</v>
      </c>
      <c r="N27" s="3">
        <f>IF(RAW_DATA!F27&lt;650,0,IF(RAW_DATA!F27&lt;700,8,IF(RAW_DATA!F27&lt;750,15,IF(RAW_DATA!F27&lt;800,20,25))))</f>
        <v>15</v>
      </c>
      <c r="O27" s="3">
        <f>IF(RAW_DATA!G27=0,5,IF(RAW_DATA!G27=1,4,IF(RAW_DATA!G27=2,3,IF(RAW_DATA!G27=3,2,IF(RAW_DATA!G27=4,1,0)))))</f>
        <v>4</v>
      </c>
      <c r="P27" s="3">
        <f>IF(RAW_DATA!K27&gt;=RAW_DATA!H27,20,ROUND((RAW_DATA!K27/RAW_DATA!H27)*20,0))</f>
        <v>20</v>
      </c>
      <c r="Q27" s="3">
        <f>IF(RAW_DATA!L27="No",5,0)</f>
        <v>0</v>
      </c>
      <c r="R27" s="3">
        <f t="shared" si="3"/>
        <v>70</v>
      </c>
      <c r="S27" s="3">
        <f t="shared" si="4"/>
        <v>70</v>
      </c>
      <c r="T27" s="3" t="str">
        <f t="shared" si="5"/>
        <v>Not Scored - Ineligible</v>
      </c>
    </row>
    <row r="28" spans="1:20" x14ac:dyDescent="0.25">
      <c r="A28" s="3" t="str">
        <f>RAW_DATA!A28</f>
        <v>APP027</v>
      </c>
      <c r="B28" s="3" t="b">
        <f>AND(RAW_DATA!B28&gt;=21,RAW_DATA!B28&lt;=60)</f>
        <v>0</v>
      </c>
      <c r="C28" s="3" t="b">
        <f>RAW_DATA!C28&gt;=300000</f>
        <v>1</v>
      </c>
      <c r="D28" s="3" t="b">
        <f>RAW_DATA!F28&gt;=650</f>
        <v>1</v>
      </c>
      <c r="E28" s="3" t="b">
        <f>RAW_DATA!E28&gt;=1</f>
        <v>1</v>
      </c>
      <c r="F28" s="3" t="b">
        <f>RAW_DATA!L28="No"</f>
        <v>1</v>
      </c>
      <c r="G28" s="3" t="b">
        <f t="shared" si="0"/>
        <v>0</v>
      </c>
      <c r="H28" s="3" t="str">
        <f t="shared" si="1"/>
        <v>INELIGIBLE</v>
      </c>
      <c r="I28" s="3" t="str">
        <f t="shared" si="2"/>
        <v>Age</v>
      </c>
      <c r="K28" s="3" cm="1">
        <f t="array" ref="K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" s="5">
        <f>IF(RAW_DATA!C28&lt;300000,0,IF(RAW_DATA!C28&lt;600000,5,IF(RAW_DATA!C28&lt;1200000,15,IF(RAW_DATA!C28&lt;2000000,20,25))))</f>
        <v>20</v>
      </c>
      <c r="M28" s="3">
        <f>IF(RAW_DATA!E28&lt;1,0,IF(RAW_DATA!E28&lt;3,3,IF(RAW_DATA!E28&lt;5,5,IF(RAW_DATA!E28&lt;10,8,10))))</f>
        <v>10</v>
      </c>
      <c r="N28" s="3">
        <f>IF(RAW_DATA!F28&lt;650,0,IF(RAW_DATA!F28&lt;700,8,IF(RAW_DATA!F28&lt;750,15,IF(RAW_DATA!F28&lt;800,20,25))))</f>
        <v>15</v>
      </c>
      <c r="O28" s="3">
        <f>IF(RAW_DATA!G28=0,5,IF(RAW_DATA!G28=1,4,IF(RAW_DATA!G28=2,3,IF(RAW_DATA!G28=3,2,IF(RAW_DATA!G28=4,1,0)))))</f>
        <v>2</v>
      </c>
      <c r="P28" s="3">
        <f>IF(RAW_DATA!K28&gt;=RAW_DATA!H28,20,ROUND((RAW_DATA!K28/RAW_DATA!H28)*20,0))</f>
        <v>1</v>
      </c>
      <c r="Q28" s="3">
        <f>IF(RAW_DATA!L28="No",5,0)</f>
        <v>5</v>
      </c>
      <c r="R28" s="3">
        <f t="shared" si="3"/>
        <v>53</v>
      </c>
      <c r="S28" s="3">
        <f t="shared" si="4"/>
        <v>53</v>
      </c>
      <c r="T28" s="3" t="str">
        <f t="shared" si="5"/>
        <v>Not Scored - Ineligible</v>
      </c>
    </row>
    <row r="29" spans="1:20" x14ac:dyDescent="0.25">
      <c r="A29" s="3" t="str">
        <f>RAW_DATA!A29</f>
        <v>APP028</v>
      </c>
      <c r="B29" s="3" t="b">
        <f>AND(RAW_DATA!B29&gt;=21,RAW_DATA!B29&lt;=60)</f>
        <v>1</v>
      </c>
      <c r="C29" s="3" t="b">
        <f>RAW_DATA!C29&gt;=300000</f>
        <v>1</v>
      </c>
      <c r="D29" s="3" t="b">
        <f>RAW_DATA!F29&gt;=650</f>
        <v>0</v>
      </c>
      <c r="E29" s="3" t="b">
        <f>RAW_DATA!E29&gt;=1</f>
        <v>1</v>
      </c>
      <c r="F29" s="3" t="b">
        <f>RAW_DATA!L29="No"</f>
        <v>1</v>
      </c>
      <c r="G29" s="3" t="b">
        <f t="shared" si="0"/>
        <v>0</v>
      </c>
      <c r="H29" s="3" t="str">
        <f t="shared" si="1"/>
        <v>INELIGIBLE</v>
      </c>
      <c r="I29" s="3" t="str">
        <f t="shared" si="2"/>
        <v>Credit Score</v>
      </c>
      <c r="K29" s="3" cm="1">
        <f t="array" ref="K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" s="5">
        <f>IF(RAW_DATA!C29&lt;300000,0,IF(RAW_DATA!C29&lt;600000,5,IF(RAW_DATA!C29&lt;1200000,15,IF(RAW_DATA!C29&lt;2000000,20,25))))</f>
        <v>15</v>
      </c>
      <c r="M29" s="3">
        <f>IF(RAW_DATA!E29&lt;1,0,IF(RAW_DATA!E29&lt;3,3,IF(RAW_DATA!E29&lt;5,5,IF(RAW_DATA!E29&lt;10,8,10))))</f>
        <v>10</v>
      </c>
      <c r="N29" s="3">
        <f>IF(RAW_DATA!F29&lt;650,0,IF(RAW_DATA!F29&lt;700,8,IF(RAW_DATA!F29&lt;750,15,IF(RAW_DATA!F29&lt;800,20,25))))</f>
        <v>0</v>
      </c>
      <c r="O29" s="3">
        <f>IF(RAW_DATA!G29=0,5,IF(RAW_DATA!G29=1,4,IF(RAW_DATA!G29=2,3,IF(RAW_DATA!G29=3,2,IF(RAW_DATA!G29=4,1,0)))))</f>
        <v>4</v>
      </c>
      <c r="P29" s="3">
        <f>IF(RAW_DATA!K29&gt;=RAW_DATA!H29,20,ROUND((RAW_DATA!K29/RAW_DATA!H29)*20,0))</f>
        <v>20</v>
      </c>
      <c r="Q29" s="3">
        <f>IF(RAW_DATA!L29="No",5,0)</f>
        <v>5</v>
      </c>
      <c r="R29" s="3">
        <f t="shared" si="3"/>
        <v>58</v>
      </c>
      <c r="S29" s="3">
        <f t="shared" si="4"/>
        <v>58</v>
      </c>
      <c r="T29" s="3" t="str">
        <f t="shared" si="5"/>
        <v>Not Scored - Ineligible</v>
      </c>
    </row>
    <row r="30" spans="1:20" x14ac:dyDescent="0.25">
      <c r="A30" s="3" t="str">
        <f>RAW_DATA!A30</f>
        <v>APP029</v>
      </c>
      <c r="B30" s="3" t="b">
        <f>AND(RAW_DATA!B30&gt;=21,RAW_DATA!B30&lt;=60)</f>
        <v>1</v>
      </c>
      <c r="C30" s="3" t="b">
        <f>RAW_DATA!C30&gt;=300000</f>
        <v>1</v>
      </c>
      <c r="D30" s="3" t="b">
        <f>RAW_DATA!F30&gt;=650</f>
        <v>0</v>
      </c>
      <c r="E30" s="3" t="b">
        <f>RAW_DATA!E30&gt;=1</f>
        <v>1</v>
      </c>
      <c r="F30" s="3" t="b">
        <f>RAW_DATA!L30="No"</f>
        <v>1</v>
      </c>
      <c r="G30" s="3" t="b">
        <f t="shared" si="0"/>
        <v>0</v>
      </c>
      <c r="H30" s="3" t="str">
        <f t="shared" si="1"/>
        <v>INELIGIBLE</v>
      </c>
      <c r="I30" s="3" t="str">
        <f t="shared" si="2"/>
        <v>Credit Score</v>
      </c>
      <c r="K30" s="3" cm="1">
        <f t="array" ref="K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" s="5">
        <f>IF(RAW_DATA!C30&lt;300000,0,IF(RAW_DATA!C30&lt;600000,5,IF(RAW_DATA!C30&lt;1200000,15,IF(RAW_DATA!C30&lt;2000000,20,25))))</f>
        <v>15</v>
      </c>
      <c r="M30" s="3">
        <f>IF(RAW_DATA!E30&lt;1,0,IF(RAW_DATA!E30&lt;3,3,IF(RAW_DATA!E30&lt;5,5,IF(RAW_DATA!E30&lt;10,8,10))))</f>
        <v>10</v>
      </c>
      <c r="N30" s="3">
        <f>IF(RAW_DATA!F30&lt;650,0,IF(RAW_DATA!F30&lt;700,8,IF(RAW_DATA!F30&lt;750,15,IF(RAW_DATA!F30&lt;800,20,25))))</f>
        <v>0</v>
      </c>
      <c r="O30" s="3">
        <f>IF(RAW_DATA!G30=0,5,IF(RAW_DATA!G30=1,4,IF(RAW_DATA!G30=2,3,IF(RAW_DATA!G30=3,2,IF(RAW_DATA!G30=4,1,0)))))</f>
        <v>4</v>
      </c>
      <c r="P30" s="3">
        <f>IF(RAW_DATA!K30&gt;=RAW_DATA!H30,20,ROUND((RAW_DATA!K30/RAW_DATA!H30)*20,0))</f>
        <v>20</v>
      </c>
      <c r="Q30" s="3">
        <f>IF(RAW_DATA!L30="No",5,0)</f>
        <v>5</v>
      </c>
      <c r="R30" s="3">
        <f t="shared" si="3"/>
        <v>61</v>
      </c>
      <c r="S30" s="3">
        <f t="shared" si="4"/>
        <v>61</v>
      </c>
      <c r="T30" s="3" t="str">
        <f t="shared" si="5"/>
        <v>Not Scored - Ineligible</v>
      </c>
    </row>
    <row r="31" spans="1:20" x14ac:dyDescent="0.25">
      <c r="A31" s="3" t="str">
        <f>RAW_DATA!A31</f>
        <v>APP030</v>
      </c>
      <c r="B31" s="3" t="b">
        <f>AND(RAW_DATA!B31&gt;=21,RAW_DATA!B31&lt;=60)</f>
        <v>1</v>
      </c>
      <c r="C31" s="3" t="b">
        <f>RAW_DATA!C31&gt;=300000</f>
        <v>0</v>
      </c>
      <c r="D31" s="3" t="b">
        <f>RAW_DATA!F31&gt;=650</f>
        <v>0</v>
      </c>
      <c r="E31" s="3" t="b">
        <f>RAW_DATA!E31&gt;=1</f>
        <v>1</v>
      </c>
      <c r="F31" s="3" t="b">
        <f>RAW_DATA!L31="No"</f>
        <v>1</v>
      </c>
      <c r="G31" s="3" t="b">
        <f t="shared" si="0"/>
        <v>0</v>
      </c>
      <c r="H31" s="3" t="str">
        <f t="shared" si="1"/>
        <v>INELIGIBLE</v>
      </c>
      <c r="I31" s="3" t="str">
        <f t="shared" si="2"/>
        <v>Income, Credit Score</v>
      </c>
      <c r="K31" s="3" cm="1">
        <f t="array" ref="K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" s="5">
        <f>IF(RAW_DATA!C31&lt;300000,0,IF(RAW_DATA!C31&lt;600000,5,IF(RAW_DATA!C31&lt;1200000,15,IF(RAW_DATA!C31&lt;2000000,20,25))))</f>
        <v>0</v>
      </c>
      <c r="M31" s="3">
        <f>IF(RAW_DATA!E31&lt;1,0,IF(RAW_DATA!E31&lt;3,3,IF(RAW_DATA!E31&lt;5,5,IF(RAW_DATA!E31&lt;10,8,10))))</f>
        <v>10</v>
      </c>
      <c r="N31" s="3">
        <f>IF(RAW_DATA!F31&lt;650,0,IF(RAW_DATA!F31&lt;700,8,IF(RAW_DATA!F31&lt;750,15,IF(RAW_DATA!F31&lt;800,20,25))))</f>
        <v>0</v>
      </c>
      <c r="O31" s="3">
        <f>IF(RAW_DATA!G31=0,5,IF(RAW_DATA!G31=1,4,IF(RAW_DATA!G31=2,3,IF(RAW_DATA!G31=3,2,IF(RAW_DATA!G31=4,1,0)))))</f>
        <v>3</v>
      </c>
      <c r="P31" s="3">
        <f>IF(RAW_DATA!K31&gt;=RAW_DATA!H31,20,ROUND((RAW_DATA!K31/RAW_DATA!H31)*20,0))</f>
        <v>20</v>
      </c>
      <c r="Q31" s="3">
        <f>IF(RAW_DATA!L31="No",5,0)</f>
        <v>5</v>
      </c>
      <c r="R31" s="3">
        <f t="shared" si="3"/>
        <v>44</v>
      </c>
      <c r="S31" s="3">
        <f t="shared" si="4"/>
        <v>44</v>
      </c>
      <c r="T31" s="3" t="str">
        <f t="shared" si="5"/>
        <v>Not Scored - Ineligible</v>
      </c>
    </row>
    <row r="32" spans="1:20" x14ac:dyDescent="0.25">
      <c r="A32" s="3" t="str">
        <f>RAW_DATA!A32</f>
        <v>APP031</v>
      </c>
      <c r="B32" s="3" t="b">
        <f>AND(RAW_DATA!B32&gt;=21,RAW_DATA!B32&lt;=60)</f>
        <v>1</v>
      </c>
      <c r="C32" s="3" t="b">
        <f>RAW_DATA!C32&gt;=300000</f>
        <v>1</v>
      </c>
      <c r="D32" s="3" t="b">
        <f>RAW_DATA!F32&gt;=650</f>
        <v>1</v>
      </c>
      <c r="E32" s="3" t="b">
        <f>RAW_DATA!E32&gt;=1</f>
        <v>1</v>
      </c>
      <c r="F32" s="3" t="b">
        <f>RAW_DATA!L32="No"</f>
        <v>1</v>
      </c>
      <c r="G32" s="3" t="b">
        <f t="shared" si="0"/>
        <v>1</v>
      </c>
      <c r="H32" s="3" t="str">
        <f t="shared" si="1"/>
        <v>ELIGIBLE</v>
      </c>
      <c r="I32" s="3" t="str">
        <f t="shared" si="2"/>
        <v/>
      </c>
      <c r="K32" s="3" cm="1">
        <f t="array" ref="K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" s="5">
        <f>IF(RAW_DATA!C32&lt;300000,0,IF(RAW_DATA!C32&lt;600000,5,IF(RAW_DATA!C32&lt;1200000,15,IF(RAW_DATA!C32&lt;2000000,20,25))))</f>
        <v>15</v>
      </c>
      <c r="M32" s="3">
        <f>IF(RAW_DATA!E32&lt;1,0,IF(RAW_DATA!E32&lt;3,3,IF(RAW_DATA!E32&lt;5,5,IF(RAW_DATA!E32&lt;10,8,10))))</f>
        <v>10</v>
      </c>
      <c r="N32" s="3">
        <f>IF(RAW_DATA!F32&lt;650,0,IF(RAW_DATA!F32&lt;700,8,IF(RAW_DATA!F32&lt;750,15,IF(RAW_DATA!F32&lt;800,20,25))))</f>
        <v>20</v>
      </c>
      <c r="O32" s="3">
        <f>IF(RAW_DATA!G32=0,5,IF(RAW_DATA!G32=1,4,IF(RAW_DATA!G32=2,3,IF(RAW_DATA!G32=3,2,IF(RAW_DATA!G32=4,1,0)))))</f>
        <v>4</v>
      </c>
      <c r="P32" s="3">
        <f>IF(RAW_DATA!K32&gt;=RAW_DATA!H32,20,ROUND((RAW_DATA!K32/RAW_DATA!H32)*20,0))</f>
        <v>20</v>
      </c>
      <c r="Q32" s="3">
        <f>IF(RAW_DATA!L32="No",5,0)</f>
        <v>5</v>
      </c>
      <c r="R32" s="3">
        <f t="shared" si="3"/>
        <v>82</v>
      </c>
      <c r="S32" s="3">
        <f t="shared" si="4"/>
        <v>82</v>
      </c>
      <c r="T32" s="3" t="str">
        <f t="shared" si="5"/>
        <v>Strong</v>
      </c>
    </row>
    <row r="33" spans="1:20" x14ac:dyDescent="0.25">
      <c r="A33" s="3" t="str">
        <f>RAW_DATA!A33</f>
        <v>APP032</v>
      </c>
      <c r="B33" s="3" t="b">
        <f>AND(RAW_DATA!B33&gt;=21,RAW_DATA!B33&lt;=60)</f>
        <v>0</v>
      </c>
      <c r="C33" s="3" t="b">
        <f>RAW_DATA!C33&gt;=300000</f>
        <v>1</v>
      </c>
      <c r="D33" s="3" t="b">
        <f>RAW_DATA!F33&gt;=650</f>
        <v>1</v>
      </c>
      <c r="E33" s="3" t="b">
        <f>RAW_DATA!E33&gt;=1</f>
        <v>0</v>
      </c>
      <c r="F33" s="3" t="b">
        <f>RAW_DATA!L33="No"</f>
        <v>1</v>
      </c>
      <c r="G33" s="3" t="b">
        <f t="shared" si="0"/>
        <v>0</v>
      </c>
      <c r="H33" s="3" t="str">
        <f t="shared" si="1"/>
        <v>INELIGIBLE</v>
      </c>
      <c r="I33" s="3" t="str">
        <f t="shared" si="2"/>
        <v>Age, Employment</v>
      </c>
      <c r="K33" s="3" cm="1">
        <f t="array" ref="K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3" s="5">
        <f>IF(RAW_DATA!C33&lt;300000,0,IF(RAW_DATA!C33&lt;600000,5,IF(RAW_DATA!C33&lt;1200000,15,IF(RAW_DATA!C33&lt;2000000,20,25))))</f>
        <v>20</v>
      </c>
      <c r="M33" s="3">
        <f>IF(RAW_DATA!E33&lt;1,0,IF(RAW_DATA!E33&lt;3,3,IF(RAW_DATA!E33&lt;5,5,IF(RAW_DATA!E33&lt;10,8,10))))</f>
        <v>0</v>
      </c>
      <c r="N33" s="3">
        <f>IF(RAW_DATA!F33&lt;650,0,IF(RAW_DATA!F33&lt;700,8,IF(RAW_DATA!F33&lt;750,15,IF(RAW_DATA!F33&lt;800,20,25))))</f>
        <v>8</v>
      </c>
      <c r="O33" s="3">
        <f>IF(RAW_DATA!G33=0,5,IF(RAW_DATA!G33=1,4,IF(RAW_DATA!G33=2,3,IF(RAW_DATA!G33=3,2,IF(RAW_DATA!G33=4,1,0)))))</f>
        <v>2</v>
      </c>
      <c r="P33" s="3">
        <f>IF(RAW_DATA!K33&gt;=RAW_DATA!H33,20,ROUND((RAW_DATA!K33/RAW_DATA!H33)*20,0))</f>
        <v>15</v>
      </c>
      <c r="Q33" s="3">
        <f>IF(RAW_DATA!L33="No",5,0)</f>
        <v>5</v>
      </c>
      <c r="R33" s="3">
        <f t="shared" si="3"/>
        <v>50</v>
      </c>
      <c r="S33" s="3">
        <f t="shared" si="4"/>
        <v>50</v>
      </c>
      <c r="T33" s="3" t="str">
        <f t="shared" si="5"/>
        <v>Not Scored - Ineligible</v>
      </c>
    </row>
    <row r="34" spans="1:20" x14ac:dyDescent="0.25">
      <c r="A34" s="3" t="str">
        <f>RAW_DATA!A34</f>
        <v>APP033</v>
      </c>
      <c r="B34" s="3" t="b">
        <f>AND(RAW_DATA!B34&gt;=21,RAW_DATA!B34&lt;=60)</f>
        <v>1</v>
      </c>
      <c r="C34" s="3" t="b">
        <f>RAW_DATA!C34&gt;=300000</f>
        <v>0</v>
      </c>
      <c r="D34" s="3" t="b">
        <f>RAW_DATA!F34&gt;=650</f>
        <v>0</v>
      </c>
      <c r="E34" s="3" t="b">
        <f>RAW_DATA!E34&gt;=1</f>
        <v>1</v>
      </c>
      <c r="F34" s="3" t="b">
        <f>RAW_DATA!L34="No"</f>
        <v>1</v>
      </c>
      <c r="G34" s="3" t="b">
        <f t="shared" si="0"/>
        <v>0</v>
      </c>
      <c r="H34" s="3" t="str">
        <f t="shared" si="1"/>
        <v>INELIGIBLE</v>
      </c>
      <c r="I34" s="3" t="str">
        <f t="shared" si="2"/>
        <v>Income, Credit Score</v>
      </c>
      <c r="K34" s="3" cm="1">
        <f t="array" ref="K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" s="5">
        <f>IF(RAW_DATA!C34&lt;300000,0,IF(RAW_DATA!C34&lt;600000,5,IF(RAW_DATA!C34&lt;1200000,15,IF(RAW_DATA!C34&lt;2000000,20,25))))</f>
        <v>0</v>
      </c>
      <c r="M34" s="3">
        <f>IF(RAW_DATA!E34&lt;1,0,IF(RAW_DATA!E34&lt;3,3,IF(RAW_DATA!E34&lt;5,5,IF(RAW_DATA!E34&lt;10,8,10))))</f>
        <v>10</v>
      </c>
      <c r="N34" s="3">
        <f>IF(RAW_DATA!F34&lt;650,0,IF(RAW_DATA!F34&lt;700,8,IF(RAW_DATA!F34&lt;750,15,IF(RAW_DATA!F34&lt;800,20,25))))</f>
        <v>0</v>
      </c>
      <c r="O34" s="3">
        <f>IF(RAW_DATA!G34=0,5,IF(RAW_DATA!G34=1,4,IF(RAW_DATA!G34=2,3,IF(RAW_DATA!G34=3,2,IF(RAW_DATA!G34=4,1,0)))))</f>
        <v>1</v>
      </c>
      <c r="P34" s="3">
        <f>IF(RAW_DATA!K34&gt;=RAW_DATA!H34,20,ROUND((RAW_DATA!K34/RAW_DATA!H34)*20,0))</f>
        <v>1</v>
      </c>
      <c r="Q34" s="3">
        <f>IF(RAW_DATA!L34="No",5,0)</f>
        <v>5</v>
      </c>
      <c r="R34" s="3">
        <f t="shared" si="3"/>
        <v>25</v>
      </c>
      <c r="S34" s="3">
        <f t="shared" si="4"/>
        <v>25</v>
      </c>
      <c r="T34" s="3" t="str">
        <f t="shared" si="5"/>
        <v>Not Scored - Ineligible</v>
      </c>
    </row>
    <row r="35" spans="1:20" x14ac:dyDescent="0.25">
      <c r="A35" s="3" t="str">
        <f>RAW_DATA!A35</f>
        <v>APP034</v>
      </c>
      <c r="B35" s="3" t="b">
        <f>AND(RAW_DATA!B35&gt;=21,RAW_DATA!B35&lt;=60)</f>
        <v>1</v>
      </c>
      <c r="C35" s="3" t="b">
        <f>RAW_DATA!C35&gt;=300000</f>
        <v>1</v>
      </c>
      <c r="D35" s="3" t="b">
        <f>RAW_DATA!F35&gt;=650</f>
        <v>0</v>
      </c>
      <c r="E35" s="3" t="b">
        <f>RAW_DATA!E35&gt;=1</f>
        <v>1</v>
      </c>
      <c r="F35" s="3" t="b">
        <f>RAW_DATA!L35="No"</f>
        <v>0</v>
      </c>
      <c r="G35" s="3" t="b">
        <f t="shared" si="0"/>
        <v>0</v>
      </c>
      <c r="H35" s="3" t="str">
        <f t="shared" si="1"/>
        <v>INELIGIBLE</v>
      </c>
      <c r="I35" s="3" t="str">
        <f t="shared" si="2"/>
        <v>Credit Score, Defaulter History</v>
      </c>
      <c r="K35" s="3" cm="1">
        <f t="array" ref="K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" s="5">
        <f>IF(RAW_DATA!C35&lt;300000,0,IF(RAW_DATA!C35&lt;600000,5,IF(RAW_DATA!C35&lt;1200000,15,IF(RAW_DATA!C35&lt;2000000,20,25))))</f>
        <v>20</v>
      </c>
      <c r="M35" s="3">
        <f>IF(RAW_DATA!E35&lt;1,0,IF(RAW_DATA!E35&lt;3,3,IF(RAW_DATA!E35&lt;5,5,IF(RAW_DATA!E35&lt;10,8,10))))</f>
        <v>10</v>
      </c>
      <c r="N35" s="3">
        <f>IF(RAW_DATA!F35&lt;650,0,IF(RAW_DATA!F35&lt;700,8,IF(RAW_DATA!F35&lt;750,15,IF(RAW_DATA!F35&lt;800,20,25))))</f>
        <v>0</v>
      </c>
      <c r="O35" s="3">
        <f>IF(RAW_DATA!G35=0,5,IF(RAW_DATA!G35=1,4,IF(RAW_DATA!G35=2,3,IF(RAW_DATA!G35=3,2,IF(RAW_DATA!G35=4,1,0)))))</f>
        <v>5</v>
      </c>
      <c r="P35" s="3">
        <f>IF(RAW_DATA!K35&gt;=RAW_DATA!H35,20,ROUND((RAW_DATA!K35/RAW_DATA!H35)*20,0))</f>
        <v>20</v>
      </c>
      <c r="Q35" s="3">
        <f>IF(RAW_DATA!L35="No",5,0)</f>
        <v>0</v>
      </c>
      <c r="R35" s="3">
        <f t="shared" si="3"/>
        <v>62</v>
      </c>
      <c r="S35" s="3">
        <f t="shared" si="4"/>
        <v>62</v>
      </c>
      <c r="T35" s="3" t="str">
        <f t="shared" si="5"/>
        <v>Not Scored - Ineligible</v>
      </c>
    </row>
    <row r="36" spans="1:20" x14ac:dyDescent="0.25">
      <c r="A36" s="3" t="str">
        <f>RAW_DATA!A36</f>
        <v>APP035</v>
      </c>
      <c r="B36" s="3" t="b">
        <f>AND(RAW_DATA!B36&gt;=21,RAW_DATA!B36&lt;=60)</f>
        <v>1</v>
      </c>
      <c r="C36" s="3" t="b">
        <f>RAW_DATA!C36&gt;=300000</f>
        <v>1</v>
      </c>
      <c r="D36" s="3" t="b">
        <f>RAW_DATA!F36&gt;=650</f>
        <v>1</v>
      </c>
      <c r="E36" s="3" t="b">
        <f>RAW_DATA!E36&gt;=1</f>
        <v>0</v>
      </c>
      <c r="F36" s="3" t="b">
        <f>RAW_DATA!L36="No"</f>
        <v>1</v>
      </c>
      <c r="G36" s="3" t="b">
        <f t="shared" si="0"/>
        <v>0</v>
      </c>
      <c r="H36" s="3" t="str">
        <f t="shared" si="1"/>
        <v>INELIGIBLE</v>
      </c>
      <c r="I36" s="3" t="str">
        <f t="shared" si="2"/>
        <v>Employment</v>
      </c>
      <c r="K36" s="3" cm="1">
        <f t="array" ref="K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6" s="5">
        <f>IF(RAW_DATA!C36&lt;300000,0,IF(RAW_DATA!C36&lt;600000,5,IF(RAW_DATA!C36&lt;1200000,15,IF(RAW_DATA!C36&lt;2000000,20,25))))</f>
        <v>25</v>
      </c>
      <c r="M36" s="3">
        <f>IF(RAW_DATA!E36&lt;1,0,IF(RAW_DATA!E36&lt;3,3,IF(RAW_DATA!E36&lt;5,5,IF(RAW_DATA!E36&lt;10,8,10))))</f>
        <v>0</v>
      </c>
      <c r="N36" s="3">
        <f>IF(RAW_DATA!F36&lt;650,0,IF(RAW_DATA!F36&lt;700,8,IF(RAW_DATA!F36&lt;750,15,IF(RAW_DATA!F36&lt;800,20,25))))</f>
        <v>20</v>
      </c>
      <c r="O36" s="3">
        <f>IF(RAW_DATA!G36=0,5,IF(RAW_DATA!G36=1,4,IF(RAW_DATA!G36=2,3,IF(RAW_DATA!G36=3,2,IF(RAW_DATA!G36=4,1,0)))))</f>
        <v>1</v>
      </c>
      <c r="P36" s="3">
        <f>IF(RAW_DATA!K36&gt;=RAW_DATA!H36,20,ROUND((RAW_DATA!K36/RAW_DATA!H36)*20,0))</f>
        <v>20</v>
      </c>
      <c r="Q36" s="3">
        <f>IF(RAW_DATA!L36="No",5,0)</f>
        <v>5</v>
      </c>
      <c r="R36" s="3">
        <f t="shared" si="3"/>
        <v>77</v>
      </c>
      <c r="S36" s="3">
        <f t="shared" si="4"/>
        <v>77</v>
      </c>
      <c r="T36" s="3" t="str">
        <f t="shared" si="5"/>
        <v>Not Scored - Ineligible</v>
      </c>
    </row>
    <row r="37" spans="1:20" x14ac:dyDescent="0.25">
      <c r="A37" s="3" t="str">
        <f>RAW_DATA!A37</f>
        <v>APP036</v>
      </c>
      <c r="B37" s="3" t="b">
        <f>AND(RAW_DATA!B37&gt;=21,RAW_DATA!B37&lt;=60)</f>
        <v>1</v>
      </c>
      <c r="C37" s="3" t="b">
        <f>RAW_DATA!C37&gt;=300000</f>
        <v>1</v>
      </c>
      <c r="D37" s="3" t="b">
        <f>RAW_DATA!F37&gt;=650</f>
        <v>1</v>
      </c>
      <c r="E37" s="3" t="b">
        <f>RAW_DATA!E37&gt;=1</f>
        <v>1</v>
      </c>
      <c r="F37" s="3" t="b">
        <f>RAW_DATA!L37="No"</f>
        <v>0</v>
      </c>
      <c r="G37" s="3" t="b">
        <f t="shared" si="0"/>
        <v>0</v>
      </c>
      <c r="H37" s="3" t="str">
        <f t="shared" si="1"/>
        <v>INELIGIBLE</v>
      </c>
      <c r="I37" s="3" t="str">
        <f t="shared" si="2"/>
        <v>Defaulter History</v>
      </c>
      <c r="K37" s="3" cm="1">
        <f t="array" ref="K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7" s="5">
        <f>IF(RAW_DATA!C37&lt;300000,0,IF(RAW_DATA!C37&lt;600000,5,IF(RAW_DATA!C37&lt;1200000,15,IF(RAW_DATA!C37&lt;2000000,20,25))))</f>
        <v>15</v>
      </c>
      <c r="M37" s="3">
        <f>IF(RAW_DATA!E37&lt;1,0,IF(RAW_DATA!E37&lt;3,3,IF(RAW_DATA!E37&lt;5,5,IF(RAW_DATA!E37&lt;10,8,10))))</f>
        <v>8</v>
      </c>
      <c r="N37" s="3">
        <f>IF(RAW_DATA!F37&lt;650,0,IF(RAW_DATA!F37&lt;700,8,IF(RAW_DATA!F37&lt;750,15,IF(RAW_DATA!F37&lt;800,20,25))))</f>
        <v>15</v>
      </c>
      <c r="O37" s="3">
        <f>IF(RAW_DATA!G37=0,5,IF(RAW_DATA!G37=1,4,IF(RAW_DATA!G37=2,3,IF(RAW_DATA!G37=3,2,IF(RAW_DATA!G37=4,1,0)))))</f>
        <v>5</v>
      </c>
      <c r="P37" s="3">
        <f>IF(RAW_DATA!K37&gt;=RAW_DATA!H37,20,ROUND((RAW_DATA!K37/RAW_DATA!H37)*20,0))</f>
        <v>7</v>
      </c>
      <c r="Q37" s="3">
        <f>IF(RAW_DATA!L37="No",5,0)</f>
        <v>0</v>
      </c>
      <c r="R37" s="3">
        <f t="shared" si="3"/>
        <v>56</v>
      </c>
      <c r="S37" s="3">
        <f t="shared" si="4"/>
        <v>56</v>
      </c>
      <c r="T37" s="3" t="str">
        <f t="shared" si="5"/>
        <v>Not Scored - Ineligible</v>
      </c>
    </row>
    <row r="38" spans="1:20" x14ac:dyDescent="0.25">
      <c r="A38" s="3" t="str">
        <f>RAW_DATA!A38</f>
        <v>APP037</v>
      </c>
      <c r="B38" s="3" t="b">
        <f>AND(RAW_DATA!B38&gt;=21,RAW_DATA!B38&lt;=60)</f>
        <v>1</v>
      </c>
      <c r="C38" s="3" t="b">
        <f>RAW_DATA!C38&gt;=300000</f>
        <v>1</v>
      </c>
      <c r="D38" s="3" t="b">
        <f>RAW_DATA!F38&gt;=650</f>
        <v>1</v>
      </c>
      <c r="E38" s="3" t="b">
        <f>RAW_DATA!E38&gt;=1</f>
        <v>1</v>
      </c>
      <c r="F38" s="3" t="b">
        <f>RAW_DATA!L38="No"</f>
        <v>0</v>
      </c>
      <c r="G38" s="3" t="b">
        <f t="shared" si="0"/>
        <v>0</v>
      </c>
      <c r="H38" s="3" t="str">
        <f t="shared" si="1"/>
        <v>INELIGIBLE</v>
      </c>
      <c r="I38" s="3" t="str">
        <f t="shared" si="2"/>
        <v>Defaulter History</v>
      </c>
      <c r="K38" s="3" cm="1">
        <f t="array" ref="K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" s="5">
        <f>IF(RAW_DATA!C38&lt;300000,0,IF(RAW_DATA!C38&lt;600000,5,IF(RAW_DATA!C38&lt;1200000,15,IF(RAW_DATA!C38&lt;2000000,20,25))))</f>
        <v>5</v>
      </c>
      <c r="M38" s="3">
        <f>IF(RAW_DATA!E38&lt;1,0,IF(RAW_DATA!E38&lt;3,3,IF(RAW_DATA!E38&lt;5,5,IF(RAW_DATA!E38&lt;10,8,10))))</f>
        <v>10</v>
      </c>
      <c r="N38" s="3">
        <f>IF(RAW_DATA!F38&lt;650,0,IF(RAW_DATA!F38&lt;700,8,IF(RAW_DATA!F38&lt;750,15,IF(RAW_DATA!F38&lt;800,20,25))))</f>
        <v>25</v>
      </c>
      <c r="O38" s="3">
        <f>IF(RAW_DATA!G38=0,5,IF(RAW_DATA!G38=1,4,IF(RAW_DATA!G38=2,3,IF(RAW_DATA!G38=3,2,IF(RAW_DATA!G38=4,1,0)))))</f>
        <v>2</v>
      </c>
      <c r="P38" s="3">
        <f>IF(RAW_DATA!K38&gt;=RAW_DATA!H38,20,ROUND((RAW_DATA!K38/RAW_DATA!H38)*20,0))</f>
        <v>20</v>
      </c>
      <c r="Q38" s="3">
        <f>IF(RAW_DATA!L38="No",5,0)</f>
        <v>0</v>
      </c>
      <c r="R38" s="3">
        <f t="shared" si="3"/>
        <v>70</v>
      </c>
      <c r="S38" s="3">
        <f t="shared" si="4"/>
        <v>70</v>
      </c>
      <c r="T38" s="3" t="str">
        <f t="shared" si="5"/>
        <v>Not Scored - Ineligible</v>
      </c>
    </row>
    <row r="39" spans="1:20" x14ac:dyDescent="0.25">
      <c r="A39" s="3" t="str">
        <f>RAW_DATA!A39</f>
        <v>APP038</v>
      </c>
      <c r="B39" s="3" t="b">
        <f>AND(RAW_DATA!B39&gt;=21,RAW_DATA!B39&lt;=60)</f>
        <v>1</v>
      </c>
      <c r="C39" s="3" t="b">
        <f>RAW_DATA!C39&gt;=300000</f>
        <v>1</v>
      </c>
      <c r="D39" s="3" t="b">
        <f>RAW_DATA!F39&gt;=650</f>
        <v>0</v>
      </c>
      <c r="E39" s="3" t="b">
        <f>RAW_DATA!E39&gt;=1</f>
        <v>1</v>
      </c>
      <c r="F39" s="3" t="b">
        <f>RAW_DATA!L39="No"</f>
        <v>1</v>
      </c>
      <c r="G39" s="3" t="b">
        <f t="shared" si="0"/>
        <v>0</v>
      </c>
      <c r="H39" s="3" t="str">
        <f t="shared" si="1"/>
        <v>INELIGIBLE</v>
      </c>
      <c r="I39" s="3" t="str">
        <f t="shared" si="2"/>
        <v>Credit Score</v>
      </c>
      <c r="K39" s="3" cm="1">
        <f t="array" ref="K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" s="5">
        <f>IF(RAW_DATA!C39&lt;300000,0,IF(RAW_DATA!C39&lt;600000,5,IF(RAW_DATA!C39&lt;1200000,15,IF(RAW_DATA!C39&lt;2000000,20,25))))</f>
        <v>20</v>
      </c>
      <c r="M39" s="3">
        <f>IF(RAW_DATA!E39&lt;1,0,IF(RAW_DATA!E39&lt;3,3,IF(RAW_DATA!E39&lt;5,5,IF(RAW_DATA!E39&lt;10,8,10))))</f>
        <v>10</v>
      </c>
      <c r="N39" s="3">
        <f>IF(RAW_DATA!F39&lt;650,0,IF(RAW_DATA!F39&lt;700,8,IF(RAW_DATA!F39&lt;750,15,IF(RAW_DATA!F39&lt;800,20,25))))</f>
        <v>0</v>
      </c>
      <c r="O39" s="3">
        <f>IF(RAW_DATA!G39=0,5,IF(RAW_DATA!G39=1,4,IF(RAW_DATA!G39=2,3,IF(RAW_DATA!G39=3,2,IF(RAW_DATA!G39=4,1,0)))))</f>
        <v>1</v>
      </c>
      <c r="P39" s="3">
        <f>IF(RAW_DATA!K39&gt;=RAW_DATA!H39,20,ROUND((RAW_DATA!K39/RAW_DATA!H39)*20,0))</f>
        <v>20</v>
      </c>
      <c r="Q39" s="3">
        <f>IF(RAW_DATA!L39="No",5,0)</f>
        <v>5</v>
      </c>
      <c r="R39" s="3">
        <f t="shared" si="3"/>
        <v>63</v>
      </c>
      <c r="S39" s="3">
        <f t="shared" si="4"/>
        <v>63</v>
      </c>
      <c r="T39" s="3" t="str">
        <f t="shared" si="5"/>
        <v>Not Scored - Ineligible</v>
      </c>
    </row>
    <row r="40" spans="1:20" x14ac:dyDescent="0.25">
      <c r="A40" s="3" t="str">
        <f>RAW_DATA!A40</f>
        <v>APP039</v>
      </c>
      <c r="B40" s="3" t="b">
        <f>AND(RAW_DATA!B40&gt;=21,RAW_DATA!B40&lt;=60)</f>
        <v>0</v>
      </c>
      <c r="C40" s="3" t="b">
        <f>RAW_DATA!C40&gt;=300000</f>
        <v>1</v>
      </c>
      <c r="D40" s="3" t="b">
        <f>RAW_DATA!F40&gt;=650</f>
        <v>0</v>
      </c>
      <c r="E40" s="3" t="b">
        <f>RAW_DATA!E40&gt;=1</f>
        <v>1</v>
      </c>
      <c r="F40" s="3" t="b">
        <f>RAW_DATA!L40="No"</f>
        <v>1</v>
      </c>
      <c r="G40" s="3" t="b">
        <f t="shared" si="0"/>
        <v>0</v>
      </c>
      <c r="H40" s="3" t="str">
        <f t="shared" si="1"/>
        <v>INELIGIBLE</v>
      </c>
      <c r="I40" s="3" t="str">
        <f t="shared" si="2"/>
        <v>Age, Credit Score</v>
      </c>
      <c r="K40" s="3" cm="1">
        <f t="array" ref="K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" s="5">
        <f>IF(RAW_DATA!C40&lt;300000,0,IF(RAW_DATA!C40&lt;600000,5,IF(RAW_DATA!C40&lt;1200000,15,IF(RAW_DATA!C40&lt;2000000,20,25))))</f>
        <v>25</v>
      </c>
      <c r="M40" s="3">
        <f>IF(RAW_DATA!E40&lt;1,0,IF(RAW_DATA!E40&lt;3,3,IF(RAW_DATA!E40&lt;5,5,IF(RAW_DATA!E40&lt;10,8,10))))</f>
        <v>8</v>
      </c>
      <c r="N40" s="3">
        <f>IF(RAW_DATA!F40&lt;650,0,IF(RAW_DATA!F40&lt;700,8,IF(RAW_DATA!F40&lt;750,15,IF(RAW_DATA!F40&lt;800,20,25))))</f>
        <v>0</v>
      </c>
      <c r="O40" s="3">
        <f>IF(RAW_DATA!G40=0,5,IF(RAW_DATA!G40=1,4,IF(RAW_DATA!G40=2,3,IF(RAW_DATA!G40=3,2,IF(RAW_DATA!G40=4,1,0)))))</f>
        <v>1</v>
      </c>
      <c r="P40" s="3">
        <f>IF(RAW_DATA!K40&gt;=RAW_DATA!H40,20,ROUND((RAW_DATA!K40/RAW_DATA!H40)*20,0))</f>
        <v>6</v>
      </c>
      <c r="Q40" s="3">
        <f>IF(RAW_DATA!L40="No",5,0)</f>
        <v>5</v>
      </c>
      <c r="R40" s="3">
        <f t="shared" si="3"/>
        <v>45</v>
      </c>
      <c r="S40" s="3">
        <f t="shared" si="4"/>
        <v>45</v>
      </c>
      <c r="T40" s="3" t="str">
        <f t="shared" si="5"/>
        <v>Not Scored - Ineligible</v>
      </c>
    </row>
    <row r="41" spans="1:20" x14ac:dyDescent="0.25">
      <c r="A41" s="3" t="str">
        <f>RAW_DATA!A41</f>
        <v>APP040</v>
      </c>
      <c r="B41" s="3" t="b">
        <f>AND(RAW_DATA!B41&gt;=21,RAW_DATA!B41&lt;=60)</f>
        <v>1</v>
      </c>
      <c r="C41" s="3" t="b">
        <f>RAW_DATA!C41&gt;=300000</f>
        <v>1</v>
      </c>
      <c r="D41" s="3" t="b">
        <f>RAW_DATA!F41&gt;=650</f>
        <v>1</v>
      </c>
      <c r="E41" s="3" t="b">
        <f>RAW_DATA!E41&gt;=1</f>
        <v>1</v>
      </c>
      <c r="F41" s="3" t="b">
        <f>RAW_DATA!L41="No"</f>
        <v>1</v>
      </c>
      <c r="G41" s="3" t="b">
        <f t="shared" si="0"/>
        <v>1</v>
      </c>
      <c r="H41" s="3" t="str">
        <f t="shared" si="1"/>
        <v>ELIGIBLE</v>
      </c>
      <c r="I41" s="3" t="str">
        <f t="shared" si="2"/>
        <v/>
      </c>
      <c r="K41" s="3" cm="1">
        <f t="array" ref="K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" s="5">
        <f>IF(RAW_DATA!C41&lt;300000,0,IF(RAW_DATA!C41&lt;600000,5,IF(RAW_DATA!C41&lt;1200000,15,IF(RAW_DATA!C41&lt;2000000,20,25))))</f>
        <v>15</v>
      </c>
      <c r="M41" s="3">
        <f>IF(RAW_DATA!E41&lt;1,0,IF(RAW_DATA!E41&lt;3,3,IF(RAW_DATA!E41&lt;5,5,IF(RAW_DATA!E41&lt;10,8,10))))</f>
        <v>10</v>
      </c>
      <c r="N41" s="3">
        <f>IF(RAW_DATA!F41&lt;650,0,IF(RAW_DATA!F41&lt;700,8,IF(RAW_DATA!F41&lt;750,15,IF(RAW_DATA!F41&lt;800,20,25))))</f>
        <v>25</v>
      </c>
      <c r="O41" s="3">
        <f>IF(RAW_DATA!G41=0,5,IF(RAW_DATA!G41=1,4,IF(RAW_DATA!G41=2,3,IF(RAW_DATA!G41=3,2,IF(RAW_DATA!G41=4,1,0)))))</f>
        <v>2</v>
      </c>
      <c r="P41" s="3">
        <f>IF(RAW_DATA!K41&gt;=RAW_DATA!H41,20,ROUND((RAW_DATA!K41/RAW_DATA!H41)*20,0))</f>
        <v>20</v>
      </c>
      <c r="Q41" s="3">
        <f>IF(RAW_DATA!L41="No",5,0)</f>
        <v>5</v>
      </c>
      <c r="R41" s="3">
        <f t="shared" si="3"/>
        <v>87</v>
      </c>
      <c r="S41" s="3">
        <f t="shared" si="4"/>
        <v>87</v>
      </c>
      <c r="T41" s="3" t="str">
        <f t="shared" si="5"/>
        <v>Strong</v>
      </c>
    </row>
    <row r="42" spans="1:20" x14ac:dyDescent="0.25">
      <c r="A42" s="3" t="str">
        <f>RAW_DATA!A42</f>
        <v>APP041</v>
      </c>
      <c r="B42" s="3" t="b">
        <f>AND(RAW_DATA!B42&gt;=21,RAW_DATA!B42&lt;=60)</f>
        <v>1</v>
      </c>
      <c r="C42" s="3" t="b">
        <f>RAW_DATA!C42&gt;=300000</f>
        <v>0</v>
      </c>
      <c r="D42" s="3" t="b">
        <f>RAW_DATA!F42&gt;=650</f>
        <v>0</v>
      </c>
      <c r="E42" s="3" t="b">
        <f>RAW_DATA!E42&gt;=1</f>
        <v>1</v>
      </c>
      <c r="F42" s="3" t="b">
        <f>RAW_DATA!L42="No"</f>
        <v>1</v>
      </c>
      <c r="G42" s="3" t="b">
        <f t="shared" si="0"/>
        <v>0</v>
      </c>
      <c r="H42" s="3" t="str">
        <f t="shared" si="1"/>
        <v>INELIGIBLE</v>
      </c>
      <c r="I42" s="3" t="str">
        <f t="shared" si="2"/>
        <v>Income, Credit Score</v>
      </c>
      <c r="K42" s="3" cm="1">
        <f t="array" ref="K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" s="5">
        <f>IF(RAW_DATA!C42&lt;300000,0,IF(RAW_DATA!C42&lt;600000,5,IF(RAW_DATA!C42&lt;1200000,15,IF(RAW_DATA!C42&lt;2000000,20,25))))</f>
        <v>0</v>
      </c>
      <c r="M42" s="3">
        <f>IF(RAW_DATA!E42&lt;1,0,IF(RAW_DATA!E42&lt;3,3,IF(RAW_DATA!E42&lt;5,5,IF(RAW_DATA!E42&lt;10,8,10))))</f>
        <v>10</v>
      </c>
      <c r="N42" s="3">
        <f>IF(RAW_DATA!F42&lt;650,0,IF(RAW_DATA!F42&lt;700,8,IF(RAW_DATA!F42&lt;750,15,IF(RAW_DATA!F42&lt;800,20,25))))</f>
        <v>0</v>
      </c>
      <c r="O42" s="3">
        <f>IF(RAW_DATA!G42=0,5,IF(RAW_DATA!G42=1,4,IF(RAW_DATA!G42=2,3,IF(RAW_DATA!G42=3,2,IF(RAW_DATA!G42=4,1,0)))))</f>
        <v>1</v>
      </c>
      <c r="P42" s="3">
        <f>IF(RAW_DATA!K42&gt;=RAW_DATA!H42,20,ROUND((RAW_DATA!K42/RAW_DATA!H42)*20,0))</f>
        <v>4</v>
      </c>
      <c r="Q42" s="3">
        <f>IF(RAW_DATA!L42="No",5,0)</f>
        <v>5</v>
      </c>
      <c r="R42" s="3">
        <f t="shared" si="3"/>
        <v>27</v>
      </c>
      <c r="S42" s="3">
        <f t="shared" si="4"/>
        <v>27</v>
      </c>
      <c r="T42" s="3" t="str">
        <f t="shared" si="5"/>
        <v>Not Scored - Ineligible</v>
      </c>
    </row>
    <row r="43" spans="1:20" x14ac:dyDescent="0.25">
      <c r="A43" s="3" t="str">
        <f>RAW_DATA!A43</f>
        <v>APP042</v>
      </c>
      <c r="B43" s="3" t="b">
        <f>AND(RAW_DATA!B43&gt;=21,RAW_DATA!B43&lt;=60)</f>
        <v>1</v>
      </c>
      <c r="C43" s="3" t="b">
        <f>RAW_DATA!C43&gt;=300000</f>
        <v>1</v>
      </c>
      <c r="D43" s="3" t="b">
        <f>RAW_DATA!F43&gt;=650</f>
        <v>0</v>
      </c>
      <c r="E43" s="3" t="b">
        <f>RAW_DATA!E43&gt;=1</f>
        <v>1</v>
      </c>
      <c r="F43" s="3" t="b">
        <f>RAW_DATA!L43="No"</f>
        <v>1</v>
      </c>
      <c r="G43" s="3" t="b">
        <f t="shared" si="0"/>
        <v>0</v>
      </c>
      <c r="H43" s="3" t="str">
        <f t="shared" si="1"/>
        <v>INELIGIBLE</v>
      </c>
      <c r="I43" s="3" t="str">
        <f t="shared" si="2"/>
        <v>Credit Score</v>
      </c>
      <c r="K43" s="3" cm="1">
        <f t="array" ref="K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" s="5">
        <f>IF(RAW_DATA!C43&lt;300000,0,IF(RAW_DATA!C43&lt;600000,5,IF(RAW_DATA!C43&lt;1200000,15,IF(RAW_DATA!C43&lt;2000000,20,25))))</f>
        <v>20</v>
      </c>
      <c r="M43" s="3">
        <f>IF(RAW_DATA!E43&lt;1,0,IF(RAW_DATA!E43&lt;3,3,IF(RAW_DATA!E43&lt;5,5,IF(RAW_DATA!E43&lt;10,8,10))))</f>
        <v>10</v>
      </c>
      <c r="N43" s="3">
        <f>IF(RAW_DATA!F43&lt;650,0,IF(RAW_DATA!F43&lt;700,8,IF(RAW_DATA!F43&lt;750,15,IF(RAW_DATA!F43&lt;800,20,25))))</f>
        <v>0</v>
      </c>
      <c r="O43" s="3">
        <f>IF(RAW_DATA!G43=0,5,IF(RAW_DATA!G43=1,4,IF(RAW_DATA!G43=2,3,IF(RAW_DATA!G43=3,2,IF(RAW_DATA!G43=4,1,0)))))</f>
        <v>1</v>
      </c>
      <c r="P43" s="3">
        <f>IF(RAW_DATA!K43&gt;=RAW_DATA!H43,20,ROUND((RAW_DATA!K43/RAW_DATA!H43)*20,0))</f>
        <v>3</v>
      </c>
      <c r="Q43" s="3">
        <f>IF(RAW_DATA!L43="No",5,0)</f>
        <v>5</v>
      </c>
      <c r="R43" s="3">
        <f t="shared" si="3"/>
        <v>43</v>
      </c>
      <c r="S43" s="3">
        <f t="shared" si="4"/>
        <v>43</v>
      </c>
      <c r="T43" s="3" t="str">
        <f t="shared" si="5"/>
        <v>Not Scored - Ineligible</v>
      </c>
    </row>
    <row r="44" spans="1:20" x14ac:dyDescent="0.25">
      <c r="A44" s="3" t="str">
        <f>RAW_DATA!A44</f>
        <v>APP043</v>
      </c>
      <c r="B44" s="3" t="b">
        <f>AND(RAW_DATA!B44&gt;=21,RAW_DATA!B44&lt;=60)</f>
        <v>1</v>
      </c>
      <c r="C44" s="3" t="b">
        <f>RAW_DATA!C44&gt;=300000</f>
        <v>1</v>
      </c>
      <c r="D44" s="3" t="b">
        <f>RAW_DATA!F44&gt;=650</f>
        <v>1</v>
      </c>
      <c r="E44" s="3" t="b">
        <f>RAW_DATA!E44&gt;=1</f>
        <v>1</v>
      </c>
      <c r="F44" s="3" t="b">
        <f>RAW_DATA!L44="No"</f>
        <v>1</v>
      </c>
      <c r="G44" s="3" t="b">
        <f t="shared" si="0"/>
        <v>1</v>
      </c>
      <c r="H44" s="3" t="str">
        <f t="shared" si="1"/>
        <v>ELIGIBLE</v>
      </c>
      <c r="I44" s="3" t="str">
        <f t="shared" si="2"/>
        <v/>
      </c>
      <c r="K44" s="3" cm="1">
        <f t="array" ref="K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" s="5">
        <f>IF(RAW_DATA!C44&lt;300000,0,IF(RAW_DATA!C44&lt;600000,5,IF(RAW_DATA!C44&lt;1200000,15,IF(RAW_DATA!C44&lt;2000000,20,25))))</f>
        <v>15</v>
      </c>
      <c r="M44" s="3">
        <f>IF(RAW_DATA!E44&lt;1,0,IF(RAW_DATA!E44&lt;3,3,IF(RAW_DATA!E44&lt;5,5,IF(RAW_DATA!E44&lt;10,8,10))))</f>
        <v>10</v>
      </c>
      <c r="N44" s="3">
        <f>IF(RAW_DATA!F44&lt;650,0,IF(RAW_DATA!F44&lt;700,8,IF(RAW_DATA!F44&lt;750,15,IF(RAW_DATA!F44&lt;800,20,25))))</f>
        <v>15</v>
      </c>
      <c r="O44" s="3">
        <f>IF(RAW_DATA!G44=0,5,IF(RAW_DATA!G44=1,4,IF(RAW_DATA!G44=2,3,IF(RAW_DATA!G44=3,2,IF(RAW_DATA!G44=4,1,0)))))</f>
        <v>0</v>
      </c>
      <c r="P44" s="3">
        <f>IF(RAW_DATA!K44&gt;=RAW_DATA!H44,20,ROUND((RAW_DATA!K44/RAW_DATA!H44)*20,0))</f>
        <v>20</v>
      </c>
      <c r="Q44" s="3">
        <f>IF(RAW_DATA!L44="No",5,0)</f>
        <v>5</v>
      </c>
      <c r="R44" s="3">
        <f t="shared" si="3"/>
        <v>72</v>
      </c>
      <c r="S44" s="3">
        <f t="shared" si="4"/>
        <v>72</v>
      </c>
      <c r="T44" s="3" t="str">
        <f t="shared" si="5"/>
        <v>Strong</v>
      </c>
    </row>
    <row r="45" spans="1:20" x14ac:dyDescent="0.25">
      <c r="A45" s="3" t="str">
        <f>RAW_DATA!A45</f>
        <v>APP044</v>
      </c>
      <c r="B45" s="3" t="b">
        <f>AND(RAW_DATA!B45&gt;=21,RAW_DATA!B45&lt;=60)</f>
        <v>1</v>
      </c>
      <c r="C45" s="3" t="b">
        <f>RAW_DATA!C45&gt;=300000</f>
        <v>1</v>
      </c>
      <c r="D45" s="3" t="b">
        <f>RAW_DATA!F45&gt;=650</f>
        <v>0</v>
      </c>
      <c r="E45" s="3" t="b">
        <f>RAW_DATA!E45&gt;=1</f>
        <v>1</v>
      </c>
      <c r="F45" s="3" t="b">
        <f>RAW_DATA!L45="No"</f>
        <v>1</v>
      </c>
      <c r="G45" s="3" t="b">
        <f t="shared" si="0"/>
        <v>0</v>
      </c>
      <c r="H45" s="3" t="str">
        <f t="shared" si="1"/>
        <v>INELIGIBLE</v>
      </c>
      <c r="I45" s="3" t="str">
        <f t="shared" si="2"/>
        <v>Credit Score</v>
      </c>
      <c r="K45" s="3" cm="1">
        <f t="array" ref="K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" s="5">
        <f>IF(RAW_DATA!C45&lt;300000,0,IF(RAW_DATA!C45&lt;600000,5,IF(RAW_DATA!C45&lt;1200000,15,IF(RAW_DATA!C45&lt;2000000,20,25))))</f>
        <v>25</v>
      </c>
      <c r="M45" s="3">
        <f>IF(RAW_DATA!E45&lt;1,0,IF(RAW_DATA!E45&lt;3,3,IF(RAW_DATA!E45&lt;5,5,IF(RAW_DATA!E45&lt;10,8,10))))</f>
        <v>10</v>
      </c>
      <c r="N45" s="3">
        <f>IF(RAW_DATA!F45&lt;650,0,IF(RAW_DATA!F45&lt;700,8,IF(RAW_DATA!F45&lt;750,15,IF(RAW_DATA!F45&lt;800,20,25))))</f>
        <v>0</v>
      </c>
      <c r="O45" s="3">
        <f>IF(RAW_DATA!G45=0,5,IF(RAW_DATA!G45=1,4,IF(RAW_DATA!G45=2,3,IF(RAW_DATA!G45=3,2,IF(RAW_DATA!G45=4,1,0)))))</f>
        <v>2</v>
      </c>
      <c r="P45" s="3">
        <f>IF(RAW_DATA!K45&gt;=RAW_DATA!H45,20,ROUND((RAW_DATA!K45/RAW_DATA!H45)*20,0))</f>
        <v>20</v>
      </c>
      <c r="Q45" s="3">
        <f>IF(RAW_DATA!L45="No",5,0)</f>
        <v>5</v>
      </c>
      <c r="R45" s="3">
        <f t="shared" si="3"/>
        <v>69</v>
      </c>
      <c r="S45" s="3">
        <f t="shared" si="4"/>
        <v>69</v>
      </c>
      <c r="T45" s="3" t="str">
        <f t="shared" si="5"/>
        <v>Not Scored - Ineligible</v>
      </c>
    </row>
    <row r="46" spans="1:20" x14ac:dyDescent="0.25">
      <c r="A46" s="3" t="str">
        <f>RAW_DATA!A46</f>
        <v>APP045</v>
      </c>
      <c r="B46" s="3" t="b">
        <f>AND(RAW_DATA!B46&gt;=21,RAW_DATA!B46&lt;=60)</f>
        <v>1</v>
      </c>
      <c r="C46" s="3" t="b">
        <f>RAW_DATA!C46&gt;=300000</f>
        <v>1</v>
      </c>
      <c r="D46" s="3" t="b">
        <f>RAW_DATA!F46&gt;=650</f>
        <v>0</v>
      </c>
      <c r="E46" s="3" t="b">
        <f>RAW_DATA!E46&gt;=1</f>
        <v>1</v>
      </c>
      <c r="F46" s="3" t="b">
        <f>RAW_DATA!L46="No"</f>
        <v>0</v>
      </c>
      <c r="G46" s="3" t="b">
        <f t="shared" si="0"/>
        <v>0</v>
      </c>
      <c r="H46" s="3" t="str">
        <f t="shared" si="1"/>
        <v>INELIGIBLE</v>
      </c>
      <c r="I46" s="3" t="str">
        <f t="shared" si="2"/>
        <v>Credit Score, Defaulter History</v>
      </c>
      <c r="K46" s="3" cm="1">
        <f t="array" ref="K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" s="5">
        <f>IF(RAW_DATA!C46&lt;300000,0,IF(RAW_DATA!C46&lt;600000,5,IF(RAW_DATA!C46&lt;1200000,15,IF(RAW_DATA!C46&lt;2000000,20,25))))</f>
        <v>25</v>
      </c>
      <c r="M46" s="3">
        <f>IF(RAW_DATA!E46&lt;1,0,IF(RAW_DATA!E46&lt;3,3,IF(RAW_DATA!E46&lt;5,5,IF(RAW_DATA!E46&lt;10,8,10))))</f>
        <v>10</v>
      </c>
      <c r="N46" s="3">
        <f>IF(RAW_DATA!F46&lt;650,0,IF(RAW_DATA!F46&lt;700,8,IF(RAW_DATA!F46&lt;750,15,IF(RAW_DATA!F46&lt;800,20,25))))</f>
        <v>0</v>
      </c>
      <c r="O46" s="3">
        <f>IF(RAW_DATA!G46=0,5,IF(RAW_DATA!G46=1,4,IF(RAW_DATA!G46=2,3,IF(RAW_DATA!G46=3,2,IF(RAW_DATA!G46=4,1,0)))))</f>
        <v>3</v>
      </c>
      <c r="P46" s="3">
        <f>IF(RAW_DATA!K46&gt;=RAW_DATA!H46,20,ROUND((RAW_DATA!K46/RAW_DATA!H46)*20,0))</f>
        <v>20</v>
      </c>
      <c r="Q46" s="3">
        <f>IF(RAW_DATA!L46="No",5,0)</f>
        <v>0</v>
      </c>
      <c r="R46" s="3">
        <f t="shared" si="3"/>
        <v>66</v>
      </c>
      <c r="S46" s="3">
        <f t="shared" si="4"/>
        <v>66</v>
      </c>
      <c r="T46" s="3" t="str">
        <f t="shared" si="5"/>
        <v>Not Scored - Ineligible</v>
      </c>
    </row>
    <row r="47" spans="1:20" x14ac:dyDescent="0.25">
      <c r="A47" s="3" t="str">
        <f>RAW_DATA!A47</f>
        <v>APP046</v>
      </c>
      <c r="B47" s="3" t="b">
        <f>AND(RAW_DATA!B47&gt;=21,RAW_DATA!B47&lt;=60)</f>
        <v>1</v>
      </c>
      <c r="C47" s="3" t="b">
        <f>RAW_DATA!C47&gt;=300000</f>
        <v>1</v>
      </c>
      <c r="D47" s="3" t="b">
        <f>RAW_DATA!F47&gt;=650</f>
        <v>0</v>
      </c>
      <c r="E47" s="3" t="b">
        <f>RAW_DATA!E47&gt;=1</f>
        <v>1</v>
      </c>
      <c r="F47" s="3" t="b">
        <f>RAW_DATA!L47="No"</f>
        <v>0</v>
      </c>
      <c r="G47" s="3" t="b">
        <f t="shared" si="0"/>
        <v>0</v>
      </c>
      <c r="H47" s="3" t="str">
        <f t="shared" si="1"/>
        <v>INELIGIBLE</v>
      </c>
      <c r="I47" s="3" t="str">
        <f t="shared" si="2"/>
        <v>Credit Score, Defaulter History</v>
      </c>
      <c r="K47" s="3" cm="1">
        <f t="array" ref="K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" s="5">
        <f>IF(RAW_DATA!C47&lt;300000,0,IF(RAW_DATA!C47&lt;600000,5,IF(RAW_DATA!C47&lt;1200000,15,IF(RAW_DATA!C47&lt;2000000,20,25))))</f>
        <v>20</v>
      </c>
      <c r="M47" s="3">
        <f>IF(RAW_DATA!E47&lt;1,0,IF(RAW_DATA!E47&lt;3,3,IF(RAW_DATA!E47&lt;5,5,IF(RAW_DATA!E47&lt;10,8,10))))</f>
        <v>10</v>
      </c>
      <c r="N47" s="3">
        <f>IF(RAW_DATA!F47&lt;650,0,IF(RAW_DATA!F47&lt;700,8,IF(RAW_DATA!F47&lt;750,15,IF(RAW_DATA!F47&lt;800,20,25))))</f>
        <v>0</v>
      </c>
      <c r="O47" s="3">
        <f>IF(RAW_DATA!G47=0,5,IF(RAW_DATA!G47=1,4,IF(RAW_DATA!G47=2,3,IF(RAW_DATA!G47=3,2,IF(RAW_DATA!G47=4,1,0)))))</f>
        <v>2</v>
      </c>
      <c r="P47" s="3">
        <f>IF(RAW_DATA!K47&gt;=RAW_DATA!H47,20,ROUND((RAW_DATA!K47/RAW_DATA!H47)*20,0))</f>
        <v>17</v>
      </c>
      <c r="Q47" s="3">
        <f>IF(RAW_DATA!L47="No",5,0)</f>
        <v>0</v>
      </c>
      <c r="R47" s="3">
        <f t="shared" si="3"/>
        <v>57</v>
      </c>
      <c r="S47" s="3">
        <f t="shared" si="4"/>
        <v>57</v>
      </c>
      <c r="T47" s="3" t="str">
        <f t="shared" si="5"/>
        <v>Not Scored - Ineligible</v>
      </c>
    </row>
    <row r="48" spans="1:20" x14ac:dyDescent="0.25">
      <c r="A48" s="3" t="str">
        <f>RAW_DATA!A48</f>
        <v>APP047</v>
      </c>
      <c r="B48" s="3" t="b">
        <f>AND(RAW_DATA!B48&gt;=21,RAW_DATA!B48&lt;=60)</f>
        <v>1</v>
      </c>
      <c r="C48" s="3" t="b">
        <f>RAW_DATA!C48&gt;=300000</f>
        <v>1</v>
      </c>
      <c r="D48" s="3" t="b">
        <f>RAW_DATA!F48&gt;=650</f>
        <v>1</v>
      </c>
      <c r="E48" s="3" t="b">
        <f>RAW_DATA!E48&gt;=1</f>
        <v>1</v>
      </c>
      <c r="F48" s="3" t="b">
        <f>RAW_DATA!L48="No"</f>
        <v>1</v>
      </c>
      <c r="G48" s="3" t="b">
        <f t="shared" si="0"/>
        <v>1</v>
      </c>
      <c r="H48" s="3" t="str">
        <f t="shared" si="1"/>
        <v>ELIGIBLE</v>
      </c>
      <c r="I48" s="3" t="str">
        <f t="shared" si="2"/>
        <v/>
      </c>
      <c r="K48" s="3" cm="1">
        <f t="array" ref="K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" s="5">
        <f>IF(RAW_DATA!C48&lt;300000,0,IF(RAW_DATA!C48&lt;600000,5,IF(RAW_DATA!C48&lt;1200000,15,IF(RAW_DATA!C48&lt;2000000,20,25))))</f>
        <v>20</v>
      </c>
      <c r="M48" s="3">
        <f>IF(RAW_DATA!E48&lt;1,0,IF(RAW_DATA!E48&lt;3,3,IF(RAW_DATA!E48&lt;5,5,IF(RAW_DATA!E48&lt;10,8,10))))</f>
        <v>10</v>
      </c>
      <c r="N48" s="3">
        <f>IF(RAW_DATA!F48&lt;650,0,IF(RAW_DATA!F48&lt;700,8,IF(RAW_DATA!F48&lt;750,15,IF(RAW_DATA!F48&lt;800,20,25))))</f>
        <v>25</v>
      </c>
      <c r="O48" s="3">
        <f>IF(RAW_DATA!G48=0,5,IF(RAW_DATA!G48=1,4,IF(RAW_DATA!G48=2,3,IF(RAW_DATA!G48=3,2,IF(RAW_DATA!G48=4,1,0)))))</f>
        <v>3</v>
      </c>
      <c r="P48" s="3">
        <f>IF(RAW_DATA!K48&gt;=RAW_DATA!H48,20,ROUND((RAW_DATA!K48/RAW_DATA!H48)*20,0))</f>
        <v>20</v>
      </c>
      <c r="Q48" s="3">
        <f>IF(RAW_DATA!L48="No",5,0)</f>
        <v>5</v>
      </c>
      <c r="R48" s="3">
        <f t="shared" si="3"/>
        <v>87</v>
      </c>
      <c r="S48" s="3">
        <f t="shared" si="4"/>
        <v>87</v>
      </c>
      <c r="T48" s="3" t="str">
        <f t="shared" si="5"/>
        <v>Strong</v>
      </c>
    </row>
    <row r="49" spans="1:20" x14ac:dyDescent="0.25">
      <c r="A49" s="3" t="str">
        <f>RAW_DATA!A49</f>
        <v>APP048</v>
      </c>
      <c r="B49" s="3" t="b">
        <f>AND(RAW_DATA!B49&gt;=21,RAW_DATA!B49&lt;=60)</f>
        <v>1</v>
      </c>
      <c r="C49" s="3" t="b">
        <f>RAW_DATA!C49&gt;=300000</f>
        <v>1</v>
      </c>
      <c r="D49" s="3" t="b">
        <f>RAW_DATA!F49&gt;=650</f>
        <v>0</v>
      </c>
      <c r="E49" s="3" t="b">
        <f>RAW_DATA!E49&gt;=1</f>
        <v>1</v>
      </c>
      <c r="F49" s="3" t="b">
        <f>RAW_DATA!L49="No"</f>
        <v>1</v>
      </c>
      <c r="G49" s="3" t="b">
        <f t="shared" si="0"/>
        <v>0</v>
      </c>
      <c r="H49" s="3" t="str">
        <f t="shared" si="1"/>
        <v>INELIGIBLE</v>
      </c>
      <c r="I49" s="3" t="str">
        <f t="shared" si="2"/>
        <v>Credit Score</v>
      </c>
      <c r="K49" s="3" cm="1">
        <f t="array" ref="K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" s="5">
        <f>IF(RAW_DATA!C49&lt;300000,0,IF(RAW_DATA!C49&lt;600000,5,IF(RAW_DATA!C49&lt;1200000,15,IF(RAW_DATA!C49&lt;2000000,20,25))))</f>
        <v>15</v>
      </c>
      <c r="M49" s="3">
        <f>IF(RAW_DATA!E49&lt;1,0,IF(RAW_DATA!E49&lt;3,3,IF(RAW_DATA!E49&lt;5,5,IF(RAW_DATA!E49&lt;10,8,10))))</f>
        <v>10</v>
      </c>
      <c r="N49" s="3">
        <f>IF(RAW_DATA!F49&lt;650,0,IF(RAW_DATA!F49&lt;700,8,IF(RAW_DATA!F49&lt;750,15,IF(RAW_DATA!F49&lt;800,20,25))))</f>
        <v>0</v>
      </c>
      <c r="O49" s="3">
        <f>IF(RAW_DATA!G49=0,5,IF(RAW_DATA!G49=1,4,IF(RAW_DATA!G49=2,3,IF(RAW_DATA!G49=3,2,IF(RAW_DATA!G49=4,1,0)))))</f>
        <v>3</v>
      </c>
      <c r="P49" s="3">
        <f>IF(RAW_DATA!K49&gt;=RAW_DATA!H49,20,ROUND((RAW_DATA!K49/RAW_DATA!H49)*20,0))</f>
        <v>15</v>
      </c>
      <c r="Q49" s="3">
        <f>IF(RAW_DATA!L49="No",5,0)</f>
        <v>5</v>
      </c>
      <c r="R49" s="3">
        <f t="shared" si="3"/>
        <v>55</v>
      </c>
      <c r="S49" s="3">
        <f t="shared" si="4"/>
        <v>55</v>
      </c>
      <c r="T49" s="3" t="str">
        <f t="shared" si="5"/>
        <v>Not Scored - Ineligible</v>
      </c>
    </row>
    <row r="50" spans="1:20" x14ac:dyDescent="0.25">
      <c r="A50" s="3" t="str">
        <f>RAW_DATA!A50</f>
        <v>APP049</v>
      </c>
      <c r="B50" s="3" t="b">
        <f>AND(RAW_DATA!B50&gt;=21,RAW_DATA!B50&lt;=60)</f>
        <v>1</v>
      </c>
      <c r="C50" s="3" t="b">
        <f>RAW_DATA!C50&gt;=300000</f>
        <v>1</v>
      </c>
      <c r="D50" s="3" t="b">
        <f>RAW_DATA!F50&gt;=650</f>
        <v>1</v>
      </c>
      <c r="E50" s="3" t="b">
        <f>RAW_DATA!E50&gt;=1</f>
        <v>1</v>
      </c>
      <c r="F50" s="3" t="b">
        <f>RAW_DATA!L50="No"</f>
        <v>1</v>
      </c>
      <c r="G50" s="3" t="b">
        <f t="shared" si="0"/>
        <v>1</v>
      </c>
      <c r="H50" s="3" t="str">
        <f t="shared" si="1"/>
        <v>ELIGIBLE</v>
      </c>
      <c r="I50" s="3" t="str">
        <f t="shared" si="2"/>
        <v/>
      </c>
      <c r="K50" s="3" cm="1">
        <f t="array" ref="K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0" s="5">
        <f>IF(RAW_DATA!C50&lt;300000,0,IF(RAW_DATA!C50&lt;600000,5,IF(RAW_DATA!C50&lt;1200000,15,IF(RAW_DATA!C50&lt;2000000,20,25))))</f>
        <v>20</v>
      </c>
      <c r="M50" s="3">
        <f>IF(RAW_DATA!E50&lt;1,0,IF(RAW_DATA!E50&lt;3,3,IF(RAW_DATA!E50&lt;5,5,IF(RAW_DATA!E50&lt;10,8,10))))</f>
        <v>10</v>
      </c>
      <c r="N50" s="3">
        <f>IF(RAW_DATA!F50&lt;650,0,IF(RAW_DATA!F50&lt;700,8,IF(RAW_DATA!F50&lt;750,15,IF(RAW_DATA!F50&lt;800,20,25))))</f>
        <v>25</v>
      </c>
      <c r="O50" s="3">
        <f>IF(RAW_DATA!G50=0,5,IF(RAW_DATA!G50=1,4,IF(RAW_DATA!G50=2,3,IF(RAW_DATA!G50=3,2,IF(RAW_DATA!G50=4,1,0)))))</f>
        <v>0</v>
      </c>
      <c r="P50" s="3">
        <f>IF(RAW_DATA!K50&gt;=RAW_DATA!H50,20,ROUND((RAW_DATA!K50/RAW_DATA!H50)*20,0))</f>
        <v>20</v>
      </c>
      <c r="Q50" s="3">
        <f>IF(RAW_DATA!L50="No",5,0)</f>
        <v>5</v>
      </c>
      <c r="R50" s="3">
        <f t="shared" si="3"/>
        <v>88</v>
      </c>
      <c r="S50" s="3">
        <f t="shared" si="4"/>
        <v>88</v>
      </c>
      <c r="T50" s="3" t="str">
        <f t="shared" si="5"/>
        <v>Strong</v>
      </c>
    </row>
    <row r="51" spans="1:20" x14ac:dyDescent="0.25">
      <c r="A51" s="3" t="str">
        <f>RAW_DATA!A51</f>
        <v>APP050</v>
      </c>
      <c r="B51" s="3" t="b">
        <f>AND(RAW_DATA!B51&gt;=21,RAW_DATA!B51&lt;=60)</f>
        <v>0</v>
      </c>
      <c r="C51" s="3" t="b">
        <f>RAW_DATA!C51&gt;=300000</f>
        <v>1</v>
      </c>
      <c r="D51" s="3" t="b">
        <f>RAW_DATA!F51&gt;=650</f>
        <v>0</v>
      </c>
      <c r="E51" s="3" t="b">
        <f>RAW_DATA!E51&gt;=1</f>
        <v>1</v>
      </c>
      <c r="F51" s="3" t="b">
        <f>RAW_DATA!L51="No"</f>
        <v>1</v>
      </c>
      <c r="G51" s="3" t="b">
        <f t="shared" si="0"/>
        <v>0</v>
      </c>
      <c r="H51" s="3" t="str">
        <f t="shared" si="1"/>
        <v>INELIGIBLE</v>
      </c>
      <c r="I51" s="3" t="str">
        <f t="shared" si="2"/>
        <v>Age, Credit Score</v>
      </c>
      <c r="K51" s="3" cm="1">
        <f t="array" ref="K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51" s="5">
        <f>IF(RAW_DATA!C51&lt;300000,0,IF(RAW_DATA!C51&lt;600000,5,IF(RAW_DATA!C51&lt;1200000,15,IF(RAW_DATA!C51&lt;2000000,20,25))))</f>
        <v>20</v>
      </c>
      <c r="M51" s="3">
        <f>IF(RAW_DATA!E51&lt;1,0,IF(RAW_DATA!E51&lt;3,3,IF(RAW_DATA!E51&lt;5,5,IF(RAW_DATA!E51&lt;10,8,10))))</f>
        <v>10</v>
      </c>
      <c r="N51" s="3">
        <f>IF(RAW_DATA!F51&lt;650,0,IF(RAW_DATA!F51&lt;700,8,IF(RAW_DATA!F51&lt;750,15,IF(RAW_DATA!F51&lt;800,20,25))))</f>
        <v>0</v>
      </c>
      <c r="O51" s="3">
        <f>IF(RAW_DATA!G51=0,5,IF(RAW_DATA!G51=1,4,IF(RAW_DATA!G51=2,3,IF(RAW_DATA!G51=3,2,IF(RAW_DATA!G51=4,1,0)))))</f>
        <v>0</v>
      </c>
      <c r="P51" s="3">
        <f>IF(RAW_DATA!K51&gt;=RAW_DATA!H51,20,ROUND((RAW_DATA!K51/RAW_DATA!H51)*20,0))</f>
        <v>20</v>
      </c>
      <c r="Q51" s="3">
        <f>IF(RAW_DATA!L51="No",5,0)</f>
        <v>5</v>
      </c>
      <c r="R51" s="3">
        <f t="shared" si="3"/>
        <v>55</v>
      </c>
      <c r="S51" s="3">
        <f t="shared" si="4"/>
        <v>55</v>
      </c>
      <c r="T51" s="3" t="str">
        <f t="shared" si="5"/>
        <v>Not Scored - Ineligible</v>
      </c>
    </row>
    <row r="52" spans="1:20" x14ac:dyDescent="0.25">
      <c r="A52" s="3" t="str">
        <f>RAW_DATA!A52</f>
        <v>APP051</v>
      </c>
      <c r="B52" s="3" t="b">
        <f>AND(RAW_DATA!B52&gt;=21,RAW_DATA!B52&lt;=60)</f>
        <v>1</v>
      </c>
      <c r="C52" s="3" t="b">
        <f>RAW_DATA!C52&gt;=300000</f>
        <v>1</v>
      </c>
      <c r="D52" s="3" t="b">
        <f>RAW_DATA!F52&gt;=650</f>
        <v>1</v>
      </c>
      <c r="E52" s="3" t="b">
        <f>RAW_DATA!E52&gt;=1</f>
        <v>1</v>
      </c>
      <c r="F52" s="3" t="b">
        <f>RAW_DATA!L52="No"</f>
        <v>1</v>
      </c>
      <c r="G52" s="3" t="b">
        <f t="shared" si="0"/>
        <v>1</v>
      </c>
      <c r="H52" s="3" t="str">
        <f t="shared" si="1"/>
        <v>ELIGIBLE</v>
      </c>
      <c r="I52" s="3" t="str">
        <f t="shared" si="2"/>
        <v/>
      </c>
      <c r="K52" s="3" cm="1">
        <f t="array" ref="K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52" s="5">
        <f>IF(RAW_DATA!C52&lt;300000,0,IF(RAW_DATA!C52&lt;600000,5,IF(RAW_DATA!C52&lt;1200000,15,IF(RAW_DATA!C52&lt;2000000,20,25))))</f>
        <v>15</v>
      </c>
      <c r="M52" s="3">
        <f>IF(RAW_DATA!E52&lt;1,0,IF(RAW_DATA!E52&lt;3,3,IF(RAW_DATA!E52&lt;5,5,IF(RAW_DATA!E52&lt;10,8,10))))</f>
        <v>10</v>
      </c>
      <c r="N52" s="3">
        <f>IF(RAW_DATA!F52&lt;650,0,IF(RAW_DATA!F52&lt;700,8,IF(RAW_DATA!F52&lt;750,15,IF(RAW_DATA!F52&lt;800,20,25))))</f>
        <v>25</v>
      </c>
      <c r="O52" s="3">
        <f>IF(RAW_DATA!G52=0,5,IF(RAW_DATA!G52=1,4,IF(RAW_DATA!G52=2,3,IF(RAW_DATA!G52=3,2,IF(RAW_DATA!G52=4,1,0)))))</f>
        <v>5</v>
      </c>
      <c r="P52" s="3">
        <f>IF(RAW_DATA!K52&gt;=RAW_DATA!H52,20,ROUND((RAW_DATA!K52/RAW_DATA!H52)*20,0))</f>
        <v>18</v>
      </c>
      <c r="Q52" s="3">
        <f>IF(RAW_DATA!L52="No",5,0)</f>
        <v>5</v>
      </c>
      <c r="R52" s="3">
        <f t="shared" si="3"/>
        <v>85</v>
      </c>
      <c r="S52" s="3">
        <f t="shared" si="4"/>
        <v>85</v>
      </c>
      <c r="T52" s="3" t="str">
        <f t="shared" si="5"/>
        <v>Strong</v>
      </c>
    </row>
    <row r="53" spans="1:20" x14ac:dyDescent="0.25">
      <c r="A53" s="3" t="str">
        <f>RAW_DATA!A53</f>
        <v>APP052</v>
      </c>
      <c r="B53" s="3" t="b">
        <f>AND(RAW_DATA!B53&gt;=21,RAW_DATA!B53&lt;=60)</f>
        <v>1</v>
      </c>
      <c r="C53" s="3" t="b">
        <f>RAW_DATA!C53&gt;=300000</f>
        <v>1</v>
      </c>
      <c r="D53" s="3" t="b">
        <f>RAW_DATA!F53&gt;=650</f>
        <v>0</v>
      </c>
      <c r="E53" s="3" t="b">
        <f>RAW_DATA!E53&gt;=1</f>
        <v>1</v>
      </c>
      <c r="F53" s="3" t="b">
        <f>RAW_DATA!L53="No"</f>
        <v>1</v>
      </c>
      <c r="G53" s="3" t="b">
        <f t="shared" si="0"/>
        <v>0</v>
      </c>
      <c r="H53" s="3" t="str">
        <f t="shared" si="1"/>
        <v>INELIGIBLE</v>
      </c>
      <c r="I53" s="3" t="str">
        <f t="shared" si="2"/>
        <v>Credit Score</v>
      </c>
      <c r="K53" s="3" cm="1">
        <f t="array" ref="K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3" s="5">
        <f>IF(RAW_DATA!C53&lt;300000,0,IF(RAW_DATA!C53&lt;600000,5,IF(RAW_DATA!C53&lt;1200000,15,IF(RAW_DATA!C53&lt;2000000,20,25))))</f>
        <v>15</v>
      </c>
      <c r="M53" s="3">
        <f>IF(RAW_DATA!E53&lt;1,0,IF(RAW_DATA!E53&lt;3,3,IF(RAW_DATA!E53&lt;5,5,IF(RAW_DATA!E53&lt;10,8,10))))</f>
        <v>5</v>
      </c>
      <c r="N53" s="3">
        <f>IF(RAW_DATA!F53&lt;650,0,IF(RAW_DATA!F53&lt;700,8,IF(RAW_DATA!F53&lt;750,15,IF(RAW_DATA!F53&lt;800,20,25))))</f>
        <v>0</v>
      </c>
      <c r="O53" s="3">
        <f>IF(RAW_DATA!G53=0,5,IF(RAW_DATA!G53=1,4,IF(RAW_DATA!G53=2,3,IF(RAW_DATA!G53=3,2,IF(RAW_DATA!G53=4,1,0)))))</f>
        <v>2</v>
      </c>
      <c r="P53" s="3">
        <f>IF(RAW_DATA!K53&gt;=RAW_DATA!H53,20,ROUND((RAW_DATA!K53/RAW_DATA!H53)*20,0))</f>
        <v>20</v>
      </c>
      <c r="Q53" s="3">
        <f>IF(RAW_DATA!L53="No",5,0)</f>
        <v>5</v>
      </c>
      <c r="R53" s="3">
        <f t="shared" si="3"/>
        <v>57</v>
      </c>
      <c r="S53" s="3">
        <f t="shared" si="4"/>
        <v>57</v>
      </c>
      <c r="T53" s="3" t="str">
        <f t="shared" si="5"/>
        <v>Not Scored - Ineligible</v>
      </c>
    </row>
    <row r="54" spans="1:20" x14ac:dyDescent="0.25">
      <c r="A54" s="3" t="str">
        <f>RAW_DATA!A54</f>
        <v>APP053</v>
      </c>
      <c r="B54" s="3" t="b">
        <f>AND(RAW_DATA!B54&gt;=21,RAW_DATA!B54&lt;=60)</f>
        <v>1</v>
      </c>
      <c r="C54" s="3" t="b">
        <f>RAW_DATA!C54&gt;=300000</f>
        <v>1</v>
      </c>
      <c r="D54" s="3" t="b">
        <f>RAW_DATA!F54&gt;=650</f>
        <v>0</v>
      </c>
      <c r="E54" s="3" t="b">
        <f>RAW_DATA!E54&gt;=1</f>
        <v>1</v>
      </c>
      <c r="F54" s="3" t="b">
        <f>RAW_DATA!L54="No"</f>
        <v>0</v>
      </c>
      <c r="G54" s="3" t="b">
        <f t="shared" si="0"/>
        <v>0</v>
      </c>
      <c r="H54" s="3" t="str">
        <f t="shared" si="1"/>
        <v>INELIGIBLE</v>
      </c>
      <c r="I54" s="3" t="str">
        <f t="shared" si="2"/>
        <v>Credit Score, Defaulter History</v>
      </c>
      <c r="K54" s="3" cm="1">
        <f t="array" ref="K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4" s="5">
        <f>IF(RAW_DATA!C54&lt;300000,0,IF(RAW_DATA!C54&lt;600000,5,IF(RAW_DATA!C54&lt;1200000,15,IF(RAW_DATA!C54&lt;2000000,20,25))))</f>
        <v>20</v>
      </c>
      <c r="M54" s="3">
        <f>IF(RAW_DATA!E54&lt;1,0,IF(RAW_DATA!E54&lt;3,3,IF(RAW_DATA!E54&lt;5,5,IF(RAW_DATA!E54&lt;10,8,10))))</f>
        <v>10</v>
      </c>
      <c r="N54" s="3">
        <f>IF(RAW_DATA!F54&lt;650,0,IF(RAW_DATA!F54&lt;700,8,IF(RAW_DATA!F54&lt;750,15,IF(RAW_DATA!F54&lt;800,20,25))))</f>
        <v>0</v>
      </c>
      <c r="O54" s="3">
        <f>IF(RAW_DATA!G54=0,5,IF(RAW_DATA!G54=1,4,IF(RAW_DATA!G54=2,3,IF(RAW_DATA!G54=3,2,IF(RAW_DATA!G54=4,1,0)))))</f>
        <v>1</v>
      </c>
      <c r="P54" s="3">
        <f>IF(RAW_DATA!K54&gt;=RAW_DATA!H54,20,ROUND((RAW_DATA!K54/RAW_DATA!H54)*20,0))</f>
        <v>1</v>
      </c>
      <c r="Q54" s="3">
        <f>IF(RAW_DATA!L54="No",5,0)</f>
        <v>0</v>
      </c>
      <c r="R54" s="3">
        <f t="shared" si="3"/>
        <v>40</v>
      </c>
      <c r="S54" s="3">
        <f t="shared" si="4"/>
        <v>40</v>
      </c>
      <c r="T54" s="3" t="str">
        <f t="shared" si="5"/>
        <v>Not Scored - Ineligible</v>
      </c>
    </row>
    <row r="55" spans="1:20" x14ac:dyDescent="0.25">
      <c r="A55" s="3" t="str">
        <f>RAW_DATA!A55</f>
        <v>APP054</v>
      </c>
      <c r="B55" s="3" t="b">
        <f>AND(RAW_DATA!B55&gt;=21,RAW_DATA!B55&lt;=60)</f>
        <v>1</v>
      </c>
      <c r="C55" s="3" t="b">
        <f>RAW_DATA!C55&gt;=300000</f>
        <v>1</v>
      </c>
      <c r="D55" s="3" t="b">
        <f>RAW_DATA!F55&gt;=650</f>
        <v>0</v>
      </c>
      <c r="E55" s="3" t="b">
        <f>RAW_DATA!E55&gt;=1</f>
        <v>1</v>
      </c>
      <c r="F55" s="3" t="b">
        <f>RAW_DATA!L55="No"</f>
        <v>1</v>
      </c>
      <c r="G55" s="3" t="b">
        <f t="shared" si="0"/>
        <v>0</v>
      </c>
      <c r="H55" s="3" t="str">
        <f t="shared" si="1"/>
        <v>INELIGIBLE</v>
      </c>
      <c r="I55" s="3" t="str">
        <f t="shared" si="2"/>
        <v>Credit Score</v>
      </c>
      <c r="K55" s="3" cm="1">
        <f t="array" ref="K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5" s="5">
        <f>IF(RAW_DATA!C55&lt;300000,0,IF(RAW_DATA!C55&lt;600000,5,IF(RAW_DATA!C55&lt;1200000,15,IF(RAW_DATA!C55&lt;2000000,20,25))))</f>
        <v>15</v>
      </c>
      <c r="M55" s="3">
        <f>IF(RAW_DATA!E55&lt;1,0,IF(RAW_DATA!E55&lt;3,3,IF(RAW_DATA!E55&lt;5,5,IF(RAW_DATA!E55&lt;10,8,10))))</f>
        <v>10</v>
      </c>
      <c r="N55" s="3">
        <f>IF(RAW_DATA!F55&lt;650,0,IF(RAW_DATA!F55&lt;700,8,IF(RAW_DATA!F55&lt;750,15,IF(RAW_DATA!F55&lt;800,20,25))))</f>
        <v>0</v>
      </c>
      <c r="O55" s="3">
        <f>IF(RAW_DATA!G55=0,5,IF(RAW_DATA!G55=1,4,IF(RAW_DATA!G55=2,3,IF(RAW_DATA!G55=3,2,IF(RAW_DATA!G55=4,1,0)))))</f>
        <v>5</v>
      </c>
      <c r="P55" s="3">
        <f>IF(RAW_DATA!K55&gt;=RAW_DATA!H55,20,ROUND((RAW_DATA!K55/RAW_DATA!H55)*20,0))</f>
        <v>20</v>
      </c>
      <c r="Q55" s="3">
        <f>IF(RAW_DATA!L55="No",5,0)</f>
        <v>5</v>
      </c>
      <c r="R55" s="3">
        <f t="shared" si="3"/>
        <v>63</v>
      </c>
      <c r="S55" s="3">
        <f t="shared" si="4"/>
        <v>63</v>
      </c>
      <c r="T55" s="3" t="str">
        <f t="shared" si="5"/>
        <v>Not Scored - Ineligible</v>
      </c>
    </row>
    <row r="56" spans="1:20" x14ac:dyDescent="0.25">
      <c r="A56" s="3" t="str">
        <f>RAW_DATA!A56</f>
        <v>APP055</v>
      </c>
      <c r="B56" s="3" t="b">
        <f>AND(RAW_DATA!B56&gt;=21,RAW_DATA!B56&lt;=60)</f>
        <v>1</v>
      </c>
      <c r="C56" s="3" t="b">
        <f>RAW_DATA!C56&gt;=300000</f>
        <v>1</v>
      </c>
      <c r="D56" s="3" t="b">
        <f>RAW_DATA!F56&gt;=650</f>
        <v>1</v>
      </c>
      <c r="E56" s="3" t="b">
        <f>RAW_DATA!E56&gt;=1</f>
        <v>1</v>
      </c>
      <c r="F56" s="3" t="b">
        <f>RAW_DATA!L56="No"</f>
        <v>0</v>
      </c>
      <c r="G56" s="3" t="b">
        <f t="shared" si="0"/>
        <v>0</v>
      </c>
      <c r="H56" s="3" t="str">
        <f t="shared" si="1"/>
        <v>INELIGIBLE</v>
      </c>
      <c r="I56" s="3" t="str">
        <f t="shared" si="2"/>
        <v>Defaulter History</v>
      </c>
      <c r="K56" s="3" cm="1">
        <f t="array" ref="K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6" s="5">
        <f>IF(RAW_DATA!C56&lt;300000,0,IF(RAW_DATA!C56&lt;600000,5,IF(RAW_DATA!C56&lt;1200000,15,IF(RAW_DATA!C56&lt;2000000,20,25))))</f>
        <v>15</v>
      </c>
      <c r="M56" s="3">
        <f>IF(RAW_DATA!E56&lt;1,0,IF(RAW_DATA!E56&lt;3,3,IF(RAW_DATA!E56&lt;5,5,IF(RAW_DATA!E56&lt;10,8,10))))</f>
        <v>10</v>
      </c>
      <c r="N56" s="3">
        <f>IF(RAW_DATA!F56&lt;650,0,IF(RAW_DATA!F56&lt;700,8,IF(RAW_DATA!F56&lt;750,15,IF(RAW_DATA!F56&lt;800,20,25))))</f>
        <v>20</v>
      </c>
      <c r="O56" s="3">
        <f>IF(RAW_DATA!G56=0,5,IF(RAW_DATA!G56=1,4,IF(RAW_DATA!G56=2,3,IF(RAW_DATA!G56=3,2,IF(RAW_DATA!G56=4,1,0)))))</f>
        <v>4</v>
      </c>
      <c r="P56" s="3">
        <f>IF(RAW_DATA!K56&gt;=RAW_DATA!H56,20,ROUND((RAW_DATA!K56/RAW_DATA!H56)*20,0))</f>
        <v>20</v>
      </c>
      <c r="Q56" s="3">
        <f>IF(RAW_DATA!L56="No",5,0)</f>
        <v>0</v>
      </c>
      <c r="R56" s="3">
        <f t="shared" si="3"/>
        <v>77</v>
      </c>
      <c r="S56" s="3">
        <f t="shared" si="4"/>
        <v>77</v>
      </c>
      <c r="T56" s="3" t="str">
        <f t="shared" si="5"/>
        <v>Not Scored - Ineligible</v>
      </c>
    </row>
    <row r="57" spans="1:20" x14ac:dyDescent="0.25">
      <c r="A57" s="3" t="str">
        <f>RAW_DATA!A57</f>
        <v>APP056</v>
      </c>
      <c r="B57" s="3" t="b">
        <f>AND(RAW_DATA!B57&gt;=21,RAW_DATA!B57&lt;=60)</f>
        <v>1</v>
      </c>
      <c r="C57" s="3" t="b">
        <f>RAW_DATA!C57&gt;=300000</f>
        <v>1</v>
      </c>
      <c r="D57" s="3" t="b">
        <f>RAW_DATA!F57&gt;=650</f>
        <v>1</v>
      </c>
      <c r="E57" s="3" t="b">
        <f>RAW_DATA!E57&gt;=1</f>
        <v>1</v>
      </c>
      <c r="F57" s="3" t="b">
        <f>RAW_DATA!L57="No"</f>
        <v>1</v>
      </c>
      <c r="G57" s="3" t="b">
        <f t="shared" si="0"/>
        <v>1</v>
      </c>
      <c r="H57" s="3" t="str">
        <f t="shared" si="1"/>
        <v>ELIGIBLE</v>
      </c>
      <c r="I57" s="3" t="str">
        <f t="shared" si="2"/>
        <v/>
      </c>
      <c r="K57" s="3" cm="1">
        <f t="array" ref="K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7" s="5">
        <f>IF(RAW_DATA!C57&lt;300000,0,IF(RAW_DATA!C57&lt;600000,5,IF(RAW_DATA!C57&lt;1200000,15,IF(RAW_DATA!C57&lt;2000000,20,25))))</f>
        <v>25</v>
      </c>
      <c r="M57" s="3">
        <f>IF(RAW_DATA!E57&lt;1,0,IF(RAW_DATA!E57&lt;3,3,IF(RAW_DATA!E57&lt;5,5,IF(RAW_DATA!E57&lt;10,8,10))))</f>
        <v>10</v>
      </c>
      <c r="N57" s="3">
        <f>IF(RAW_DATA!F57&lt;650,0,IF(RAW_DATA!F57&lt;700,8,IF(RAW_DATA!F57&lt;750,15,IF(RAW_DATA!F57&lt;800,20,25))))</f>
        <v>25</v>
      </c>
      <c r="O57" s="3">
        <f>IF(RAW_DATA!G57=0,5,IF(RAW_DATA!G57=1,4,IF(RAW_DATA!G57=2,3,IF(RAW_DATA!G57=3,2,IF(RAW_DATA!G57=4,1,0)))))</f>
        <v>3</v>
      </c>
      <c r="P57" s="3">
        <f>IF(RAW_DATA!K57&gt;=RAW_DATA!H57,20,ROUND((RAW_DATA!K57/RAW_DATA!H57)*20,0))</f>
        <v>20</v>
      </c>
      <c r="Q57" s="3">
        <f>IF(RAW_DATA!L57="No",5,0)</f>
        <v>5</v>
      </c>
      <c r="R57" s="3">
        <f t="shared" si="3"/>
        <v>96</v>
      </c>
      <c r="S57" s="3">
        <f t="shared" si="4"/>
        <v>96</v>
      </c>
      <c r="T57" s="3" t="str">
        <f t="shared" si="5"/>
        <v>Strong</v>
      </c>
    </row>
    <row r="58" spans="1:20" x14ac:dyDescent="0.25">
      <c r="A58" s="3" t="str">
        <f>RAW_DATA!A58</f>
        <v>APP057</v>
      </c>
      <c r="B58" s="3" t="b">
        <f>AND(RAW_DATA!B58&gt;=21,RAW_DATA!B58&lt;=60)</f>
        <v>1</v>
      </c>
      <c r="C58" s="3" t="b">
        <f>RAW_DATA!C58&gt;=300000</f>
        <v>1</v>
      </c>
      <c r="D58" s="3" t="b">
        <f>RAW_DATA!F58&gt;=650</f>
        <v>1</v>
      </c>
      <c r="E58" s="3" t="b">
        <f>RAW_DATA!E58&gt;=1</f>
        <v>1</v>
      </c>
      <c r="F58" s="3" t="b">
        <f>RAW_DATA!L58="No"</f>
        <v>0</v>
      </c>
      <c r="G58" s="3" t="b">
        <f t="shared" si="0"/>
        <v>0</v>
      </c>
      <c r="H58" s="3" t="str">
        <f t="shared" si="1"/>
        <v>INELIGIBLE</v>
      </c>
      <c r="I58" s="3" t="str">
        <f t="shared" si="2"/>
        <v>Defaulter History</v>
      </c>
      <c r="K58" s="3" cm="1">
        <f t="array" ref="K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8" s="5">
        <f>IF(RAW_DATA!C58&lt;300000,0,IF(RAW_DATA!C58&lt;600000,5,IF(RAW_DATA!C58&lt;1200000,15,IF(RAW_DATA!C58&lt;2000000,20,25))))</f>
        <v>20</v>
      </c>
      <c r="M58" s="3">
        <f>IF(RAW_DATA!E58&lt;1,0,IF(RAW_DATA!E58&lt;3,3,IF(RAW_DATA!E58&lt;5,5,IF(RAW_DATA!E58&lt;10,8,10))))</f>
        <v>10</v>
      </c>
      <c r="N58" s="3">
        <f>IF(RAW_DATA!F58&lt;650,0,IF(RAW_DATA!F58&lt;700,8,IF(RAW_DATA!F58&lt;750,15,IF(RAW_DATA!F58&lt;800,20,25))))</f>
        <v>25</v>
      </c>
      <c r="O58" s="3">
        <f>IF(RAW_DATA!G58=0,5,IF(RAW_DATA!G58=1,4,IF(RAW_DATA!G58=2,3,IF(RAW_DATA!G58=3,2,IF(RAW_DATA!G58=4,1,0)))))</f>
        <v>3</v>
      </c>
      <c r="P58" s="3">
        <f>IF(RAW_DATA!K58&gt;=RAW_DATA!H58,20,ROUND((RAW_DATA!K58/RAW_DATA!H58)*20,0))</f>
        <v>20</v>
      </c>
      <c r="Q58" s="3">
        <f>IF(RAW_DATA!L58="No",5,0)</f>
        <v>0</v>
      </c>
      <c r="R58" s="3">
        <f t="shared" si="3"/>
        <v>88</v>
      </c>
      <c r="S58" s="3">
        <f t="shared" si="4"/>
        <v>88</v>
      </c>
      <c r="T58" s="3" t="str">
        <f t="shared" si="5"/>
        <v>Not Scored - Ineligible</v>
      </c>
    </row>
    <row r="59" spans="1:20" x14ac:dyDescent="0.25">
      <c r="A59" s="3" t="str">
        <f>RAW_DATA!A59</f>
        <v>APP058</v>
      </c>
      <c r="B59" s="3" t="b">
        <f>AND(RAW_DATA!B59&gt;=21,RAW_DATA!B59&lt;=60)</f>
        <v>1</v>
      </c>
      <c r="C59" s="3" t="b">
        <f>RAW_DATA!C59&gt;=300000</f>
        <v>1</v>
      </c>
      <c r="D59" s="3" t="b">
        <f>RAW_DATA!F59&gt;=650</f>
        <v>0</v>
      </c>
      <c r="E59" s="3" t="b">
        <f>RAW_DATA!E59&gt;=1</f>
        <v>1</v>
      </c>
      <c r="F59" s="3" t="b">
        <f>RAW_DATA!L59="No"</f>
        <v>1</v>
      </c>
      <c r="G59" s="3" t="b">
        <f t="shared" si="0"/>
        <v>0</v>
      </c>
      <c r="H59" s="3" t="str">
        <f t="shared" si="1"/>
        <v>INELIGIBLE</v>
      </c>
      <c r="I59" s="3" t="str">
        <f t="shared" si="2"/>
        <v>Credit Score</v>
      </c>
      <c r="K59" s="3" cm="1">
        <f t="array" ref="K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59" s="5">
        <f>IF(RAW_DATA!C59&lt;300000,0,IF(RAW_DATA!C59&lt;600000,5,IF(RAW_DATA!C59&lt;1200000,15,IF(RAW_DATA!C59&lt;2000000,20,25))))</f>
        <v>25</v>
      </c>
      <c r="M59" s="3">
        <f>IF(RAW_DATA!E59&lt;1,0,IF(RAW_DATA!E59&lt;3,3,IF(RAW_DATA!E59&lt;5,5,IF(RAW_DATA!E59&lt;10,8,10))))</f>
        <v>10</v>
      </c>
      <c r="N59" s="3">
        <f>IF(RAW_DATA!F59&lt;650,0,IF(RAW_DATA!F59&lt;700,8,IF(RAW_DATA!F59&lt;750,15,IF(RAW_DATA!F59&lt;800,20,25))))</f>
        <v>0</v>
      </c>
      <c r="O59" s="3">
        <f>IF(RAW_DATA!G59=0,5,IF(RAW_DATA!G59=1,4,IF(RAW_DATA!G59=2,3,IF(RAW_DATA!G59=3,2,IF(RAW_DATA!G59=4,1,0)))))</f>
        <v>4</v>
      </c>
      <c r="P59" s="3">
        <f>IF(RAW_DATA!K59&gt;=RAW_DATA!H59,20,ROUND((RAW_DATA!K59/RAW_DATA!H59)*20,0))</f>
        <v>20</v>
      </c>
      <c r="Q59" s="3">
        <f>IF(RAW_DATA!L59="No",5,0)</f>
        <v>5</v>
      </c>
      <c r="R59" s="3">
        <f t="shared" si="3"/>
        <v>68</v>
      </c>
      <c r="S59" s="3">
        <f t="shared" si="4"/>
        <v>68</v>
      </c>
      <c r="T59" s="3" t="str">
        <f t="shared" si="5"/>
        <v>Not Scored - Ineligible</v>
      </c>
    </row>
    <row r="60" spans="1:20" x14ac:dyDescent="0.25">
      <c r="A60" s="3" t="str">
        <f>RAW_DATA!A60</f>
        <v>APP059</v>
      </c>
      <c r="B60" s="3" t="b">
        <f>AND(RAW_DATA!B60&gt;=21,RAW_DATA!B60&lt;=60)</f>
        <v>1</v>
      </c>
      <c r="C60" s="3" t="b">
        <f>RAW_DATA!C60&gt;=300000</f>
        <v>1</v>
      </c>
      <c r="D60" s="3" t="b">
        <f>RAW_DATA!F60&gt;=650</f>
        <v>0</v>
      </c>
      <c r="E60" s="3" t="b">
        <f>RAW_DATA!E60&gt;=1</f>
        <v>1</v>
      </c>
      <c r="F60" s="3" t="b">
        <f>RAW_DATA!L60="No"</f>
        <v>1</v>
      </c>
      <c r="G60" s="3" t="b">
        <f t="shared" si="0"/>
        <v>0</v>
      </c>
      <c r="H60" s="3" t="str">
        <f t="shared" si="1"/>
        <v>INELIGIBLE</v>
      </c>
      <c r="I60" s="3" t="str">
        <f t="shared" si="2"/>
        <v>Credit Score</v>
      </c>
      <c r="K60" s="3" cm="1">
        <f t="array" ref="K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0" s="5">
        <f>IF(RAW_DATA!C60&lt;300000,0,IF(RAW_DATA!C60&lt;600000,5,IF(RAW_DATA!C60&lt;1200000,15,IF(RAW_DATA!C60&lt;2000000,20,25))))</f>
        <v>15</v>
      </c>
      <c r="M60" s="3">
        <f>IF(RAW_DATA!E60&lt;1,0,IF(RAW_DATA!E60&lt;3,3,IF(RAW_DATA!E60&lt;5,5,IF(RAW_DATA!E60&lt;10,8,10))))</f>
        <v>8</v>
      </c>
      <c r="N60" s="3">
        <f>IF(RAW_DATA!F60&lt;650,0,IF(RAW_DATA!F60&lt;700,8,IF(RAW_DATA!F60&lt;750,15,IF(RAW_DATA!F60&lt;800,20,25))))</f>
        <v>0</v>
      </c>
      <c r="O60" s="3">
        <f>IF(RAW_DATA!G60=0,5,IF(RAW_DATA!G60=1,4,IF(RAW_DATA!G60=2,3,IF(RAW_DATA!G60=3,2,IF(RAW_DATA!G60=4,1,0)))))</f>
        <v>3</v>
      </c>
      <c r="P60" s="3">
        <f>IF(RAW_DATA!K60&gt;=RAW_DATA!H60,20,ROUND((RAW_DATA!K60/RAW_DATA!H60)*20,0))</f>
        <v>19</v>
      </c>
      <c r="Q60" s="3">
        <f>IF(RAW_DATA!L60="No",5,0)</f>
        <v>5</v>
      </c>
      <c r="R60" s="3">
        <f t="shared" si="3"/>
        <v>58</v>
      </c>
      <c r="S60" s="3">
        <f t="shared" si="4"/>
        <v>58</v>
      </c>
      <c r="T60" s="3" t="str">
        <f t="shared" si="5"/>
        <v>Not Scored - Ineligible</v>
      </c>
    </row>
    <row r="61" spans="1:20" x14ac:dyDescent="0.25">
      <c r="A61" s="3" t="str">
        <f>RAW_DATA!A61</f>
        <v>APP060</v>
      </c>
      <c r="B61" s="3" t="b">
        <f>AND(RAW_DATA!B61&gt;=21,RAW_DATA!B61&lt;=60)</f>
        <v>1</v>
      </c>
      <c r="C61" s="3" t="b">
        <f>RAW_DATA!C61&gt;=300000</f>
        <v>1</v>
      </c>
      <c r="D61" s="3" t="b">
        <f>RAW_DATA!F61&gt;=650</f>
        <v>1</v>
      </c>
      <c r="E61" s="3" t="b">
        <f>RAW_DATA!E61&gt;=1</f>
        <v>1</v>
      </c>
      <c r="F61" s="3" t="b">
        <f>RAW_DATA!L61="No"</f>
        <v>1</v>
      </c>
      <c r="G61" s="3" t="b">
        <f t="shared" si="0"/>
        <v>1</v>
      </c>
      <c r="H61" s="3" t="str">
        <f t="shared" si="1"/>
        <v>ELIGIBLE</v>
      </c>
      <c r="I61" s="3" t="str">
        <f t="shared" si="2"/>
        <v/>
      </c>
      <c r="K61" s="3" cm="1">
        <f t="array" ref="K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1" s="5">
        <f>IF(RAW_DATA!C61&lt;300000,0,IF(RAW_DATA!C61&lt;600000,5,IF(RAW_DATA!C61&lt;1200000,15,IF(RAW_DATA!C61&lt;2000000,20,25))))</f>
        <v>20</v>
      </c>
      <c r="M61" s="3">
        <f>IF(RAW_DATA!E61&lt;1,0,IF(RAW_DATA!E61&lt;3,3,IF(RAW_DATA!E61&lt;5,5,IF(RAW_DATA!E61&lt;10,8,10))))</f>
        <v>10</v>
      </c>
      <c r="N61" s="3">
        <f>IF(RAW_DATA!F61&lt;650,0,IF(RAW_DATA!F61&lt;700,8,IF(RAW_DATA!F61&lt;750,15,IF(RAW_DATA!F61&lt;800,20,25))))</f>
        <v>25</v>
      </c>
      <c r="O61" s="3">
        <f>IF(RAW_DATA!G61=0,5,IF(RAW_DATA!G61=1,4,IF(RAW_DATA!G61=2,3,IF(RAW_DATA!G61=3,2,IF(RAW_DATA!G61=4,1,0)))))</f>
        <v>1</v>
      </c>
      <c r="P61" s="3">
        <f>IF(RAW_DATA!K61&gt;=RAW_DATA!H61,20,ROUND((RAW_DATA!K61/RAW_DATA!H61)*20,0))</f>
        <v>20</v>
      </c>
      <c r="Q61" s="3">
        <f>IF(RAW_DATA!L61="No",5,0)</f>
        <v>5</v>
      </c>
      <c r="R61" s="3">
        <f t="shared" si="3"/>
        <v>89</v>
      </c>
      <c r="S61" s="3">
        <f t="shared" si="4"/>
        <v>89</v>
      </c>
      <c r="T61" s="3" t="str">
        <f t="shared" si="5"/>
        <v>Strong</v>
      </c>
    </row>
    <row r="62" spans="1:20" x14ac:dyDescent="0.25">
      <c r="A62" s="3" t="str">
        <f>RAW_DATA!A62</f>
        <v>APP061</v>
      </c>
      <c r="B62" s="3" t="b">
        <f>AND(RAW_DATA!B62&gt;=21,RAW_DATA!B62&lt;=60)</f>
        <v>0</v>
      </c>
      <c r="C62" s="3" t="b">
        <f>RAW_DATA!C62&gt;=300000</f>
        <v>1</v>
      </c>
      <c r="D62" s="3" t="b">
        <f>RAW_DATA!F62&gt;=650</f>
        <v>0</v>
      </c>
      <c r="E62" s="3" t="b">
        <f>RAW_DATA!E62&gt;=1</f>
        <v>1</v>
      </c>
      <c r="F62" s="3" t="b">
        <f>RAW_DATA!L62="No"</f>
        <v>0</v>
      </c>
      <c r="G62" s="3" t="b">
        <f t="shared" si="0"/>
        <v>0</v>
      </c>
      <c r="H62" s="3" t="str">
        <f t="shared" si="1"/>
        <v>INELIGIBLE</v>
      </c>
      <c r="I62" s="3" t="str">
        <f t="shared" si="2"/>
        <v>Age, Credit Score, Defaulter History</v>
      </c>
      <c r="K62" s="3" cm="1">
        <f t="array" ref="K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62" s="5">
        <f>IF(RAW_DATA!C62&lt;300000,0,IF(RAW_DATA!C62&lt;600000,5,IF(RAW_DATA!C62&lt;1200000,15,IF(RAW_DATA!C62&lt;2000000,20,25))))</f>
        <v>20</v>
      </c>
      <c r="M62" s="3">
        <f>IF(RAW_DATA!E62&lt;1,0,IF(RAW_DATA!E62&lt;3,3,IF(RAW_DATA!E62&lt;5,5,IF(RAW_DATA!E62&lt;10,8,10))))</f>
        <v>3</v>
      </c>
      <c r="N62" s="3">
        <f>IF(RAW_DATA!F62&lt;650,0,IF(RAW_DATA!F62&lt;700,8,IF(RAW_DATA!F62&lt;750,15,IF(RAW_DATA!F62&lt;800,20,25))))</f>
        <v>0</v>
      </c>
      <c r="O62" s="3">
        <f>IF(RAW_DATA!G62=0,5,IF(RAW_DATA!G62=1,4,IF(RAW_DATA!G62=2,3,IF(RAW_DATA!G62=3,2,IF(RAW_DATA!G62=4,1,0)))))</f>
        <v>4</v>
      </c>
      <c r="P62" s="3">
        <f>IF(RAW_DATA!K62&gt;=RAW_DATA!H62,20,ROUND((RAW_DATA!K62/RAW_DATA!H62)*20,0))</f>
        <v>20</v>
      </c>
      <c r="Q62" s="3">
        <f>IF(RAW_DATA!L62="No",5,0)</f>
        <v>0</v>
      </c>
      <c r="R62" s="3">
        <f t="shared" si="3"/>
        <v>47</v>
      </c>
      <c r="S62" s="3">
        <f t="shared" si="4"/>
        <v>47</v>
      </c>
      <c r="T62" s="3" t="str">
        <f t="shared" si="5"/>
        <v>Not Scored - Ineligible</v>
      </c>
    </row>
    <row r="63" spans="1:20" x14ac:dyDescent="0.25">
      <c r="A63" s="3" t="str">
        <f>RAW_DATA!A63</f>
        <v>APP062</v>
      </c>
      <c r="B63" s="3" t="b">
        <f>AND(RAW_DATA!B63&gt;=21,RAW_DATA!B63&lt;=60)</f>
        <v>1</v>
      </c>
      <c r="C63" s="3" t="b">
        <f>RAW_DATA!C63&gt;=300000</f>
        <v>1</v>
      </c>
      <c r="D63" s="3" t="b">
        <f>RAW_DATA!F63&gt;=650</f>
        <v>0</v>
      </c>
      <c r="E63" s="3" t="b">
        <f>RAW_DATA!E63&gt;=1</f>
        <v>1</v>
      </c>
      <c r="F63" s="3" t="b">
        <f>RAW_DATA!L63="No"</f>
        <v>1</v>
      </c>
      <c r="G63" s="3" t="b">
        <f t="shared" si="0"/>
        <v>0</v>
      </c>
      <c r="H63" s="3" t="str">
        <f t="shared" si="1"/>
        <v>INELIGIBLE</v>
      </c>
      <c r="I63" s="3" t="str">
        <f t="shared" si="2"/>
        <v>Credit Score</v>
      </c>
      <c r="K63" s="3" cm="1">
        <f t="array" ref="K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3" s="5">
        <f>IF(RAW_DATA!C63&lt;300000,0,IF(RAW_DATA!C63&lt;600000,5,IF(RAW_DATA!C63&lt;1200000,15,IF(RAW_DATA!C63&lt;2000000,20,25))))</f>
        <v>20</v>
      </c>
      <c r="M63" s="3">
        <f>IF(RAW_DATA!E63&lt;1,0,IF(RAW_DATA!E63&lt;3,3,IF(RAW_DATA!E63&lt;5,5,IF(RAW_DATA!E63&lt;10,8,10))))</f>
        <v>10</v>
      </c>
      <c r="N63" s="3">
        <f>IF(RAW_DATA!F63&lt;650,0,IF(RAW_DATA!F63&lt;700,8,IF(RAW_DATA!F63&lt;750,15,IF(RAW_DATA!F63&lt;800,20,25))))</f>
        <v>0</v>
      </c>
      <c r="O63" s="3">
        <f>IF(RAW_DATA!G63=0,5,IF(RAW_DATA!G63=1,4,IF(RAW_DATA!G63=2,3,IF(RAW_DATA!G63=3,2,IF(RAW_DATA!G63=4,1,0)))))</f>
        <v>5</v>
      </c>
      <c r="P63" s="3">
        <f>IF(RAW_DATA!K63&gt;=RAW_DATA!H63,20,ROUND((RAW_DATA!K63/RAW_DATA!H63)*20,0))</f>
        <v>20</v>
      </c>
      <c r="Q63" s="3">
        <f>IF(RAW_DATA!L63="No",5,0)</f>
        <v>5</v>
      </c>
      <c r="R63" s="3">
        <f t="shared" si="3"/>
        <v>68</v>
      </c>
      <c r="S63" s="3">
        <f t="shared" si="4"/>
        <v>68</v>
      </c>
      <c r="T63" s="3" t="str">
        <f t="shared" si="5"/>
        <v>Not Scored - Ineligible</v>
      </c>
    </row>
    <row r="64" spans="1:20" x14ac:dyDescent="0.25">
      <c r="A64" s="3" t="str">
        <f>RAW_DATA!A64</f>
        <v>APP063</v>
      </c>
      <c r="B64" s="3" t="b">
        <f>AND(RAW_DATA!B64&gt;=21,RAW_DATA!B64&lt;=60)</f>
        <v>1</v>
      </c>
      <c r="C64" s="3" t="b">
        <f>RAW_DATA!C64&gt;=300000</f>
        <v>1</v>
      </c>
      <c r="D64" s="3" t="b">
        <f>RAW_DATA!F64&gt;=650</f>
        <v>0</v>
      </c>
      <c r="E64" s="3" t="b">
        <f>RAW_DATA!E64&gt;=1</f>
        <v>1</v>
      </c>
      <c r="F64" s="3" t="b">
        <f>RAW_DATA!L64="No"</f>
        <v>0</v>
      </c>
      <c r="G64" s="3" t="b">
        <f t="shared" si="0"/>
        <v>0</v>
      </c>
      <c r="H64" s="3" t="str">
        <f t="shared" si="1"/>
        <v>INELIGIBLE</v>
      </c>
      <c r="I64" s="3" t="str">
        <f t="shared" si="2"/>
        <v>Credit Score, Defaulter History</v>
      </c>
      <c r="K64" s="3" cm="1">
        <f t="array" ref="K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64" s="5">
        <f>IF(RAW_DATA!C64&lt;300000,0,IF(RAW_DATA!C64&lt;600000,5,IF(RAW_DATA!C64&lt;1200000,15,IF(RAW_DATA!C64&lt;2000000,20,25))))</f>
        <v>25</v>
      </c>
      <c r="M64" s="3">
        <f>IF(RAW_DATA!E64&lt;1,0,IF(RAW_DATA!E64&lt;3,3,IF(RAW_DATA!E64&lt;5,5,IF(RAW_DATA!E64&lt;10,8,10))))</f>
        <v>10</v>
      </c>
      <c r="N64" s="3">
        <f>IF(RAW_DATA!F64&lt;650,0,IF(RAW_DATA!F64&lt;700,8,IF(RAW_DATA!F64&lt;750,15,IF(RAW_DATA!F64&lt;800,20,25))))</f>
        <v>0</v>
      </c>
      <c r="O64" s="3">
        <f>IF(RAW_DATA!G64=0,5,IF(RAW_DATA!G64=1,4,IF(RAW_DATA!G64=2,3,IF(RAW_DATA!G64=3,2,IF(RAW_DATA!G64=4,1,0)))))</f>
        <v>0</v>
      </c>
      <c r="P64" s="3">
        <f>IF(RAW_DATA!K64&gt;=RAW_DATA!H64,20,ROUND((RAW_DATA!K64/RAW_DATA!H64)*20,0))</f>
        <v>20</v>
      </c>
      <c r="Q64" s="3">
        <f>IF(RAW_DATA!L64="No",5,0)</f>
        <v>0</v>
      </c>
      <c r="R64" s="3">
        <f t="shared" si="3"/>
        <v>62</v>
      </c>
      <c r="S64" s="3">
        <f t="shared" si="4"/>
        <v>62</v>
      </c>
      <c r="T64" s="3" t="str">
        <f t="shared" si="5"/>
        <v>Not Scored - Ineligible</v>
      </c>
    </row>
    <row r="65" spans="1:20" x14ac:dyDescent="0.25">
      <c r="A65" s="3" t="str">
        <f>RAW_DATA!A65</f>
        <v>APP064</v>
      </c>
      <c r="B65" s="3" t="b">
        <f>AND(RAW_DATA!B65&gt;=21,RAW_DATA!B65&lt;=60)</f>
        <v>1</v>
      </c>
      <c r="C65" s="3" t="b">
        <f>RAW_DATA!C65&gt;=300000</f>
        <v>1</v>
      </c>
      <c r="D65" s="3" t="b">
        <f>RAW_DATA!F65&gt;=650</f>
        <v>1</v>
      </c>
      <c r="E65" s="3" t="b">
        <f>RAW_DATA!E65&gt;=1</f>
        <v>1</v>
      </c>
      <c r="F65" s="3" t="b">
        <f>RAW_DATA!L65="No"</f>
        <v>1</v>
      </c>
      <c r="G65" s="3" t="b">
        <f t="shared" si="0"/>
        <v>1</v>
      </c>
      <c r="H65" s="3" t="str">
        <f t="shared" si="1"/>
        <v>ELIGIBLE</v>
      </c>
      <c r="I65" s="3" t="str">
        <f t="shared" si="2"/>
        <v/>
      </c>
      <c r="K65" s="3" cm="1">
        <f t="array" ref="K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5" s="5">
        <f>IF(RAW_DATA!C65&lt;300000,0,IF(RAW_DATA!C65&lt;600000,5,IF(RAW_DATA!C65&lt;1200000,15,IF(RAW_DATA!C65&lt;2000000,20,25))))</f>
        <v>20</v>
      </c>
      <c r="M65" s="3">
        <f>IF(RAW_DATA!E65&lt;1,0,IF(RAW_DATA!E65&lt;3,3,IF(RAW_DATA!E65&lt;5,5,IF(RAW_DATA!E65&lt;10,8,10))))</f>
        <v>10</v>
      </c>
      <c r="N65" s="3">
        <f>IF(RAW_DATA!F65&lt;650,0,IF(RAW_DATA!F65&lt;700,8,IF(RAW_DATA!F65&lt;750,15,IF(RAW_DATA!F65&lt;800,20,25))))</f>
        <v>20</v>
      </c>
      <c r="O65" s="3">
        <f>IF(RAW_DATA!G65=0,5,IF(RAW_DATA!G65=1,4,IF(RAW_DATA!G65=2,3,IF(RAW_DATA!G65=3,2,IF(RAW_DATA!G65=4,1,0)))))</f>
        <v>5</v>
      </c>
      <c r="P65" s="3">
        <f>IF(RAW_DATA!K65&gt;=RAW_DATA!H65,20,ROUND((RAW_DATA!K65/RAW_DATA!H65)*20,0))</f>
        <v>20</v>
      </c>
      <c r="Q65" s="3">
        <f>IF(RAW_DATA!L65="No",5,0)</f>
        <v>5</v>
      </c>
      <c r="R65" s="3">
        <f t="shared" si="3"/>
        <v>88</v>
      </c>
      <c r="S65" s="3">
        <f t="shared" si="4"/>
        <v>88</v>
      </c>
      <c r="T65" s="3" t="str">
        <f t="shared" si="5"/>
        <v>Strong</v>
      </c>
    </row>
    <row r="66" spans="1:20" x14ac:dyDescent="0.25">
      <c r="A66" s="3" t="str">
        <f>RAW_DATA!A66</f>
        <v>APP065</v>
      </c>
      <c r="B66" s="3" t="b">
        <f>AND(RAW_DATA!B66&gt;=21,RAW_DATA!B66&lt;=60)</f>
        <v>1</v>
      </c>
      <c r="C66" s="3" t="b">
        <f>RAW_DATA!C66&gt;=300000</f>
        <v>1</v>
      </c>
      <c r="D66" s="3" t="b">
        <f>RAW_DATA!F66&gt;=650</f>
        <v>1</v>
      </c>
      <c r="E66" s="3" t="b">
        <f>RAW_DATA!E66&gt;=1</f>
        <v>1</v>
      </c>
      <c r="F66" s="3" t="b">
        <f>RAW_DATA!L66="No"</f>
        <v>1</v>
      </c>
      <c r="G66" s="3" t="b">
        <f t="shared" si="0"/>
        <v>1</v>
      </c>
      <c r="H66" s="3" t="str">
        <f t="shared" si="1"/>
        <v>ELIGIBLE</v>
      </c>
      <c r="I66" s="3" t="str">
        <f t="shared" si="2"/>
        <v/>
      </c>
      <c r="K66" s="3" cm="1">
        <f t="array" ref="K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6" s="5">
        <f>IF(RAW_DATA!C66&lt;300000,0,IF(RAW_DATA!C66&lt;600000,5,IF(RAW_DATA!C66&lt;1200000,15,IF(RAW_DATA!C66&lt;2000000,20,25))))</f>
        <v>15</v>
      </c>
      <c r="M66" s="3">
        <f>IF(RAW_DATA!E66&lt;1,0,IF(RAW_DATA!E66&lt;3,3,IF(RAW_DATA!E66&lt;5,5,IF(RAW_DATA!E66&lt;10,8,10))))</f>
        <v>10</v>
      </c>
      <c r="N66" s="3">
        <f>IF(RAW_DATA!F66&lt;650,0,IF(RAW_DATA!F66&lt;700,8,IF(RAW_DATA!F66&lt;750,15,IF(RAW_DATA!F66&lt;800,20,25))))</f>
        <v>25</v>
      </c>
      <c r="O66" s="3">
        <f>IF(RAW_DATA!G66=0,5,IF(RAW_DATA!G66=1,4,IF(RAW_DATA!G66=2,3,IF(RAW_DATA!G66=3,2,IF(RAW_DATA!G66=4,1,0)))))</f>
        <v>0</v>
      </c>
      <c r="P66" s="3">
        <f>IF(RAW_DATA!K66&gt;=RAW_DATA!H66,20,ROUND((RAW_DATA!K66/RAW_DATA!H66)*20,0))</f>
        <v>20</v>
      </c>
      <c r="Q66" s="3">
        <f>IF(RAW_DATA!L66="No",5,0)</f>
        <v>5</v>
      </c>
      <c r="R66" s="3">
        <f t="shared" si="3"/>
        <v>79</v>
      </c>
      <c r="S66" s="3">
        <f t="shared" si="4"/>
        <v>79</v>
      </c>
      <c r="T66" s="3" t="str">
        <f t="shared" si="5"/>
        <v>Strong</v>
      </c>
    </row>
    <row r="67" spans="1:20" x14ac:dyDescent="0.25">
      <c r="A67" s="3" t="str">
        <f>RAW_DATA!A67</f>
        <v>APP066</v>
      </c>
      <c r="B67" s="3" t="b">
        <f>AND(RAW_DATA!B67&gt;=21,RAW_DATA!B67&lt;=60)</f>
        <v>1</v>
      </c>
      <c r="C67" s="3" t="b">
        <f>RAW_DATA!C67&gt;=300000</f>
        <v>0</v>
      </c>
      <c r="D67" s="3" t="b">
        <f>RAW_DATA!F67&gt;=650</f>
        <v>1</v>
      </c>
      <c r="E67" s="3" t="b">
        <f>RAW_DATA!E67&gt;=1</f>
        <v>1</v>
      </c>
      <c r="F67" s="3" t="b">
        <f>RAW_DATA!L67="No"</f>
        <v>1</v>
      </c>
      <c r="G67" s="3" t="b">
        <f t="shared" ref="G67:G130" si="6">AND(B67:F67)</f>
        <v>0</v>
      </c>
      <c r="H67" s="3" t="str">
        <f t="shared" ref="H67:H130" si="7">IF(G67,"ELIGIBLE","INELIGIBLE")</f>
        <v>INELIGIBLE</v>
      </c>
      <c r="I67" s="3" t="str">
        <f t="shared" ref="I67:I130" si="8">IF(G67,"",_xlfn.TEXTJOIN(", ",TRUE,IF(B67,"","Age"),IF(C67,"","Income"),IF(D67,"","Credit Score"),IF(E67,"","Employment"),IF(F67,"","Defaulter History")))</f>
        <v>Income</v>
      </c>
      <c r="K67" s="3" cm="1">
        <f t="array" ref="K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7" s="5">
        <f>IF(RAW_DATA!C67&lt;300000,0,IF(RAW_DATA!C67&lt;600000,5,IF(RAW_DATA!C67&lt;1200000,15,IF(RAW_DATA!C67&lt;2000000,20,25))))</f>
        <v>0</v>
      </c>
      <c r="M67" s="3">
        <f>IF(RAW_DATA!E67&lt;1,0,IF(RAW_DATA!E67&lt;3,3,IF(RAW_DATA!E67&lt;5,5,IF(RAW_DATA!E67&lt;10,8,10))))</f>
        <v>10</v>
      </c>
      <c r="N67" s="3">
        <f>IF(RAW_DATA!F67&lt;650,0,IF(RAW_DATA!F67&lt;700,8,IF(RAW_DATA!F67&lt;750,15,IF(RAW_DATA!F67&lt;800,20,25))))</f>
        <v>15</v>
      </c>
      <c r="O67" s="3">
        <f>IF(RAW_DATA!G67=0,5,IF(RAW_DATA!G67=1,4,IF(RAW_DATA!G67=2,3,IF(RAW_DATA!G67=3,2,IF(RAW_DATA!G67=4,1,0)))))</f>
        <v>5</v>
      </c>
      <c r="P67" s="3">
        <f>IF(RAW_DATA!K67&gt;=RAW_DATA!H67,20,ROUND((RAW_DATA!K67/RAW_DATA!H67)*20,0))</f>
        <v>20</v>
      </c>
      <c r="Q67" s="3">
        <f>IF(RAW_DATA!L67="No",5,0)</f>
        <v>5</v>
      </c>
      <c r="R67" s="3">
        <f t="shared" ref="R67:R130" si="9">K67+L67+M67+N67+O67+P67+Q67</f>
        <v>63</v>
      </c>
      <c r="S67" s="3">
        <f t="shared" ref="S67:S130" si="10">R67</f>
        <v>63</v>
      </c>
      <c r="T67" s="3" t="str">
        <f t="shared" ref="T67:T130" si="11">IF(H67="INELIGIBLE","Not Scored - Ineligible",IF(S67&gt;=70,"Strong",IF(S67&gt;=50,"Moderate","Weak")))</f>
        <v>Not Scored - Ineligible</v>
      </c>
    </row>
    <row r="68" spans="1:20" x14ac:dyDescent="0.25">
      <c r="A68" s="3" t="str">
        <f>RAW_DATA!A68</f>
        <v>APP067</v>
      </c>
      <c r="B68" s="3" t="b">
        <f>AND(RAW_DATA!B68&gt;=21,RAW_DATA!B68&lt;=60)</f>
        <v>1</v>
      </c>
      <c r="C68" s="3" t="b">
        <f>RAW_DATA!C68&gt;=300000</f>
        <v>1</v>
      </c>
      <c r="D68" s="3" t="b">
        <f>RAW_DATA!F68&gt;=650</f>
        <v>0</v>
      </c>
      <c r="E68" s="3" t="b">
        <f>RAW_DATA!E68&gt;=1</f>
        <v>1</v>
      </c>
      <c r="F68" s="3" t="b">
        <f>RAW_DATA!L68="No"</f>
        <v>0</v>
      </c>
      <c r="G68" s="3" t="b">
        <f t="shared" si="6"/>
        <v>0</v>
      </c>
      <c r="H68" s="3" t="str">
        <f t="shared" si="7"/>
        <v>INELIGIBLE</v>
      </c>
      <c r="I68" s="3" t="str">
        <f t="shared" si="8"/>
        <v>Credit Score, Defaulter History</v>
      </c>
      <c r="K68" s="3" cm="1">
        <f t="array" ref="K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8" s="5">
        <f>IF(RAW_DATA!C68&lt;300000,0,IF(RAW_DATA!C68&lt;600000,5,IF(RAW_DATA!C68&lt;1200000,15,IF(RAW_DATA!C68&lt;2000000,20,25))))</f>
        <v>15</v>
      </c>
      <c r="M68" s="3">
        <f>IF(RAW_DATA!E68&lt;1,0,IF(RAW_DATA!E68&lt;3,3,IF(RAW_DATA!E68&lt;5,5,IF(RAW_DATA!E68&lt;10,8,10))))</f>
        <v>10</v>
      </c>
      <c r="N68" s="3">
        <f>IF(RAW_DATA!F68&lt;650,0,IF(RAW_DATA!F68&lt;700,8,IF(RAW_DATA!F68&lt;750,15,IF(RAW_DATA!F68&lt;800,20,25))))</f>
        <v>0</v>
      </c>
      <c r="O68" s="3">
        <f>IF(RAW_DATA!G68=0,5,IF(RAW_DATA!G68=1,4,IF(RAW_DATA!G68=2,3,IF(RAW_DATA!G68=3,2,IF(RAW_DATA!G68=4,1,0)))))</f>
        <v>1</v>
      </c>
      <c r="P68" s="3">
        <f>IF(RAW_DATA!K68&gt;=RAW_DATA!H68,20,ROUND((RAW_DATA!K68/RAW_DATA!H68)*20,0))</f>
        <v>20</v>
      </c>
      <c r="Q68" s="3">
        <f>IF(RAW_DATA!L68="No",5,0)</f>
        <v>0</v>
      </c>
      <c r="R68" s="3">
        <f t="shared" si="9"/>
        <v>54</v>
      </c>
      <c r="S68" s="3">
        <f t="shared" si="10"/>
        <v>54</v>
      </c>
      <c r="T68" s="3" t="str">
        <f t="shared" si="11"/>
        <v>Not Scored - Ineligible</v>
      </c>
    </row>
    <row r="69" spans="1:20" x14ac:dyDescent="0.25">
      <c r="A69" s="3" t="str">
        <f>RAW_DATA!A69</f>
        <v>APP068</v>
      </c>
      <c r="B69" s="3" t="b">
        <f>AND(RAW_DATA!B69&gt;=21,RAW_DATA!B69&lt;=60)</f>
        <v>1</v>
      </c>
      <c r="C69" s="3" t="b">
        <f>RAW_DATA!C69&gt;=300000</f>
        <v>1</v>
      </c>
      <c r="D69" s="3" t="b">
        <f>RAW_DATA!F69&gt;=650</f>
        <v>0</v>
      </c>
      <c r="E69" s="3" t="b">
        <f>RAW_DATA!E69&gt;=1</f>
        <v>1</v>
      </c>
      <c r="F69" s="3" t="b">
        <f>RAW_DATA!L69="No"</f>
        <v>1</v>
      </c>
      <c r="G69" s="3" t="b">
        <f t="shared" si="6"/>
        <v>0</v>
      </c>
      <c r="H69" s="3" t="str">
        <f t="shared" si="7"/>
        <v>INELIGIBLE</v>
      </c>
      <c r="I69" s="3" t="str">
        <f t="shared" si="8"/>
        <v>Credit Score</v>
      </c>
      <c r="K69" s="3" cm="1">
        <f t="array" ref="K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69" s="5">
        <f>IF(RAW_DATA!C69&lt;300000,0,IF(RAW_DATA!C69&lt;600000,5,IF(RAW_DATA!C69&lt;1200000,15,IF(RAW_DATA!C69&lt;2000000,20,25))))</f>
        <v>15</v>
      </c>
      <c r="M69" s="3">
        <f>IF(RAW_DATA!E69&lt;1,0,IF(RAW_DATA!E69&lt;3,3,IF(RAW_DATA!E69&lt;5,5,IF(RAW_DATA!E69&lt;10,8,10))))</f>
        <v>10</v>
      </c>
      <c r="N69" s="3">
        <f>IF(RAW_DATA!F69&lt;650,0,IF(RAW_DATA!F69&lt;700,8,IF(RAW_DATA!F69&lt;750,15,IF(RAW_DATA!F69&lt;800,20,25))))</f>
        <v>0</v>
      </c>
      <c r="O69" s="3">
        <f>IF(RAW_DATA!G69=0,5,IF(RAW_DATA!G69=1,4,IF(RAW_DATA!G69=2,3,IF(RAW_DATA!G69=3,2,IF(RAW_DATA!G69=4,1,0)))))</f>
        <v>5</v>
      </c>
      <c r="P69" s="3">
        <f>IF(RAW_DATA!K69&gt;=RAW_DATA!H69,20,ROUND((RAW_DATA!K69/RAW_DATA!H69)*20,0))</f>
        <v>20</v>
      </c>
      <c r="Q69" s="3">
        <f>IF(RAW_DATA!L69="No",5,0)</f>
        <v>5</v>
      </c>
      <c r="R69" s="3">
        <f t="shared" si="9"/>
        <v>65</v>
      </c>
      <c r="S69" s="3">
        <f t="shared" si="10"/>
        <v>65</v>
      </c>
      <c r="T69" s="3" t="str">
        <f t="shared" si="11"/>
        <v>Not Scored - Ineligible</v>
      </c>
    </row>
    <row r="70" spans="1:20" x14ac:dyDescent="0.25">
      <c r="A70" s="3" t="str">
        <f>RAW_DATA!A70</f>
        <v>APP069</v>
      </c>
      <c r="B70" s="3" t="b">
        <f>AND(RAW_DATA!B70&gt;=21,RAW_DATA!B70&lt;=60)</f>
        <v>1</v>
      </c>
      <c r="C70" s="3" t="b">
        <f>RAW_DATA!C70&gt;=300000</f>
        <v>1</v>
      </c>
      <c r="D70" s="3" t="b">
        <f>RAW_DATA!F70&gt;=650</f>
        <v>0</v>
      </c>
      <c r="E70" s="3" t="b">
        <f>RAW_DATA!E70&gt;=1</f>
        <v>1</v>
      </c>
      <c r="F70" s="3" t="b">
        <f>RAW_DATA!L70="No"</f>
        <v>0</v>
      </c>
      <c r="G70" s="3" t="b">
        <f t="shared" si="6"/>
        <v>0</v>
      </c>
      <c r="H70" s="3" t="str">
        <f t="shared" si="7"/>
        <v>INELIGIBLE</v>
      </c>
      <c r="I70" s="3" t="str">
        <f t="shared" si="8"/>
        <v>Credit Score, Defaulter History</v>
      </c>
      <c r="K70" s="3" cm="1">
        <f t="array" ref="K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0" s="5">
        <f>IF(RAW_DATA!C70&lt;300000,0,IF(RAW_DATA!C70&lt;600000,5,IF(RAW_DATA!C70&lt;1200000,15,IF(RAW_DATA!C70&lt;2000000,20,25))))</f>
        <v>20</v>
      </c>
      <c r="M70" s="3">
        <f>IF(RAW_DATA!E70&lt;1,0,IF(RAW_DATA!E70&lt;3,3,IF(RAW_DATA!E70&lt;5,5,IF(RAW_DATA!E70&lt;10,8,10))))</f>
        <v>10</v>
      </c>
      <c r="N70" s="3">
        <f>IF(RAW_DATA!F70&lt;650,0,IF(RAW_DATA!F70&lt;700,8,IF(RAW_DATA!F70&lt;750,15,IF(RAW_DATA!F70&lt;800,20,25))))</f>
        <v>0</v>
      </c>
      <c r="O70" s="3">
        <f>IF(RAW_DATA!G70=0,5,IF(RAW_DATA!G70=1,4,IF(RAW_DATA!G70=2,3,IF(RAW_DATA!G70=3,2,IF(RAW_DATA!G70=4,1,0)))))</f>
        <v>0</v>
      </c>
      <c r="P70" s="3">
        <f>IF(RAW_DATA!K70&gt;=RAW_DATA!H70,20,ROUND((RAW_DATA!K70/RAW_DATA!H70)*20,0))</f>
        <v>20</v>
      </c>
      <c r="Q70" s="3">
        <f>IF(RAW_DATA!L70="No",5,0)</f>
        <v>0</v>
      </c>
      <c r="R70" s="3">
        <f t="shared" si="9"/>
        <v>57</v>
      </c>
      <c r="S70" s="3">
        <f t="shared" si="10"/>
        <v>57</v>
      </c>
      <c r="T70" s="3" t="str">
        <f t="shared" si="11"/>
        <v>Not Scored - Ineligible</v>
      </c>
    </row>
    <row r="71" spans="1:20" x14ac:dyDescent="0.25">
      <c r="A71" s="3" t="str">
        <f>RAW_DATA!A71</f>
        <v>APP070</v>
      </c>
      <c r="B71" s="3" t="b">
        <f>AND(RAW_DATA!B71&gt;=21,RAW_DATA!B71&lt;=60)</f>
        <v>1</v>
      </c>
      <c r="C71" s="3" t="b">
        <f>RAW_DATA!C71&gt;=300000</f>
        <v>1</v>
      </c>
      <c r="D71" s="3" t="b">
        <f>RAW_DATA!F71&gt;=650</f>
        <v>1</v>
      </c>
      <c r="E71" s="3" t="b">
        <f>RAW_DATA!E71&gt;=1</f>
        <v>1</v>
      </c>
      <c r="F71" s="3" t="b">
        <f>RAW_DATA!L71="No"</f>
        <v>1</v>
      </c>
      <c r="G71" s="3" t="b">
        <f t="shared" si="6"/>
        <v>1</v>
      </c>
      <c r="H71" s="3" t="str">
        <f t="shared" si="7"/>
        <v>ELIGIBLE</v>
      </c>
      <c r="I71" s="3" t="str">
        <f t="shared" si="8"/>
        <v/>
      </c>
      <c r="K71" s="3" cm="1">
        <f t="array" ref="K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1" s="5">
        <f>IF(RAW_DATA!C71&lt;300000,0,IF(RAW_DATA!C71&lt;600000,5,IF(RAW_DATA!C71&lt;1200000,15,IF(RAW_DATA!C71&lt;2000000,20,25))))</f>
        <v>15</v>
      </c>
      <c r="M71" s="3">
        <f>IF(RAW_DATA!E71&lt;1,0,IF(RAW_DATA!E71&lt;3,3,IF(RAW_DATA!E71&lt;5,5,IF(RAW_DATA!E71&lt;10,8,10))))</f>
        <v>5</v>
      </c>
      <c r="N71" s="3">
        <f>IF(RAW_DATA!F71&lt;650,0,IF(RAW_DATA!F71&lt;700,8,IF(RAW_DATA!F71&lt;750,15,IF(RAW_DATA!F71&lt;800,20,25))))</f>
        <v>25</v>
      </c>
      <c r="O71" s="3">
        <f>IF(RAW_DATA!G71=0,5,IF(RAW_DATA!G71=1,4,IF(RAW_DATA!G71=2,3,IF(RAW_DATA!G71=3,2,IF(RAW_DATA!G71=4,1,0)))))</f>
        <v>0</v>
      </c>
      <c r="P71" s="3">
        <f>IF(RAW_DATA!K71&gt;=RAW_DATA!H71,20,ROUND((RAW_DATA!K71/RAW_DATA!H71)*20,0))</f>
        <v>20</v>
      </c>
      <c r="Q71" s="3">
        <f>IF(RAW_DATA!L71="No",5,0)</f>
        <v>5</v>
      </c>
      <c r="R71" s="3">
        <f t="shared" si="9"/>
        <v>77</v>
      </c>
      <c r="S71" s="3">
        <f t="shared" si="10"/>
        <v>77</v>
      </c>
      <c r="T71" s="3" t="str">
        <f t="shared" si="11"/>
        <v>Strong</v>
      </c>
    </row>
    <row r="72" spans="1:20" x14ac:dyDescent="0.25">
      <c r="A72" s="3" t="str">
        <f>RAW_DATA!A72</f>
        <v>APP071</v>
      </c>
      <c r="B72" s="3" t="b">
        <f>AND(RAW_DATA!B72&gt;=21,RAW_DATA!B72&lt;=60)</f>
        <v>1</v>
      </c>
      <c r="C72" s="3" t="b">
        <f>RAW_DATA!C72&gt;=300000</f>
        <v>1</v>
      </c>
      <c r="D72" s="3" t="b">
        <f>RAW_DATA!F72&gt;=650</f>
        <v>0</v>
      </c>
      <c r="E72" s="3" t="b">
        <f>RAW_DATA!E72&gt;=1</f>
        <v>1</v>
      </c>
      <c r="F72" s="3" t="b">
        <f>RAW_DATA!L72="No"</f>
        <v>1</v>
      </c>
      <c r="G72" s="3" t="b">
        <f t="shared" si="6"/>
        <v>0</v>
      </c>
      <c r="H72" s="3" t="str">
        <f t="shared" si="7"/>
        <v>INELIGIBLE</v>
      </c>
      <c r="I72" s="3" t="str">
        <f t="shared" si="8"/>
        <v>Credit Score</v>
      </c>
      <c r="K72" s="3" cm="1">
        <f t="array" ref="K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2" s="5">
        <f>IF(RAW_DATA!C72&lt;300000,0,IF(RAW_DATA!C72&lt;600000,5,IF(RAW_DATA!C72&lt;1200000,15,IF(RAW_DATA!C72&lt;2000000,20,25))))</f>
        <v>15</v>
      </c>
      <c r="M72" s="3">
        <f>IF(RAW_DATA!E72&lt;1,0,IF(RAW_DATA!E72&lt;3,3,IF(RAW_DATA!E72&lt;5,5,IF(RAW_DATA!E72&lt;10,8,10))))</f>
        <v>10</v>
      </c>
      <c r="N72" s="3">
        <f>IF(RAW_DATA!F72&lt;650,0,IF(RAW_DATA!F72&lt;700,8,IF(RAW_DATA!F72&lt;750,15,IF(RAW_DATA!F72&lt;800,20,25))))</f>
        <v>0</v>
      </c>
      <c r="O72" s="3">
        <f>IF(RAW_DATA!G72=0,5,IF(RAW_DATA!G72=1,4,IF(RAW_DATA!G72=2,3,IF(RAW_DATA!G72=3,2,IF(RAW_DATA!G72=4,1,0)))))</f>
        <v>0</v>
      </c>
      <c r="P72" s="3">
        <f>IF(RAW_DATA!K72&gt;=RAW_DATA!H72,20,ROUND((RAW_DATA!K72/RAW_DATA!H72)*20,0))</f>
        <v>20</v>
      </c>
      <c r="Q72" s="3">
        <f>IF(RAW_DATA!L72="No",5,0)</f>
        <v>5</v>
      </c>
      <c r="R72" s="3">
        <f t="shared" si="9"/>
        <v>56</v>
      </c>
      <c r="S72" s="3">
        <f t="shared" si="10"/>
        <v>56</v>
      </c>
      <c r="T72" s="3" t="str">
        <f t="shared" si="11"/>
        <v>Not Scored - Ineligible</v>
      </c>
    </row>
    <row r="73" spans="1:20" x14ac:dyDescent="0.25">
      <c r="A73" s="3" t="str">
        <f>RAW_DATA!A73</f>
        <v>APP072</v>
      </c>
      <c r="B73" s="3" t="b">
        <f>AND(RAW_DATA!B73&gt;=21,RAW_DATA!B73&lt;=60)</f>
        <v>1</v>
      </c>
      <c r="C73" s="3" t="b">
        <f>RAW_DATA!C73&gt;=300000</f>
        <v>1</v>
      </c>
      <c r="D73" s="3" t="b">
        <f>RAW_DATA!F73&gt;=650</f>
        <v>1</v>
      </c>
      <c r="E73" s="3" t="b">
        <f>RAW_DATA!E73&gt;=1</f>
        <v>1</v>
      </c>
      <c r="F73" s="3" t="b">
        <f>RAW_DATA!L73="No"</f>
        <v>1</v>
      </c>
      <c r="G73" s="3" t="b">
        <f t="shared" si="6"/>
        <v>1</v>
      </c>
      <c r="H73" s="3" t="str">
        <f t="shared" si="7"/>
        <v>ELIGIBLE</v>
      </c>
      <c r="I73" s="3" t="str">
        <f t="shared" si="8"/>
        <v/>
      </c>
      <c r="K73" s="3" cm="1">
        <f t="array" ref="K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3" s="5">
        <f>IF(RAW_DATA!C73&lt;300000,0,IF(RAW_DATA!C73&lt;600000,5,IF(RAW_DATA!C73&lt;1200000,15,IF(RAW_DATA!C73&lt;2000000,20,25))))</f>
        <v>15</v>
      </c>
      <c r="M73" s="3">
        <f>IF(RAW_DATA!E73&lt;1,0,IF(RAW_DATA!E73&lt;3,3,IF(RAW_DATA!E73&lt;5,5,IF(RAW_DATA!E73&lt;10,8,10))))</f>
        <v>10</v>
      </c>
      <c r="N73" s="3">
        <f>IF(RAW_DATA!F73&lt;650,0,IF(RAW_DATA!F73&lt;700,8,IF(RAW_DATA!F73&lt;750,15,IF(RAW_DATA!F73&lt;800,20,25))))</f>
        <v>25</v>
      </c>
      <c r="O73" s="3">
        <f>IF(RAW_DATA!G73=0,5,IF(RAW_DATA!G73=1,4,IF(RAW_DATA!G73=2,3,IF(RAW_DATA!G73=3,2,IF(RAW_DATA!G73=4,1,0)))))</f>
        <v>4</v>
      </c>
      <c r="P73" s="3">
        <f>IF(RAW_DATA!K73&gt;=RAW_DATA!H73,20,ROUND((RAW_DATA!K73/RAW_DATA!H73)*20,0))</f>
        <v>4</v>
      </c>
      <c r="Q73" s="3">
        <f>IF(RAW_DATA!L73="No",5,0)</f>
        <v>5</v>
      </c>
      <c r="R73" s="3">
        <f t="shared" si="9"/>
        <v>71</v>
      </c>
      <c r="S73" s="3">
        <f t="shared" si="10"/>
        <v>71</v>
      </c>
      <c r="T73" s="3" t="str">
        <f t="shared" si="11"/>
        <v>Strong</v>
      </c>
    </row>
    <row r="74" spans="1:20" x14ac:dyDescent="0.25">
      <c r="A74" s="3" t="str">
        <f>RAW_DATA!A74</f>
        <v>APP073</v>
      </c>
      <c r="B74" s="3" t="b">
        <f>AND(RAW_DATA!B74&gt;=21,RAW_DATA!B74&lt;=60)</f>
        <v>1</v>
      </c>
      <c r="C74" s="3" t="b">
        <f>RAW_DATA!C74&gt;=300000</f>
        <v>0</v>
      </c>
      <c r="D74" s="3" t="b">
        <f>RAW_DATA!F74&gt;=650</f>
        <v>1</v>
      </c>
      <c r="E74" s="3" t="b">
        <f>RAW_DATA!E74&gt;=1</f>
        <v>1</v>
      </c>
      <c r="F74" s="3" t="b">
        <f>RAW_DATA!L74="No"</f>
        <v>1</v>
      </c>
      <c r="G74" s="3" t="b">
        <f t="shared" si="6"/>
        <v>0</v>
      </c>
      <c r="H74" s="3" t="str">
        <f t="shared" si="7"/>
        <v>INELIGIBLE</v>
      </c>
      <c r="I74" s="3" t="str">
        <f t="shared" si="8"/>
        <v>Income</v>
      </c>
      <c r="K74" s="3" cm="1">
        <f t="array" ref="K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4" s="5">
        <f>IF(RAW_DATA!C74&lt;300000,0,IF(RAW_DATA!C74&lt;600000,5,IF(RAW_DATA!C74&lt;1200000,15,IF(RAW_DATA!C74&lt;2000000,20,25))))</f>
        <v>0</v>
      </c>
      <c r="M74" s="3">
        <f>IF(RAW_DATA!E74&lt;1,0,IF(RAW_DATA!E74&lt;3,3,IF(RAW_DATA!E74&lt;5,5,IF(RAW_DATA!E74&lt;10,8,10))))</f>
        <v>3</v>
      </c>
      <c r="N74" s="3">
        <f>IF(RAW_DATA!F74&lt;650,0,IF(RAW_DATA!F74&lt;700,8,IF(RAW_DATA!F74&lt;750,15,IF(RAW_DATA!F74&lt;800,20,25))))</f>
        <v>8</v>
      </c>
      <c r="O74" s="3">
        <f>IF(RAW_DATA!G74=0,5,IF(RAW_DATA!G74=1,4,IF(RAW_DATA!G74=2,3,IF(RAW_DATA!G74=3,2,IF(RAW_DATA!G74=4,1,0)))))</f>
        <v>4</v>
      </c>
      <c r="P74" s="3">
        <f>IF(RAW_DATA!K74&gt;=RAW_DATA!H74,20,ROUND((RAW_DATA!K74/RAW_DATA!H74)*20,0))</f>
        <v>20</v>
      </c>
      <c r="Q74" s="3">
        <f>IF(RAW_DATA!L74="No",5,0)</f>
        <v>5</v>
      </c>
      <c r="R74" s="3">
        <f t="shared" si="9"/>
        <v>46</v>
      </c>
      <c r="S74" s="3">
        <f t="shared" si="10"/>
        <v>46</v>
      </c>
      <c r="T74" s="3" t="str">
        <f t="shared" si="11"/>
        <v>Not Scored - Ineligible</v>
      </c>
    </row>
    <row r="75" spans="1:20" x14ac:dyDescent="0.25">
      <c r="A75" s="3" t="str">
        <f>RAW_DATA!A75</f>
        <v>APP074</v>
      </c>
      <c r="B75" s="3" t="b">
        <f>AND(RAW_DATA!B75&gt;=21,RAW_DATA!B75&lt;=60)</f>
        <v>1</v>
      </c>
      <c r="C75" s="3" t="b">
        <f>RAW_DATA!C75&gt;=300000</f>
        <v>1</v>
      </c>
      <c r="D75" s="3" t="b">
        <f>RAW_DATA!F75&gt;=650</f>
        <v>0</v>
      </c>
      <c r="E75" s="3" t="b">
        <f>RAW_DATA!E75&gt;=1</f>
        <v>1</v>
      </c>
      <c r="F75" s="3" t="b">
        <f>RAW_DATA!L75="No"</f>
        <v>1</v>
      </c>
      <c r="G75" s="3" t="b">
        <f t="shared" si="6"/>
        <v>0</v>
      </c>
      <c r="H75" s="3" t="str">
        <f t="shared" si="7"/>
        <v>INELIGIBLE</v>
      </c>
      <c r="I75" s="3" t="str">
        <f t="shared" si="8"/>
        <v>Credit Score</v>
      </c>
      <c r="K75" s="3" cm="1">
        <f t="array" ref="K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5" s="5">
        <f>IF(RAW_DATA!C75&lt;300000,0,IF(RAW_DATA!C75&lt;600000,5,IF(RAW_DATA!C75&lt;1200000,15,IF(RAW_DATA!C75&lt;2000000,20,25))))</f>
        <v>15</v>
      </c>
      <c r="M75" s="3">
        <f>IF(RAW_DATA!E75&lt;1,0,IF(RAW_DATA!E75&lt;3,3,IF(RAW_DATA!E75&lt;5,5,IF(RAW_DATA!E75&lt;10,8,10))))</f>
        <v>10</v>
      </c>
      <c r="N75" s="3">
        <f>IF(RAW_DATA!F75&lt;650,0,IF(RAW_DATA!F75&lt;700,8,IF(RAW_DATA!F75&lt;750,15,IF(RAW_DATA!F75&lt;800,20,25))))</f>
        <v>0</v>
      </c>
      <c r="O75" s="3">
        <f>IF(RAW_DATA!G75=0,5,IF(RAW_DATA!G75=1,4,IF(RAW_DATA!G75=2,3,IF(RAW_DATA!G75=3,2,IF(RAW_DATA!G75=4,1,0)))))</f>
        <v>1</v>
      </c>
      <c r="P75" s="3">
        <f>IF(RAW_DATA!K75&gt;=RAW_DATA!H75,20,ROUND((RAW_DATA!K75/RAW_DATA!H75)*20,0))</f>
        <v>20</v>
      </c>
      <c r="Q75" s="3">
        <f>IF(RAW_DATA!L75="No",5,0)</f>
        <v>5</v>
      </c>
      <c r="R75" s="3">
        <f t="shared" si="9"/>
        <v>58</v>
      </c>
      <c r="S75" s="3">
        <f t="shared" si="10"/>
        <v>58</v>
      </c>
      <c r="T75" s="3" t="str">
        <f t="shared" si="11"/>
        <v>Not Scored - Ineligible</v>
      </c>
    </row>
    <row r="76" spans="1:20" x14ac:dyDescent="0.25">
      <c r="A76" s="3" t="str">
        <f>RAW_DATA!A76</f>
        <v>APP075</v>
      </c>
      <c r="B76" s="3" t="b">
        <f>AND(RAW_DATA!B76&gt;=21,RAW_DATA!B76&lt;=60)</f>
        <v>1</v>
      </c>
      <c r="C76" s="3" t="b">
        <f>RAW_DATA!C76&gt;=300000</f>
        <v>1</v>
      </c>
      <c r="D76" s="3" t="b">
        <f>RAW_DATA!F76&gt;=650</f>
        <v>0</v>
      </c>
      <c r="E76" s="3" t="b">
        <f>RAW_DATA!E76&gt;=1</f>
        <v>1</v>
      </c>
      <c r="F76" s="3" t="b">
        <f>RAW_DATA!L76="No"</f>
        <v>1</v>
      </c>
      <c r="G76" s="3" t="b">
        <f t="shared" si="6"/>
        <v>0</v>
      </c>
      <c r="H76" s="3" t="str">
        <f t="shared" si="7"/>
        <v>INELIGIBLE</v>
      </c>
      <c r="I76" s="3" t="str">
        <f t="shared" si="8"/>
        <v>Credit Score</v>
      </c>
      <c r="K76" s="3" cm="1">
        <f t="array" ref="K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76" s="5">
        <f>IF(RAW_DATA!C76&lt;300000,0,IF(RAW_DATA!C76&lt;600000,5,IF(RAW_DATA!C76&lt;1200000,15,IF(RAW_DATA!C76&lt;2000000,20,25))))</f>
        <v>20</v>
      </c>
      <c r="M76" s="3">
        <f>IF(RAW_DATA!E76&lt;1,0,IF(RAW_DATA!E76&lt;3,3,IF(RAW_DATA!E76&lt;5,5,IF(RAW_DATA!E76&lt;10,8,10))))</f>
        <v>10</v>
      </c>
      <c r="N76" s="3">
        <f>IF(RAW_DATA!F76&lt;650,0,IF(RAW_DATA!F76&lt;700,8,IF(RAW_DATA!F76&lt;750,15,IF(RAW_DATA!F76&lt;800,20,25))))</f>
        <v>0</v>
      </c>
      <c r="O76" s="3">
        <f>IF(RAW_DATA!G76=0,5,IF(RAW_DATA!G76=1,4,IF(RAW_DATA!G76=2,3,IF(RAW_DATA!G76=3,2,IF(RAW_DATA!G76=4,1,0)))))</f>
        <v>1</v>
      </c>
      <c r="P76" s="3">
        <f>IF(RAW_DATA!K76&gt;=RAW_DATA!H76,20,ROUND((RAW_DATA!K76/RAW_DATA!H76)*20,0))</f>
        <v>20</v>
      </c>
      <c r="Q76" s="3">
        <f>IF(RAW_DATA!L76="No",5,0)</f>
        <v>5</v>
      </c>
      <c r="R76" s="3">
        <f t="shared" si="9"/>
        <v>60</v>
      </c>
      <c r="S76" s="3">
        <f t="shared" si="10"/>
        <v>60</v>
      </c>
      <c r="T76" s="3" t="str">
        <f t="shared" si="11"/>
        <v>Not Scored - Ineligible</v>
      </c>
    </row>
    <row r="77" spans="1:20" x14ac:dyDescent="0.25">
      <c r="A77" s="3" t="str">
        <f>RAW_DATA!A77</f>
        <v>APP076</v>
      </c>
      <c r="B77" s="3" t="b">
        <f>AND(RAW_DATA!B77&gt;=21,RAW_DATA!B77&lt;=60)</f>
        <v>1</v>
      </c>
      <c r="C77" s="3" t="b">
        <f>RAW_DATA!C77&gt;=300000</f>
        <v>1</v>
      </c>
      <c r="D77" s="3" t="b">
        <f>RAW_DATA!F77&gt;=650</f>
        <v>1</v>
      </c>
      <c r="E77" s="3" t="b">
        <f>RAW_DATA!E77&gt;=1</f>
        <v>1</v>
      </c>
      <c r="F77" s="3" t="b">
        <f>RAW_DATA!L77="No"</f>
        <v>1</v>
      </c>
      <c r="G77" s="3" t="b">
        <f t="shared" si="6"/>
        <v>1</v>
      </c>
      <c r="H77" s="3" t="str">
        <f t="shared" si="7"/>
        <v>ELIGIBLE</v>
      </c>
      <c r="I77" s="3" t="str">
        <f t="shared" si="8"/>
        <v/>
      </c>
      <c r="K77" s="3" cm="1">
        <f t="array" ref="K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7" s="5">
        <f>IF(RAW_DATA!C77&lt;300000,0,IF(RAW_DATA!C77&lt;600000,5,IF(RAW_DATA!C77&lt;1200000,15,IF(RAW_DATA!C77&lt;2000000,20,25))))</f>
        <v>5</v>
      </c>
      <c r="M77" s="3">
        <f>IF(RAW_DATA!E77&lt;1,0,IF(RAW_DATA!E77&lt;3,3,IF(RAW_DATA!E77&lt;5,5,IF(RAW_DATA!E77&lt;10,8,10))))</f>
        <v>10</v>
      </c>
      <c r="N77" s="3">
        <f>IF(RAW_DATA!F77&lt;650,0,IF(RAW_DATA!F77&lt;700,8,IF(RAW_DATA!F77&lt;750,15,IF(RAW_DATA!F77&lt;800,20,25))))</f>
        <v>15</v>
      </c>
      <c r="O77" s="3">
        <f>IF(RAW_DATA!G77=0,5,IF(RAW_DATA!G77=1,4,IF(RAW_DATA!G77=2,3,IF(RAW_DATA!G77=3,2,IF(RAW_DATA!G77=4,1,0)))))</f>
        <v>5</v>
      </c>
      <c r="P77" s="3">
        <f>IF(RAW_DATA!K77&gt;=RAW_DATA!H77,20,ROUND((RAW_DATA!K77/RAW_DATA!H77)*20,0))</f>
        <v>20</v>
      </c>
      <c r="Q77" s="3">
        <f>IF(RAW_DATA!L77="No",5,0)</f>
        <v>5</v>
      </c>
      <c r="R77" s="3">
        <f t="shared" si="9"/>
        <v>68</v>
      </c>
      <c r="S77" s="3">
        <f t="shared" si="10"/>
        <v>68</v>
      </c>
      <c r="T77" s="3" t="str">
        <f t="shared" si="11"/>
        <v>Moderate</v>
      </c>
    </row>
    <row r="78" spans="1:20" x14ac:dyDescent="0.25">
      <c r="A78" s="3" t="str">
        <f>RAW_DATA!A78</f>
        <v>APP077</v>
      </c>
      <c r="B78" s="3" t="b">
        <f>AND(RAW_DATA!B78&gt;=21,RAW_DATA!B78&lt;=60)</f>
        <v>1</v>
      </c>
      <c r="C78" s="3" t="b">
        <f>RAW_DATA!C78&gt;=300000</f>
        <v>1</v>
      </c>
      <c r="D78" s="3" t="b">
        <f>RAW_DATA!F78&gt;=650</f>
        <v>1</v>
      </c>
      <c r="E78" s="3" t="b">
        <f>RAW_DATA!E78&gt;=1</f>
        <v>1</v>
      </c>
      <c r="F78" s="3" t="b">
        <f>RAW_DATA!L78="No"</f>
        <v>1</v>
      </c>
      <c r="G78" s="3" t="b">
        <f t="shared" si="6"/>
        <v>1</v>
      </c>
      <c r="H78" s="3" t="str">
        <f t="shared" si="7"/>
        <v>ELIGIBLE</v>
      </c>
      <c r="I78" s="3" t="str">
        <f t="shared" si="8"/>
        <v/>
      </c>
      <c r="K78" s="3" cm="1">
        <f t="array" ref="K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8" s="5">
        <f>IF(RAW_DATA!C78&lt;300000,0,IF(RAW_DATA!C78&lt;600000,5,IF(RAW_DATA!C78&lt;1200000,15,IF(RAW_DATA!C78&lt;2000000,20,25))))</f>
        <v>25</v>
      </c>
      <c r="M78" s="3">
        <f>IF(RAW_DATA!E78&lt;1,0,IF(RAW_DATA!E78&lt;3,3,IF(RAW_DATA!E78&lt;5,5,IF(RAW_DATA!E78&lt;10,8,10))))</f>
        <v>10</v>
      </c>
      <c r="N78" s="3">
        <f>IF(RAW_DATA!F78&lt;650,0,IF(RAW_DATA!F78&lt;700,8,IF(RAW_DATA!F78&lt;750,15,IF(RAW_DATA!F78&lt;800,20,25))))</f>
        <v>25</v>
      </c>
      <c r="O78" s="3">
        <f>IF(RAW_DATA!G78=0,5,IF(RAW_DATA!G78=1,4,IF(RAW_DATA!G78=2,3,IF(RAW_DATA!G78=3,2,IF(RAW_DATA!G78=4,1,0)))))</f>
        <v>4</v>
      </c>
      <c r="P78" s="3">
        <f>IF(RAW_DATA!K78&gt;=RAW_DATA!H78,20,ROUND((RAW_DATA!K78/RAW_DATA!H78)*20,0))</f>
        <v>20</v>
      </c>
      <c r="Q78" s="3">
        <f>IF(RAW_DATA!L78="No",5,0)</f>
        <v>5</v>
      </c>
      <c r="R78" s="3">
        <f t="shared" si="9"/>
        <v>99</v>
      </c>
      <c r="S78" s="3">
        <f t="shared" si="10"/>
        <v>99</v>
      </c>
      <c r="T78" s="3" t="str">
        <f t="shared" si="11"/>
        <v>Strong</v>
      </c>
    </row>
    <row r="79" spans="1:20" x14ac:dyDescent="0.25">
      <c r="A79" s="3" t="str">
        <f>RAW_DATA!A79</f>
        <v>APP078</v>
      </c>
      <c r="B79" s="3" t="b">
        <f>AND(RAW_DATA!B79&gt;=21,RAW_DATA!B79&lt;=60)</f>
        <v>1</v>
      </c>
      <c r="C79" s="3" t="b">
        <f>RAW_DATA!C79&gt;=300000</f>
        <v>1</v>
      </c>
      <c r="D79" s="3" t="b">
        <f>RAW_DATA!F79&gt;=650</f>
        <v>0</v>
      </c>
      <c r="E79" s="3" t="b">
        <f>RAW_DATA!E79&gt;=1</f>
        <v>1</v>
      </c>
      <c r="F79" s="3" t="b">
        <f>RAW_DATA!L79="No"</f>
        <v>1</v>
      </c>
      <c r="G79" s="3" t="b">
        <f t="shared" si="6"/>
        <v>0</v>
      </c>
      <c r="H79" s="3" t="str">
        <f t="shared" si="7"/>
        <v>INELIGIBLE</v>
      </c>
      <c r="I79" s="3" t="str">
        <f t="shared" si="8"/>
        <v>Credit Score</v>
      </c>
      <c r="K79" s="3" cm="1">
        <f t="array" ref="K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9" s="5">
        <f>IF(RAW_DATA!C79&lt;300000,0,IF(RAW_DATA!C79&lt;600000,5,IF(RAW_DATA!C79&lt;1200000,15,IF(RAW_DATA!C79&lt;2000000,20,25))))</f>
        <v>5</v>
      </c>
      <c r="M79" s="3">
        <f>IF(RAW_DATA!E79&lt;1,0,IF(RAW_DATA!E79&lt;3,3,IF(RAW_DATA!E79&lt;5,5,IF(RAW_DATA!E79&lt;10,8,10))))</f>
        <v>8</v>
      </c>
      <c r="N79" s="3">
        <f>IF(RAW_DATA!F79&lt;650,0,IF(RAW_DATA!F79&lt;700,8,IF(RAW_DATA!F79&lt;750,15,IF(RAW_DATA!F79&lt;800,20,25))))</f>
        <v>0</v>
      </c>
      <c r="O79" s="3">
        <f>IF(RAW_DATA!G79=0,5,IF(RAW_DATA!G79=1,4,IF(RAW_DATA!G79=2,3,IF(RAW_DATA!G79=3,2,IF(RAW_DATA!G79=4,1,0)))))</f>
        <v>1</v>
      </c>
      <c r="P79" s="3">
        <f>IF(RAW_DATA!K79&gt;=RAW_DATA!H79,20,ROUND((RAW_DATA!K79/RAW_DATA!H79)*20,0))</f>
        <v>20</v>
      </c>
      <c r="Q79" s="3">
        <f>IF(RAW_DATA!L79="No",5,0)</f>
        <v>5</v>
      </c>
      <c r="R79" s="3">
        <f t="shared" si="9"/>
        <v>45</v>
      </c>
      <c r="S79" s="3">
        <f t="shared" si="10"/>
        <v>45</v>
      </c>
      <c r="T79" s="3" t="str">
        <f t="shared" si="11"/>
        <v>Not Scored - Ineligible</v>
      </c>
    </row>
    <row r="80" spans="1:20" x14ac:dyDescent="0.25">
      <c r="A80" s="3" t="str">
        <f>RAW_DATA!A80</f>
        <v>APP079</v>
      </c>
      <c r="B80" s="3" t="b">
        <f>AND(RAW_DATA!B80&gt;=21,RAW_DATA!B80&lt;=60)</f>
        <v>1</v>
      </c>
      <c r="C80" s="3" t="b">
        <f>RAW_DATA!C80&gt;=300000</f>
        <v>1</v>
      </c>
      <c r="D80" s="3" t="b">
        <f>RAW_DATA!F80&gt;=650</f>
        <v>1</v>
      </c>
      <c r="E80" s="3" t="b">
        <f>RAW_DATA!E80&gt;=1</f>
        <v>1</v>
      </c>
      <c r="F80" s="3" t="b">
        <f>RAW_DATA!L80="No"</f>
        <v>1</v>
      </c>
      <c r="G80" s="3" t="b">
        <f t="shared" si="6"/>
        <v>1</v>
      </c>
      <c r="H80" s="3" t="str">
        <f t="shared" si="7"/>
        <v>ELIGIBLE</v>
      </c>
      <c r="I80" s="3" t="str">
        <f t="shared" si="8"/>
        <v/>
      </c>
      <c r="K80" s="3" cm="1">
        <f t="array" ref="K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0" s="5">
        <f>IF(RAW_DATA!C80&lt;300000,0,IF(RAW_DATA!C80&lt;600000,5,IF(RAW_DATA!C80&lt;1200000,15,IF(RAW_DATA!C80&lt;2000000,20,25))))</f>
        <v>20</v>
      </c>
      <c r="M80" s="3">
        <f>IF(RAW_DATA!E80&lt;1,0,IF(RAW_DATA!E80&lt;3,3,IF(RAW_DATA!E80&lt;5,5,IF(RAW_DATA!E80&lt;10,8,10))))</f>
        <v>10</v>
      </c>
      <c r="N80" s="3">
        <f>IF(RAW_DATA!F80&lt;650,0,IF(RAW_DATA!F80&lt;700,8,IF(RAW_DATA!F80&lt;750,15,IF(RAW_DATA!F80&lt;800,20,25))))</f>
        <v>20</v>
      </c>
      <c r="O80" s="3">
        <f>IF(RAW_DATA!G80=0,5,IF(RAW_DATA!G80=1,4,IF(RAW_DATA!G80=2,3,IF(RAW_DATA!G80=3,2,IF(RAW_DATA!G80=4,1,0)))))</f>
        <v>2</v>
      </c>
      <c r="P80" s="3">
        <f>IF(RAW_DATA!K80&gt;=RAW_DATA!H80,20,ROUND((RAW_DATA!K80/RAW_DATA!H80)*20,0))</f>
        <v>16</v>
      </c>
      <c r="Q80" s="3">
        <f>IF(RAW_DATA!L80="No",5,0)</f>
        <v>5</v>
      </c>
      <c r="R80" s="3">
        <f t="shared" si="9"/>
        <v>80</v>
      </c>
      <c r="S80" s="3">
        <f t="shared" si="10"/>
        <v>80</v>
      </c>
      <c r="T80" s="3" t="str">
        <f t="shared" si="11"/>
        <v>Strong</v>
      </c>
    </row>
    <row r="81" spans="1:20" x14ac:dyDescent="0.25">
      <c r="A81" s="3" t="str">
        <f>RAW_DATA!A81</f>
        <v>APP080</v>
      </c>
      <c r="B81" s="3" t="b">
        <f>AND(RAW_DATA!B81&gt;=21,RAW_DATA!B81&lt;=60)</f>
        <v>1</v>
      </c>
      <c r="C81" s="3" t="b">
        <f>RAW_DATA!C81&gt;=300000</f>
        <v>1</v>
      </c>
      <c r="D81" s="3" t="b">
        <f>RAW_DATA!F81&gt;=650</f>
        <v>1</v>
      </c>
      <c r="E81" s="3" t="b">
        <f>RAW_DATA!E81&gt;=1</f>
        <v>1</v>
      </c>
      <c r="F81" s="3" t="b">
        <f>RAW_DATA!L81="No"</f>
        <v>1</v>
      </c>
      <c r="G81" s="3" t="b">
        <f t="shared" si="6"/>
        <v>1</v>
      </c>
      <c r="H81" s="3" t="str">
        <f t="shared" si="7"/>
        <v>ELIGIBLE</v>
      </c>
      <c r="I81" s="3" t="str">
        <f t="shared" si="8"/>
        <v/>
      </c>
      <c r="K81" s="3" cm="1">
        <f t="array" ref="K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81" s="5">
        <f>IF(RAW_DATA!C81&lt;300000,0,IF(RAW_DATA!C81&lt;600000,5,IF(RAW_DATA!C81&lt;1200000,15,IF(RAW_DATA!C81&lt;2000000,20,25))))</f>
        <v>25</v>
      </c>
      <c r="M81" s="3">
        <f>IF(RAW_DATA!E81&lt;1,0,IF(RAW_DATA!E81&lt;3,3,IF(RAW_DATA!E81&lt;5,5,IF(RAW_DATA!E81&lt;10,8,10))))</f>
        <v>10</v>
      </c>
      <c r="N81" s="3">
        <f>IF(RAW_DATA!F81&lt;650,0,IF(RAW_DATA!F81&lt;700,8,IF(RAW_DATA!F81&lt;750,15,IF(RAW_DATA!F81&lt;800,20,25))))</f>
        <v>25</v>
      </c>
      <c r="O81" s="3">
        <f>IF(RAW_DATA!G81=0,5,IF(RAW_DATA!G81=1,4,IF(RAW_DATA!G81=2,3,IF(RAW_DATA!G81=3,2,IF(RAW_DATA!G81=4,1,0)))))</f>
        <v>0</v>
      </c>
      <c r="P81" s="3">
        <f>IF(RAW_DATA!K81&gt;=RAW_DATA!H81,20,ROUND((RAW_DATA!K81/RAW_DATA!H81)*20,0))</f>
        <v>20</v>
      </c>
      <c r="Q81" s="3">
        <f>IF(RAW_DATA!L81="No",5,0)</f>
        <v>5</v>
      </c>
      <c r="R81" s="3">
        <f t="shared" si="9"/>
        <v>91</v>
      </c>
      <c r="S81" s="3">
        <f t="shared" si="10"/>
        <v>91</v>
      </c>
      <c r="T81" s="3" t="str">
        <f t="shared" si="11"/>
        <v>Strong</v>
      </c>
    </row>
    <row r="82" spans="1:20" x14ac:dyDescent="0.25">
      <c r="A82" s="3" t="str">
        <f>RAW_DATA!A82</f>
        <v>APP081</v>
      </c>
      <c r="B82" s="3" t="b">
        <f>AND(RAW_DATA!B82&gt;=21,RAW_DATA!B82&lt;=60)</f>
        <v>1</v>
      </c>
      <c r="C82" s="3" t="b">
        <f>RAW_DATA!C82&gt;=300000</f>
        <v>1</v>
      </c>
      <c r="D82" s="3" t="b">
        <f>RAW_DATA!F82&gt;=650</f>
        <v>1</v>
      </c>
      <c r="E82" s="3" t="b">
        <f>RAW_DATA!E82&gt;=1</f>
        <v>1</v>
      </c>
      <c r="F82" s="3" t="b">
        <f>RAW_DATA!L82="No"</f>
        <v>0</v>
      </c>
      <c r="G82" s="3" t="b">
        <f t="shared" si="6"/>
        <v>0</v>
      </c>
      <c r="H82" s="3" t="str">
        <f t="shared" si="7"/>
        <v>INELIGIBLE</v>
      </c>
      <c r="I82" s="3" t="str">
        <f t="shared" si="8"/>
        <v>Defaulter History</v>
      </c>
      <c r="K82" s="3" cm="1">
        <f t="array" ref="K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2" s="5">
        <f>IF(RAW_DATA!C82&lt;300000,0,IF(RAW_DATA!C82&lt;600000,5,IF(RAW_DATA!C82&lt;1200000,15,IF(RAW_DATA!C82&lt;2000000,20,25))))</f>
        <v>20</v>
      </c>
      <c r="M82" s="3">
        <f>IF(RAW_DATA!E82&lt;1,0,IF(RAW_DATA!E82&lt;3,3,IF(RAW_DATA!E82&lt;5,5,IF(RAW_DATA!E82&lt;10,8,10))))</f>
        <v>10</v>
      </c>
      <c r="N82" s="3">
        <f>IF(RAW_DATA!F82&lt;650,0,IF(RAW_DATA!F82&lt;700,8,IF(RAW_DATA!F82&lt;750,15,IF(RAW_DATA!F82&lt;800,20,25))))</f>
        <v>25</v>
      </c>
      <c r="O82" s="3">
        <f>IF(RAW_DATA!G82=0,5,IF(RAW_DATA!G82=1,4,IF(RAW_DATA!G82=2,3,IF(RAW_DATA!G82=3,2,IF(RAW_DATA!G82=4,1,0)))))</f>
        <v>3</v>
      </c>
      <c r="P82" s="3">
        <f>IF(RAW_DATA!K82&gt;=RAW_DATA!H82,20,ROUND((RAW_DATA!K82/RAW_DATA!H82)*20,0))</f>
        <v>9</v>
      </c>
      <c r="Q82" s="3">
        <f>IF(RAW_DATA!L82="No",5,0)</f>
        <v>0</v>
      </c>
      <c r="R82" s="3">
        <f t="shared" si="9"/>
        <v>77</v>
      </c>
      <c r="S82" s="3">
        <f t="shared" si="10"/>
        <v>77</v>
      </c>
      <c r="T82" s="3" t="str">
        <f t="shared" si="11"/>
        <v>Not Scored - Ineligible</v>
      </c>
    </row>
    <row r="83" spans="1:20" x14ac:dyDescent="0.25">
      <c r="A83" s="3" t="str">
        <f>RAW_DATA!A83</f>
        <v>APP082</v>
      </c>
      <c r="B83" s="3" t="b">
        <f>AND(RAW_DATA!B83&gt;=21,RAW_DATA!B83&lt;=60)</f>
        <v>1</v>
      </c>
      <c r="C83" s="3" t="b">
        <f>RAW_DATA!C83&gt;=300000</f>
        <v>1</v>
      </c>
      <c r="D83" s="3" t="b">
        <f>RAW_DATA!F83&gt;=650</f>
        <v>0</v>
      </c>
      <c r="E83" s="3" t="b">
        <f>RAW_DATA!E83&gt;=1</f>
        <v>1</v>
      </c>
      <c r="F83" s="3" t="b">
        <f>RAW_DATA!L83="No"</f>
        <v>1</v>
      </c>
      <c r="G83" s="3" t="b">
        <f t="shared" si="6"/>
        <v>0</v>
      </c>
      <c r="H83" s="3" t="str">
        <f t="shared" si="7"/>
        <v>INELIGIBLE</v>
      </c>
      <c r="I83" s="3" t="str">
        <f t="shared" si="8"/>
        <v>Credit Score</v>
      </c>
      <c r="K83" s="3" cm="1">
        <f t="array" ref="K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3" s="5">
        <f>IF(RAW_DATA!C83&lt;300000,0,IF(RAW_DATA!C83&lt;600000,5,IF(RAW_DATA!C83&lt;1200000,15,IF(RAW_DATA!C83&lt;2000000,20,25))))</f>
        <v>20</v>
      </c>
      <c r="M83" s="3">
        <f>IF(RAW_DATA!E83&lt;1,0,IF(RAW_DATA!E83&lt;3,3,IF(RAW_DATA!E83&lt;5,5,IF(RAW_DATA!E83&lt;10,8,10))))</f>
        <v>10</v>
      </c>
      <c r="N83" s="3">
        <f>IF(RAW_DATA!F83&lt;650,0,IF(RAW_DATA!F83&lt;700,8,IF(RAW_DATA!F83&lt;750,15,IF(RAW_DATA!F83&lt;800,20,25))))</f>
        <v>0</v>
      </c>
      <c r="O83" s="3">
        <f>IF(RAW_DATA!G83=0,5,IF(RAW_DATA!G83=1,4,IF(RAW_DATA!G83=2,3,IF(RAW_DATA!G83=3,2,IF(RAW_DATA!G83=4,1,0)))))</f>
        <v>2</v>
      </c>
      <c r="P83" s="3">
        <f>IF(RAW_DATA!K83&gt;=RAW_DATA!H83,20,ROUND((RAW_DATA!K83/RAW_DATA!H83)*20,0))</f>
        <v>20</v>
      </c>
      <c r="Q83" s="3">
        <f>IF(RAW_DATA!L83="No",5,0)</f>
        <v>5</v>
      </c>
      <c r="R83" s="3">
        <f t="shared" si="9"/>
        <v>61</v>
      </c>
      <c r="S83" s="3">
        <f t="shared" si="10"/>
        <v>61</v>
      </c>
      <c r="T83" s="3" t="str">
        <f t="shared" si="11"/>
        <v>Not Scored - Ineligible</v>
      </c>
    </row>
    <row r="84" spans="1:20" x14ac:dyDescent="0.25">
      <c r="A84" s="3" t="str">
        <f>RAW_DATA!A84</f>
        <v>APP083</v>
      </c>
      <c r="B84" s="3" t="b">
        <f>AND(RAW_DATA!B84&gt;=21,RAW_DATA!B84&lt;=60)</f>
        <v>1</v>
      </c>
      <c r="C84" s="3" t="b">
        <f>RAW_DATA!C84&gt;=300000</f>
        <v>1</v>
      </c>
      <c r="D84" s="3" t="b">
        <f>RAW_DATA!F84&gt;=650</f>
        <v>0</v>
      </c>
      <c r="E84" s="3" t="b">
        <f>RAW_DATA!E84&gt;=1</f>
        <v>1</v>
      </c>
      <c r="F84" s="3" t="b">
        <f>RAW_DATA!L84="No"</f>
        <v>1</v>
      </c>
      <c r="G84" s="3" t="b">
        <f t="shared" si="6"/>
        <v>0</v>
      </c>
      <c r="H84" s="3" t="str">
        <f t="shared" si="7"/>
        <v>INELIGIBLE</v>
      </c>
      <c r="I84" s="3" t="str">
        <f t="shared" si="8"/>
        <v>Credit Score</v>
      </c>
      <c r="K84" s="3" cm="1">
        <f t="array" ref="K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4" s="5">
        <f>IF(RAW_DATA!C84&lt;300000,0,IF(RAW_DATA!C84&lt;600000,5,IF(RAW_DATA!C84&lt;1200000,15,IF(RAW_DATA!C84&lt;2000000,20,25))))</f>
        <v>25</v>
      </c>
      <c r="M84" s="3">
        <f>IF(RAW_DATA!E84&lt;1,0,IF(RAW_DATA!E84&lt;3,3,IF(RAW_DATA!E84&lt;5,5,IF(RAW_DATA!E84&lt;10,8,10))))</f>
        <v>10</v>
      </c>
      <c r="N84" s="3">
        <f>IF(RAW_DATA!F84&lt;650,0,IF(RAW_DATA!F84&lt;700,8,IF(RAW_DATA!F84&lt;750,15,IF(RAW_DATA!F84&lt;800,20,25))))</f>
        <v>0</v>
      </c>
      <c r="O84" s="3">
        <f>IF(RAW_DATA!G84=0,5,IF(RAW_DATA!G84=1,4,IF(RAW_DATA!G84=2,3,IF(RAW_DATA!G84=3,2,IF(RAW_DATA!G84=4,1,0)))))</f>
        <v>1</v>
      </c>
      <c r="P84" s="3">
        <f>IF(RAW_DATA!K84&gt;=RAW_DATA!H84,20,ROUND((RAW_DATA!K84/RAW_DATA!H84)*20,0))</f>
        <v>20</v>
      </c>
      <c r="Q84" s="3">
        <f>IF(RAW_DATA!L84="No",5,0)</f>
        <v>5</v>
      </c>
      <c r="R84" s="3">
        <f t="shared" si="9"/>
        <v>68</v>
      </c>
      <c r="S84" s="3">
        <f t="shared" si="10"/>
        <v>68</v>
      </c>
      <c r="T84" s="3" t="str">
        <f t="shared" si="11"/>
        <v>Not Scored - Ineligible</v>
      </c>
    </row>
    <row r="85" spans="1:20" x14ac:dyDescent="0.25">
      <c r="A85" s="3" t="str">
        <f>RAW_DATA!A85</f>
        <v>APP084</v>
      </c>
      <c r="B85" s="3" t="b">
        <f>AND(RAW_DATA!B85&gt;=21,RAW_DATA!B85&lt;=60)</f>
        <v>1</v>
      </c>
      <c r="C85" s="3" t="b">
        <f>RAW_DATA!C85&gt;=300000</f>
        <v>0</v>
      </c>
      <c r="D85" s="3" t="b">
        <f>RAW_DATA!F85&gt;=650</f>
        <v>1</v>
      </c>
      <c r="E85" s="3" t="b">
        <f>RAW_DATA!E85&gt;=1</f>
        <v>1</v>
      </c>
      <c r="F85" s="3" t="b">
        <f>RAW_DATA!L85="No"</f>
        <v>1</v>
      </c>
      <c r="G85" s="3" t="b">
        <f t="shared" si="6"/>
        <v>0</v>
      </c>
      <c r="H85" s="3" t="str">
        <f t="shared" si="7"/>
        <v>INELIGIBLE</v>
      </c>
      <c r="I85" s="3" t="str">
        <f t="shared" si="8"/>
        <v>Income</v>
      </c>
      <c r="K85" s="3" cm="1">
        <f t="array" ref="K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5" s="5">
        <f>IF(RAW_DATA!C85&lt;300000,0,IF(RAW_DATA!C85&lt;600000,5,IF(RAW_DATA!C85&lt;1200000,15,IF(RAW_DATA!C85&lt;2000000,20,25))))</f>
        <v>0</v>
      </c>
      <c r="M85" s="3">
        <f>IF(RAW_DATA!E85&lt;1,0,IF(RAW_DATA!E85&lt;3,3,IF(RAW_DATA!E85&lt;5,5,IF(RAW_DATA!E85&lt;10,8,10))))</f>
        <v>8</v>
      </c>
      <c r="N85" s="3">
        <f>IF(RAW_DATA!F85&lt;650,0,IF(RAW_DATA!F85&lt;700,8,IF(RAW_DATA!F85&lt;750,15,IF(RAW_DATA!F85&lt;800,20,25))))</f>
        <v>15</v>
      </c>
      <c r="O85" s="3">
        <f>IF(RAW_DATA!G85=0,5,IF(RAW_DATA!G85=1,4,IF(RAW_DATA!G85=2,3,IF(RAW_DATA!G85=3,2,IF(RAW_DATA!G85=4,1,0)))))</f>
        <v>2</v>
      </c>
      <c r="P85" s="3">
        <f>IF(RAW_DATA!K85&gt;=RAW_DATA!H85,20,ROUND((RAW_DATA!K85/RAW_DATA!H85)*20,0))</f>
        <v>14</v>
      </c>
      <c r="Q85" s="3">
        <f>IF(RAW_DATA!L85="No",5,0)</f>
        <v>5</v>
      </c>
      <c r="R85" s="3">
        <f t="shared" si="9"/>
        <v>52</v>
      </c>
      <c r="S85" s="3">
        <f t="shared" si="10"/>
        <v>52</v>
      </c>
      <c r="T85" s="3" t="str">
        <f t="shared" si="11"/>
        <v>Not Scored - Ineligible</v>
      </c>
    </row>
    <row r="86" spans="1:20" x14ac:dyDescent="0.25">
      <c r="A86" s="3" t="str">
        <f>RAW_DATA!A86</f>
        <v>APP085</v>
      </c>
      <c r="B86" s="3" t="b">
        <f>AND(RAW_DATA!B86&gt;=21,RAW_DATA!B86&lt;=60)</f>
        <v>0</v>
      </c>
      <c r="C86" s="3" t="b">
        <f>RAW_DATA!C86&gt;=300000</f>
        <v>1</v>
      </c>
      <c r="D86" s="3" t="b">
        <f>RAW_DATA!F86&gt;=650</f>
        <v>0</v>
      </c>
      <c r="E86" s="3" t="b">
        <f>RAW_DATA!E86&gt;=1</f>
        <v>1</v>
      </c>
      <c r="F86" s="3" t="b">
        <f>RAW_DATA!L86="No"</f>
        <v>1</v>
      </c>
      <c r="G86" s="3" t="b">
        <f t="shared" si="6"/>
        <v>0</v>
      </c>
      <c r="H86" s="3" t="str">
        <f t="shared" si="7"/>
        <v>INELIGIBLE</v>
      </c>
      <c r="I86" s="3" t="str">
        <f t="shared" si="8"/>
        <v>Age, Credit Score</v>
      </c>
      <c r="K86" s="3" cm="1">
        <f t="array" ref="K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86" s="5">
        <f>IF(RAW_DATA!C86&lt;300000,0,IF(RAW_DATA!C86&lt;600000,5,IF(RAW_DATA!C86&lt;1200000,15,IF(RAW_DATA!C86&lt;2000000,20,25))))</f>
        <v>20</v>
      </c>
      <c r="M86" s="3">
        <f>IF(RAW_DATA!E86&lt;1,0,IF(RAW_DATA!E86&lt;3,3,IF(RAW_DATA!E86&lt;5,5,IF(RAW_DATA!E86&lt;10,8,10))))</f>
        <v>10</v>
      </c>
      <c r="N86" s="3">
        <f>IF(RAW_DATA!F86&lt;650,0,IF(RAW_DATA!F86&lt;700,8,IF(RAW_DATA!F86&lt;750,15,IF(RAW_DATA!F86&lt;800,20,25))))</f>
        <v>0</v>
      </c>
      <c r="O86" s="3">
        <f>IF(RAW_DATA!G86=0,5,IF(RAW_DATA!G86=1,4,IF(RAW_DATA!G86=2,3,IF(RAW_DATA!G86=3,2,IF(RAW_DATA!G86=4,1,0)))))</f>
        <v>3</v>
      </c>
      <c r="P86" s="3">
        <f>IF(RAW_DATA!K86&gt;=RAW_DATA!H86,20,ROUND((RAW_DATA!K86/RAW_DATA!H86)*20,0))</f>
        <v>4</v>
      </c>
      <c r="Q86" s="3">
        <f>IF(RAW_DATA!L86="No",5,0)</f>
        <v>5</v>
      </c>
      <c r="R86" s="3">
        <f t="shared" si="9"/>
        <v>42</v>
      </c>
      <c r="S86" s="3">
        <f t="shared" si="10"/>
        <v>42</v>
      </c>
      <c r="T86" s="3" t="str">
        <f t="shared" si="11"/>
        <v>Not Scored - Ineligible</v>
      </c>
    </row>
    <row r="87" spans="1:20" x14ac:dyDescent="0.25">
      <c r="A87" s="3" t="str">
        <f>RAW_DATA!A87</f>
        <v>APP086</v>
      </c>
      <c r="B87" s="3" t="b">
        <f>AND(RAW_DATA!B87&gt;=21,RAW_DATA!B87&lt;=60)</f>
        <v>1</v>
      </c>
      <c r="C87" s="3" t="b">
        <f>RAW_DATA!C87&gt;=300000</f>
        <v>1</v>
      </c>
      <c r="D87" s="3" t="b">
        <f>RAW_DATA!F87&gt;=650</f>
        <v>1</v>
      </c>
      <c r="E87" s="3" t="b">
        <f>RAW_DATA!E87&gt;=1</f>
        <v>1</v>
      </c>
      <c r="F87" s="3" t="b">
        <f>RAW_DATA!L87="No"</f>
        <v>1</v>
      </c>
      <c r="G87" s="3" t="b">
        <f t="shared" si="6"/>
        <v>1</v>
      </c>
      <c r="H87" s="3" t="str">
        <f t="shared" si="7"/>
        <v>ELIGIBLE</v>
      </c>
      <c r="I87" s="3" t="str">
        <f t="shared" si="8"/>
        <v/>
      </c>
      <c r="K87" s="3" cm="1">
        <f t="array" ref="K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7" s="5">
        <f>IF(RAW_DATA!C87&lt;300000,0,IF(RAW_DATA!C87&lt;600000,5,IF(RAW_DATA!C87&lt;1200000,15,IF(RAW_DATA!C87&lt;2000000,20,25))))</f>
        <v>25</v>
      </c>
      <c r="M87" s="3">
        <f>IF(RAW_DATA!E87&lt;1,0,IF(RAW_DATA!E87&lt;3,3,IF(RAW_DATA!E87&lt;5,5,IF(RAW_DATA!E87&lt;10,8,10))))</f>
        <v>10</v>
      </c>
      <c r="N87" s="3">
        <f>IF(RAW_DATA!F87&lt;650,0,IF(RAW_DATA!F87&lt;700,8,IF(RAW_DATA!F87&lt;750,15,IF(RAW_DATA!F87&lt;800,20,25))))</f>
        <v>25</v>
      </c>
      <c r="O87" s="3">
        <f>IF(RAW_DATA!G87=0,5,IF(RAW_DATA!G87=1,4,IF(RAW_DATA!G87=2,3,IF(RAW_DATA!G87=3,2,IF(RAW_DATA!G87=4,1,0)))))</f>
        <v>3</v>
      </c>
      <c r="P87" s="3">
        <f>IF(RAW_DATA!K87&gt;=RAW_DATA!H87,20,ROUND((RAW_DATA!K87/RAW_DATA!H87)*20,0))</f>
        <v>20</v>
      </c>
      <c r="Q87" s="3">
        <f>IF(RAW_DATA!L87="No",5,0)</f>
        <v>5</v>
      </c>
      <c r="R87" s="3">
        <f t="shared" si="9"/>
        <v>96</v>
      </c>
      <c r="S87" s="3">
        <f t="shared" si="10"/>
        <v>96</v>
      </c>
      <c r="T87" s="3" t="str">
        <f t="shared" si="11"/>
        <v>Strong</v>
      </c>
    </row>
    <row r="88" spans="1:20" x14ac:dyDescent="0.25">
      <c r="A88" s="3" t="str">
        <f>RAW_DATA!A88</f>
        <v>APP087</v>
      </c>
      <c r="B88" s="3" t="b">
        <f>AND(RAW_DATA!B88&gt;=21,RAW_DATA!B88&lt;=60)</f>
        <v>1</v>
      </c>
      <c r="C88" s="3" t="b">
        <f>RAW_DATA!C88&gt;=300000</f>
        <v>1</v>
      </c>
      <c r="D88" s="3" t="b">
        <f>RAW_DATA!F88&gt;=650</f>
        <v>0</v>
      </c>
      <c r="E88" s="3" t="b">
        <f>RAW_DATA!E88&gt;=1</f>
        <v>1</v>
      </c>
      <c r="F88" s="3" t="b">
        <f>RAW_DATA!L88="No"</f>
        <v>1</v>
      </c>
      <c r="G88" s="3" t="b">
        <f t="shared" si="6"/>
        <v>0</v>
      </c>
      <c r="H88" s="3" t="str">
        <f t="shared" si="7"/>
        <v>INELIGIBLE</v>
      </c>
      <c r="I88" s="3" t="str">
        <f t="shared" si="8"/>
        <v>Credit Score</v>
      </c>
      <c r="K88" s="3" cm="1">
        <f t="array" ref="K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8" s="5">
        <f>IF(RAW_DATA!C88&lt;300000,0,IF(RAW_DATA!C88&lt;600000,5,IF(RAW_DATA!C88&lt;1200000,15,IF(RAW_DATA!C88&lt;2000000,20,25))))</f>
        <v>25</v>
      </c>
      <c r="M88" s="3">
        <f>IF(RAW_DATA!E88&lt;1,0,IF(RAW_DATA!E88&lt;3,3,IF(RAW_DATA!E88&lt;5,5,IF(RAW_DATA!E88&lt;10,8,10))))</f>
        <v>8</v>
      </c>
      <c r="N88" s="3">
        <f>IF(RAW_DATA!F88&lt;650,0,IF(RAW_DATA!F88&lt;700,8,IF(RAW_DATA!F88&lt;750,15,IF(RAW_DATA!F88&lt;800,20,25))))</f>
        <v>0</v>
      </c>
      <c r="O88" s="3">
        <f>IF(RAW_DATA!G88=0,5,IF(RAW_DATA!G88=1,4,IF(RAW_DATA!G88=2,3,IF(RAW_DATA!G88=3,2,IF(RAW_DATA!G88=4,1,0)))))</f>
        <v>2</v>
      </c>
      <c r="P88" s="3">
        <f>IF(RAW_DATA!K88&gt;=RAW_DATA!H88,20,ROUND((RAW_DATA!K88/RAW_DATA!H88)*20,0))</f>
        <v>8</v>
      </c>
      <c r="Q88" s="3">
        <f>IF(RAW_DATA!L88="No",5,0)</f>
        <v>5</v>
      </c>
      <c r="R88" s="3">
        <f t="shared" si="9"/>
        <v>56</v>
      </c>
      <c r="S88" s="3">
        <f t="shared" si="10"/>
        <v>56</v>
      </c>
      <c r="T88" s="3" t="str">
        <f t="shared" si="11"/>
        <v>Not Scored - Ineligible</v>
      </c>
    </row>
    <row r="89" spans="1:20" x14ac:dyDescent="0.25">
      <c r="A89" s="3" t="str">
        <f>RAW_DATA!A89</f>
        <v>APP088</v>
      </c>
      <c r="B89" s="3" t="b">
        <f>AND(RAW_DATA!B89&gt;=21,RAW_DATA!B89&lt;=60)</f>
        <v>1</v>
      </c>
      <c r="C89" s="3" t="b">
        <f>RAW_DATA!C89&gt;=300000</f>
        <v>1</v>
      </c>
      <c r="D89" s="3" t="b">
        <f>RAW_DATA!F89&gt;=650</f>
        <v>0</v>
      </c>
      <c r="E89" s="3" t="b">
        <f>RAW_DATA!E89&gt;=1</f>
        <v>0</v>
      </c>
      <c r="F89" s="3" t="b">
        <f>RAW_DATA!L89="No"</f>
        <v>1</v>
      </c>
      <c r="G89" s="3" t="b">
        <f t="shared" si="6"/>
        <v>0</v>
      </c>
      <c r="H89" s="3" t="str">
        <f t="shared" si="7"/>
        <v>INELIGIBLE</v>
      </c>
      <c r="I89" s="3" t="str">
        <f t="shared" si="8"/>
        <v>Credit Score, Employment</v>
      </c>
      <c r="K89" s="3" cm="1">
        <f t="array" ref="K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9" s="5">
        <f>IF(RAW_DATA!C89&lt;300000,0,IF(RAW_DATA!C89&lt;600000,5,IF(RAW_DATA!C89&lt;1200000,15,IF(RAW_DATA!C89&lt;2000000,20,25))))</f>
        <v>5</v>
      </c>
      <c r="M89" s="3">
        <f>IF(RAW_DATA!E89&lt;1,0,IF(RAW_DATA!E89&lt;3,3,IF(RAW_DATA!E89&lt;5,5,IF(RAW_DATA!E89&lt;10,8,10))))</f>
        <v>0</v>
      </c>
      <c r="N89" s="3">
        <f>IF(RAW_DATA!F89&lt;650,0,IF(RAW_DATA!F89&lt;700,8,IF(RAW_DATA!F89&lt;750,15,IF(RAW_DATA!F89&lt;800,20,25))))</f>
        <v>0</v>
      </c>
      <c r="O89" s="3">
        <f>IF(RAW_DATA!G89=0,5,IF(RAW_DATA!G89=1,4,IF(RAW_DATA!G89=2,3,IF(RAW_DATA!G89=3,2,IF(RAW_DATA!G89=4,1,0)))))</f>
        <v>1</v>
      </c>
      <c r="P89" s="3">
        <f>IF(RAW_DATA!K89&gt;=RAW_DATA!H89,20,ROUND((RAW_DATA!K89/RAW_DATA!H89)*20,0))</f>
        <v>20</v>
      </c>
      <c r="Q89" s="3">
        <f>IF(RAW_DATA!L89="No",5,0)</f>
        <v>5</v>
      </c>
      <c r="R89" s="3">
        <f t="shared" si="9"/>
        <v>41</v>
      </c>
      <c r="S89" s="3">
        <f t="shared" si="10"/>
        <v>41</v>
      </c>
      <c r="T89" s="3" t="str">
        <f t="shared" si="11"/>
        <v>Not Scored - Ineligible</v>
      </c>
    </row>
    <row r="90" spans="1:20" x14ac:dyDescent="0.25">
      <c r="A90" s="3" t="str">
        <f>RAW_DATA!A90</f>
        <v>APP089</v>
      </c>
      <c r="B90" s="3" t="b">
        <f>AND(RAW_DATA!B90&gt;=21,RAW_DATA!B90&lt;=60)</f>
        <v>1</v>
      </c>
      <c r="C90" s="3" t="b">
        <f>RAW_DATA!C90&gt;=300000</f>
        <v>1</v>
      </c>
      <c r="D90" s="3" t="b">
        <f>RAW_DATA!F90&gt;=650</f>
        <v>0</v>
      </c>
      <c r="E90" s="3" t="b">
        <f>RAW_DATA!E90&gt;=1</f>
        <v>1</v>
      </c>
      <c r="F90" s="3" t="b">
        <f>RAW_DATA!L90="No"</f>
        <v>0</v>
      </c>
      <c r="G90" s="3" t="b">
        <f t="shared" si="6"/>
        <v>0</v>
      </c>
      <c r="H90" s="3" t="str">
        <f t="shared" si="7"/>
        <v>INELIGIBLE</v>
      </c>
      <c r="I90" s="3" t="str">
        <f t="shared" si="8"/>
        <v>Credit Score, Defaulter History</v>
      </c>
      <c r="K90" s="3" cm="1">
        <f t="array" ref="K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0" s="5">
        <f>IF(RAW_DATA!C90&lt;300000,0,IF(RAW_DATA!C90&lt;600000,5,IF(RAW_DATA!C90&lt;1200000,15,IF(RAW_DATA!C90&lt;2000000,20,25))))</f>
        <v>20</v>
      </c>
      <c r="M90" s="3">
        <f>IF(RAW_DATA!E90&lt;1,0,IF(RAW_DATA!E90&lt;3,3,IF(RAW_DATA!E90&lt;5,5,IF(RAW_DATA!E90&lt;10,8,10))))</f>
        <v>8</v>
      </c>
      <c r="N90" s="3">
        <f>IF(RAW_DATA!F90&lt;650,0,IF(RAW_DATA!F90&lt;700,8,IF(RAW_DATA!F90&lt;750,15,IF(RAW_DATA!F90&lt;800,20,25))))</f>
        <v>0</v>
      </c>
      <c r="O90" s="3">
        <f>IF(RAW_DATA!G90=0,5,IF(RAW_DATA!G90=1,4,IF(RAW_DATA!G90=2,3,IF(RAW_DATA!G90=3,2,IF(RAW_DATA!G90=4,1,0)))))</f>
        <v>2</v>
      </c>
      <c r="P90" s="3">
        <f>IF(RAW_DATA!K90&gt;=RAW_DATA!H90,20,ROUND((RAW_DATA!K90/RAW_DATA!H90)*20,0))</f>
        <v>20</v>
      </c>
      <c r="Q90" s="3">
        <f>IF(RAW_DATA!L90="No",5,0)</f>
        <v>0</v>
      </c>
      <c r="R90" s="3">
        <f t="shared" si="9"/>
        <v>60</v>
      </c>
      <c r="S90" s="3">
        <f t="shared" si="10"/>
        <v>60</v>
      </c>
      <c r="T90" s="3" t="str">
        <f t="shared" si="11"/>
        <v>Not Scored - Ineligible</v>
      </c>
    </row>
    <row r="91" spans="1:20" x14ac:dyDescent="0.25">
      <c r="A91" s="3" t="str">
        <f>RAW_DATA!A91</f>
        <v>APP090</v>
      </c>
      <c r="B91" s="3" t="b">
        <f>AND(RAW_DATA!B91&gt;=21,RAW_DATA!B91&lt;=60)</f>
        <v>1</v>
      </c>
      <c r="C91" s="3" t="b">
        <f>RAW_DATA!C91&gt;=300000</f>
        <v>1</v>
      </c>
      <c r="D91" s="3" t="b">
        <f>RAW_DATA!F91&gt;=650</f>
        <v>0</v>
      </c>
      <c r="E91" s="3" t="b">
        <f>RAW_DATA!E91&gt;=1</f>
        <v>1</v>
      </c>
      <c r="F91" s="3" t="b">
        <f>RAW_DATA!L91="No"</f>
        <v>1</v>
      </c>
      <c r="G91" s="3" t="b">
        <f t="shared" si="6"/>
        <v>0</v>
      </c>
      <c r="H91" s="3" t="str">
        <f t="shared" si="7"/>
        <v>INELIGIBLE</v>
      </c>
      <c r="I91" s="3" t="str">
        <f t="shared" si="8"/>
        <v>Credit Score</v>
      </c>
      <c r="K91" s="3" cm="1">
        <f t="array" ref="K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1" s="5">
        <f>IF(RAW_DATA!C91&lt;300000,0,IF(RAW_DATA!C91&lt;600000,5,IF(RAW_DATA!C91&lt;1200000,15,IF(RAW_DATA!C91&lt;2000000,20,25))))</f>
        <v>25</v>
      </c>
      <c r="M91" s="3">
        <f>IF(RAW_DATA!E91&lt;1,0,IF(RAW_DATA!E91&lt;3,3,IF(RAW_DATA!E91&lt;5,5,IF(RAW_DATA!E91&lt;10,8,10))))</f>
        <v>10</v>
      </c>
      <c r="N91" s="3">
        <f>IF(RAW_DATA!F91&lt;650,0,IF(RAW_DATA!F91&lt;700,8,IF(RAW_DATA!F91&lt;750,15,IF(RAW_DATA!F91&lt;800,20,25))))</f>
        <v>0</v>
      </c>
      <c r="O91" s="3">
        <f>IF(RAW_DATA!G91=0,5,IF(RAW_DATA!G91=1,4,IF(RAW_DATA!G91=2,3,IF(RAW_DATA!G91=3,2,IF(RAW_DATA!G91=4,1,0)))))</f>
        <v>3</v>
      </c>
      <c r="P91" s="3">
        <f>IF(RAW_DATA!K91&gt;=RAW_DATA!H91,20,ROUND((RAW_DATA!K91/RAW_DATA!H91)*20,0))</f>
        <v>20</v>
      </c>
      <c r="Q91" s="3">
        <f>IF(RAW_DATA!L91="No",5,0)</f>
        <v>5</v>
      </c>
      <c r="R91" s="3">
        <f t="shared" si="9"/>
        <v>71</v>
      </c>
      <c r="S91" s="3">
        <f t="shared" si="10"/>
        <v>71</v>
      </c>
      <c r="T91" s="3" t="str">
        <f t="shared" si="11"/>
        <v>Not Scored - Ineligible</v>
      </c>
    </row>
    <row r="92" spans="1:20" x14ac:dyDescent="0.25">
      <c r="A92" s="3" t="str">
        <f>RAW_DATA!A92</f>
        <v>APP091</v>
      </c>
      <c r="B92" s="3" t="b">
        <f>AND(RAW_DATA!B92&gt;=21,RAW_DATA!B92&lt;=60)</f>
        <v>1</v>
      </c>
      <c r="C92" s="3" t="b">
        <f>RAW_DATA!C92&gt;=300000</f>
        <v>0</v>
      </c>
      <c r="D92" s="3" t="b">
        <f>RAW_DATA!F92&gt;=650</f>
        <v>1</v>
      </c>
      <c r="E92" s="3" t="b">
        <f>RAW_DATA!E92&gt;=1</f>
        <v>1</v>
      </c>
      <c r="F92" s="3" t="b">
        <f>RAW_DATA!L92="No"</f>
        <v>0</v>
      </c>
      <c r="G92" s="3" t="b">
        <f t="shared" si="6"/>
        <v>0</v>
      </c>
      <c r="H92" s="3" t="str">
        <f t="shared" si="7"/>
        <v>INELIGIBLE</v>
      </c>
      <c r="I92" s="3" t="str">
        <f t="shared" si="8"/>
        <v>Income, Defaulter History</v>
      </c>
      <c r="K92" s="3" cm="1">
        <f t="array" ref="K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2" s="5">
        <f>IF(RAW_DATA!C92&lt;300000,0,IF(RAW_DATA!C92&lt;600000,5,IF(RAW_DATA!C92&lt;1200000,15,IF(RAW_DATA!C92&lt;2000000,20,25))))</f>
        <v>0</v>
      </c>
      <c r="M92" s="3">
        <f>IF(RAW_DATA!E92&lt;1,0,IF(RAW_DATA!E92&lt;3,3,IF(RAW_DATA!E92&lt;5,5,IF(RAW_DATA!E92&lt;10,8,10))))</f>
        <v>3</v>
      </c>
      <c r="N92" s="3">
        <f>IF(RAW_DATA!F92&lt;650,0,IF(RAW_DATA!F92&lt;700,8,IF(RAW_DATA!F92&lt;750,15,IF(RAW_DATA!F92&lt;800,20,25))))</f>
        <v>25</v>
      </c>
      <c r="O92" s="3">
        <f>IF(RAW_DATA!G92=0,5,IF(RAW_DATA!G92=1,4,IF(RAW_DATA!G92=2,3,IF(RAW_DATA!G92=3,2,IF(RAW_DATA!G92=4,1,0)))))</f>
        <v>3</v>
      </c>
      <c r="P92" s="3">
        <f>IF(RAW_DATA!K92&gt;=RAW_DATA!H92,20,ROUND((RAW_DATA!K92/RAW_DATA!H92)*20,0))</f>
        <v>15</v>
      </c>
      <c r="Q92" s="3">
        <f>IF(RAW_DATA!L92="No",5,0)</f>
        <v>0</v>
      </c>
      <c r="R92" s="3">
        <f t="shared" si="9"/>
        <v>53</v>
      </c>
      <c r="S92" s="3">
        <f t="shared" si="10"/>
        <v>53</v>
      </c>
      <c r="T92" s="3" t="str">
        <f t="shared" si="11"/>
        <v>Not Scored - Ineligible</v>
      </c>
    </row>
    <row r="93" spans="1:20" x14ac:dyDescent="0.25">
      <c r="A93" s="3" t="str">
        <f>RAW_DATA!A93</f>
        <v>APP092</v>
      </c>
      <c r="B93" s="3" t="b">
        <f>AND(RAW_DATA!B93&gt;=21,RAW_DATA!B93&lt;=60)</f>
        <v>1</v>
      </c>
      <c r="C93" s="3" t="b">
        <f>RAW_DATA!C93&gt;=300000</f>
        <v>1</v>
      </c>
      <c r="D93" s="3" t="b">
        <f>RAW_DATA!F93&gt;=650</f>
        <v>1</v>
      </c>
      <c r="E93" s="3" t="b">
        <f>RAW_DATA!E93&gt;=1</f>
        <v>1</v>
      </c>
      <c r="F93" s="3" t="b">
        <f>RAW_DATA!L93="No"</f>
        <v>1</v>
      </c>
      <c r="G93" s="3" t="b">
        <f t="shared" si="6"/>
        <v>1</v>
      </c>
      <c r="H93" s="3" t="str">
        <f t="shared" si="7"/>
        <v>ELIGIBLE</v>
      </c>
      <c r="I93" s="3" t="str">
        <f t="shared" si="8"/>
        <v/>
      </c>
      <c r="K93" s="3" cm="1">
        <f t="array" ref="K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3" s="5">
        <f>IF(RAW_DATA!C93&lt;300000,0,IF(RAW_DATA!C93&lt;600000,5,IF(RAW_DATA!C93&lt;1200000,15,IF(RAW_DATA!C93&lt;2000000,20,25))))</f>
        <v>5</v>
      </c>
      <c r="M93" s="3">
        <f>IF(RAW_DATA!E93&lt;1,0,IF(RAW_DATA!E93&lt;3,3,IF(RAW_DATA!E93&lt;5,5,IF(RAW_DATA!E93&lt;10,8,10))))</f>
        <v>10</v>
      </c>
      <c r="N93" s="3">
        <f>IF(RAW_DATA!F93&lt;650,0,IF(RAW_DATA!F93&lt;700,8,IF(RAW_DATA!F93&lt;750,15,IF(RAW_DATA!F93&lt;800,20,25))))</f>
        <v>8</v>
      </c>
      <c r="O93" s="3">
        <f>IF(RAW_DATA!G93=0,5,IF(RAW_DATA!G93=1,4,IF(RAW_DATA!G93=2,3,IF(RAW_DATA!G93=3,2,IF(RAW_DATA!G93=4,1,0)))))</f>
        <v>5</v>
      </c>
      <c r="P93" s="3">
        <f>IF(RAW_DATA!K93&gt;=RAW_DATA!H93,20,ROUND((RAW_DATA!K93/RAW_DATA!H93)*20,0))</f>
        <v>20</v>
      </c>
      <c r="Q93" s="3">
        <f>IF(RAW_DATA!L93="No",5,0)</f>
        <v>5</v>
      </c>
      <c r="R93" s="3">
        <f t="shared" si="9"/>
        <v>61</v>
      </c>
      <c r="S93" s="3">
        <f t="shared" si="10"/>
        <v>61</v>
      </c>
      <c r="T93" s="3" t="str">
        <f t="shared" si="11"/>
        <v>Moderate</v>
      </c>
    </row>
    <row r="94" spans="1:20" x14ac:dyDescent="0.25">
      <c r="A94" s="3" t="str">
        <f>RAW_DATA!A94</f>
        <v>APP093</v>
      </c>
      <c r="B94" s="3" t="b">
        <f>AND(RAW_DATA!B94&gt;=21,RAW_DATA!B94&lt;=60)</f>
        <v>1</v>
      </c>
      <c r="C94" s="3" t="b">
        <f>RAW_DATA!C94&gt;=300000</f>
        <v>1</v>
      </c>
      <c r="D94" s="3" t="b">
        <f>RAW_DATA!F94&gt;=650</f>
        <v>0</v>
      </c>
      <c r="E94" s="3" t="b">
        <f>RAW_DATA!E94&gt;=1</f>
        <v>1</v>
      </c>
      <c r="F94" s="3" t="b">
        <f>RAW_DATA!L94="No"</f>
        <v>1</v>
      </c>
      <c r="G94" s="3" t="b">
        <f t="shared" si="6"/>
        <v>0</v>
      </c>
      <c r="H94" s="3" t="str">
        <f t="shared" si="7"/>
        <v>INELIGIBLE</v>
      </c>
      <c r="I94" s="3" t="str">
        <f t="shared" si="8"/>
        <v>Credit Score</v>
      </c>
      <c r="K94" s="3" cm="1">
        <f t="array" ref="K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4" s="5">
        <f>IF(RAW_DATA!C94&lt;300000,0,IF(RAW_DATA!C94&lt;600000,5,IF(RAW_DATA!C94&lt;1200000,15,IF(RAW_DATA!C94&lt;2000000,20,25))))</f>
        <v>25</v>
      </c>
      <c r="M94" s="3">
        <f>IF(RAW_DATA!E94&lt;1,0,IF(RAW_DATA!E94&lt;3,3,IF(RAW_DATA!E94&lt;5,5,IF(RAW_DATA!E94&lt;10,8,10))))</f>
        <v>10</v>
      </c>
      <c r="N94" s="3">
        <f>IF(RAW_DATA!F94&lt;650,0,IF(RAW_DATA!F94&lt;700,8,IF(RAW_DATA!F94&lt;750,15,IF(RAW_DATA!F94&lt;800,20,25))))</f>
        <v>0</v>
      </c>
      <c r="O94" s="3">
        <f>IF(RAW_DATA!G94=0,5,IF(RAW_DATA!G94=1,4,IF(RAW_DATA!G94=2,3,IF(RAW_DATA!G94=3,2,IF(RAW_DATA!G94=4,1,0)))))</f>
        <v>3</v>
      </c>
      <c r="P94" s="3">
        <f>IF(RAW_DATA!K94&gt;=RAW_DATA!H94,20,ROUND((RAW_DATA!K94/RAW_DATA!H94)*20,0))</f>
        <v>7</v>
      </c>
      <c r="Q94" s="3">
        <f>IF(RAW_DATA!L94="No",5,0)</f>
        <v>5</v>
      </c>
      <c r="R94" s="3">
        <f t="shared" si="9"/>
        <v>60</v>
      </c>
      <c r="S94" s="3">
        <f t="shared" si="10"/>
        <v>60</v>
      </c>
      <c r="T94" s="3" t="str">
        <f t="shared" si="11"/>
        <v>Not Scored - Ineligible</v>
      </c>
    </row>
    <row r="95" spans="1:20" x14ac:dyDescent="0.25">
      <c r="A95" s="3" t="str">
        <f>RAW_DATA!A95</f>
        <v>APP094</v>
      </c>
      <c r="B95" s="3" t="b">
        <f>AND(RAW_DATA!B95&gt;=21,RAW_DATA!B95&lt;=60)</f>
        <v>1</v>
      </c>
      <c r="C95" s="3" t="b">
        <f>RAW_DATA!C95&gt;=300000</f>
        <v>0</v>
      </c>
      <c r="D95" s="3" t="b">
        <f>RAW_DATA!F95&gt;=650</f>
        <v>1</v>
      </c>
      <c r="E95" s="3" t="b">
        <f>RAW_DATA!E95&gt;=1</f>
        <v>0</v>
      </c>
      <c r="F95" s="3" t="b">
        <f>RAW_DATA!L95="No"</f>
        <v>1</v>
      </c>
      <c r="G95" s="3" t="b">
        <f t="shared" si="6"/>
        <v>0</v>
      </c>
      <c r="H95" s="3" t="str">
        <f t="shared" si="7"/>
        <v>INELIGIBLE</v>
      </c>
      <c r="I95" s="3" t="str">
        <f t="shared" si="8"/>
        <v>Income, Employment</v>
      </c>
      <c r="K95" s="3" cm="1">
        <f t="array" ref="K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95" s="5">
        <f>IF(RAW_DATA!C95&lt;300000,0,IF(RAW_DATA!C95&lt;600000,5,IF(RAW_DATA!C95&lt;1200000,15,IF(RAW_DATA!C95&lt;2000000,20,25))))</f>
        <v>0</v>
      </c>
      <c r="M95" s="3">
        <f>IF(RAW_DATA!E95&lt;1,0,IF(RAW_DATA!E95&lt;3,3,IF(RAW_DATA!E95&lt;5,5,IF(RAW_DATA!E95&lt;10,8,10))))</f>
        <v>0</v>
      </c>
      <c r="N95" s="3">
        <f>IF(RAW_DATA!F95&lt;650,0,IF(RAW_DATA!F95&lt;700,8,IF(RAW_DATA!F95&lt;750,15,IF(RAW_DATA!F95&lt;800,20,25))))</f>
        <v>20</v>
      </c>
      <c r="O95" s="3">
        <f>IF(RAW_DATA!G95=0,5,IF(RAW_DATA!G95=1,4,IF(RAW_DATA!G95=2,3,IF(RAW_DATA!G95=3,2,IF(RAW_DATA!G95=4,1,0)))))</f>
        <v>0</v>
      </c>
      <c r="P95" s="3">
        <f>IF(RAW_DATA!K95&gt;=RAW_DATA!H95,20,ROUND((RAW_DATA!K95/RAW_DATA!H95)*20,0))</f>
        <v>20</v>
      </c>
      <c r="Q95" s="3">
        <f>IF(RAW_DATA!L95="No",5,0)</f>
        <v>5</v>
      </c>
      <c r="R95" s="3">
        <f t="shared" si="9"/>
        <v>51</v>
      </c>
      <c r="S95" s="3">
        <f t="shared" si="10"/>
        <v>51</v>
      </c>
      <c r="T95" s="3" t="str">
        <f t="shared" si="11"/>
        <v>Not Scored - Ineligible</v>
      </c>
    </row>
    <row r="96" spans="1:20" x14ac:dyDescent="0.25">
      <c r="A96" s="3" t="str">
        <f>RAW_DATA!A96</f>
        <v>APP095</v>
      </c>
      <c r="B96" s="3" t="b">
        <f>AND(RAW_DATA!B96&gt;=21,RAW_DATA!B96&lt;=60)</f>
        <v>1</v>
      </c>
      <c r="C96" s="3" t="b">
        <f>RAW_DATA!C96&gt;=300000</f>
        <v>0</v>
      </c>
      <c r="D96" s="3" t="b">
        <f>RAW_DATA!F96&gt;=650</f>
        <v>0</v>
      </c>
      <c r="E96" s="3" t="b">
        <f>RAW_DATA!E96&gt;=1</f>
        <v>1</v>
      </c>
      <c r="F96" s="3" t="b">
        <f>RAW_DATA!L96="No"</f>
        <v>1</v>
      </c>
      <c r="G96" s="3" t="b">
        <f t="shared" si="6"/>
        <v>0</v>
      </c>
      <c r="H96" s="3" t="str">
        <f t="shared" si="7"/>
        <v>INELIGIBLE</v>
      </c>
      <c r="I96" s="3" t="str">
        <f t="shared" si="8"/>
        <v>Income, Credit Score</v>
      </c>
      <c r="K96" s="3" cm="1">
        <f t="array" ref="K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6" s="5">
        <f>IF(RAW_DATA!C96&lt;300000,0,IF(RAW_DATA!C96&lt;600000,5,IF(RAW_DATA!C96&lt;1200000,15,IF(RAW_DATA!C96&lt;2000000,20,25))))</f>
        <v>0</v>
      </c>
      <c r="M96" s="3">
        <f>IF(RAW_DATA!E96&lt;1,0,IF(RAW_DATA!E96&lt;3,3,IF(RAW_DATA!E96&lt;5,5,IF(RAW_DATA!E96&lt;10,8,10))))</f>
        <v>10</v>
      </c>
      <c r="N96" s="3">
        <f>IF(RAW_DATA!F96&lt;650,0,IF(RAW_DATA!F96&lt;700,8,IF(RAW_DATA!F96&lt;750,15,IF(RAW_DATA!F96&lt;800,20,25))))</f>
        <v>0</v>
      </c>
      <c r="O96" s="3">
        <f>IF(RAW_DATA!G96=0,5,IF(RAW_DATA!G96=1,4,IF(RAW_DATA!G96=2,3,IF(RAW_DATA!G96=3,2,IF(RAW_DATA!G96=4,1,0)))))</f>
        <v>3</v>
      </c>
      <c r="P96" s="3">
        <f>IF(RAW_DATA!K96&gt;=RAW_DATA!H96,20,ROUND((RAW_DATA!K96/RAW_DATA!H96)*20,0))</f>
        <v>1</v>
      </c>
      <c r="Q96" s="3">
        <f>IF(RAW_DATA!L96="No",5,0)</f>
        <v>5</v>
      </c>
      <c r="R96" s="3">
        <f t="shared" si="9"/>
        <v>26</v>
      </c>
      <c r="S96" s="3">
        <f t="shared" si="10"/>
        <v>26</v>
      </c>
      <c r="T96" s="3" t="str">
        <f t="shared" si="11"/>
        <v>Not Scored - Ineligible</v>
      </c>
    </row>
    <row r="97" spans="1:20" x14ac:dyDescent="0.25">
      <c r="A97" s="3" t="str">
        <f>RAW_DATA!A97</f>
        <v>APP096</v>
      </c>
      <c r="B97" s="3" t="b">
        <f>AND(RAW_DATA!B97&gt;=21,RAW_DATA!B97&lt;=60)</f>
        <v>1</v>
      </c>
      <c r="C97" s="3" t="b">
        <f>RAW_DATA!C97&gt;=300000</f>
        <v>1</v>
      </c>
      <c r="D97" s="3" t="b">
        <f>RAW_DATA!F97&gt;=650</f>
        <v>0</v>
      </c>
      <c r="E97" s="3" t="b">
        <f>RAW_DATA!E97&gt;=1</f>
        <v>1</v>
      </c>
      <c r="F97" s="3" t="b">
        <f>RAW_DATA!L97="No"</f>
        <v>1</v>
      </c>
      <c r="G97" s="3" t="b">
        <f t="shared" si="6"/>
        <v>0</v>
      </c>
      <c r="H97" s="3" t="str">
        <f t="shared" si="7"/>
        <v>INELIGIBLE</v>
      </c>
      <c r="I97" s="3" t="str">
        <f t="shared" si="8"/>
        <v>Credit Score</v>
      </c>
      <c r="K97" s="3" cm="1">
        <f t="array" ref="K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7" s="5">
        <f>IF(RAW_DATA!C97&lt;300000,0,IF(RAW_DATA!C97&lt;600000,5,IF(RAW_DATA!C97&lt;1200000,15,IF(RAW_DATA!C97&lt;2000000,20,25))))</f>
        <v>15</v>
      </c>
      <c r="M97" s="3">
        <f>IF(RAW_DATA!E97&lt;1,0,IF(RAW_DATA!E97&lt;3,3,IF(RAW_DATA!E97&lt;5,5,IF(RAW_DATA!E97&lt;10,8,10))))</f>
        <v>8</v>
      </c>
      <c r="N97" s="3">
        <f>IF(RAW_DATA!F97&lt;650,0,IF(RAW_DATA!F97&lt;700,8,IF(RAW_DATA!F97&lt;750,15,IF(RAW_DATA!F97&lt;800,20,25))))</f>
        <v>0</v>
      </c>
      <c r="O97" s="3">
        <f>IF(RAW_DATA!G97=0,5,IF(RAW_DATA!G97=1,4,IF(RAW_DATA!G97=2,3,IF(RAW_DATA!G97=3,2,IF(RAW_DATA!G97=4,1,0)))))</f>
        <v>2</v>
      </c>
      <c r="P97" s="3">
        <f>IF(RAW_DATA!K97&gt;=RAW_DATA!H97,20,ROUND((RAW_DATA!K97/RAW_DATA!H97)*20,0))</f>
        <v>12</v>
      </c>
      <c r="Q97" s="3">
        <f>IF(RAW_DATA!L97="No",5,0)</f>
        <v>5</v>
      </c>
      <c r="R97" s="3">
        <f t="shared" si="9"/>
        <v>49</v>
      </c>
      <c r="S97" s="3">
        <f t="shared" si="10"/>
        <v>49</v>
      </c>
      <c r="T97" s="3" t="str">
        <f t="shared" si="11"/>
        <v>Not Scored - Ineligible</v>
      </c>
    </row>
    <row r="98" spans="1:20" x14ac:dyDescent="0.25">
      <c r="A98" s="3" t="str">
        <f>RAW_DATA!A98</f>
        <v>APP097</v>
      </c>
      <c r="B98" s="3" t="b">
        <f>AND(RAW_DATA!B98&gt;=21,RAW_DATA!B98&lt;=60)</f>
        <v>1</v>
      </c>
      <c r="C98" s="3" t="b">
        <f>RAW_DATA!C98&gt;=300000</f>
        <v>1</v>
      </c>
      <c r="D98" s="3" t="b">
        <f>RAW_DATA!F98&gt;=650</f>
        <v>1</v>
      </c>
      <c r="E98" s="3" t="b">
        <f>RAW_DATA!E98&gt;=1</f>
        <v>1</v>
      </c>
      <c r="F98" s="3" t="b">
        <f>RAW_DATA!L98="No"</f>
        <v>1</v>
      </c>
      <c r="G98" s="3" t="b">
        <f t="shared" si="6"/>
        <v>1</v>
      </c>
      <c r="H98" s="3" t="str">
        <f t="shared" si="7"/>
        <v>ELIGIBLE</v>
      </c>
      <c r="I98" s="3" t="str">
        <f t="shared" si="8"/>
        <v/>
      </c>
      <c r="K98" s="3" cm="1">
        <f t="array" ref="K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8" s="5">
        <f>IF(RAW_DATA!C98&lt;300000,0,IF(RAW_DATA!C98&lt;600000,5,IF(RAW_DATA!C98&lt;1200000,15,IF(RAW_DATA!C98&lt;2000000,20,25))))</f>
        <v>15</v>
      </c>
      <c r="M98" s="3">
        <f>IF(RAW_DATA!E98&lt;1,0,IF(RAW_DATA!E98&lt;3,3,IF(RAW_DATA!E98&lt;5,5,IF(RAW_DATA!E98&lt;10,8,10))))</f>
        <v>10</v>
      </c>
      <c r="N98" s="3">
        <f>IF(RAW_DATA!F98&lt;650,0,IF(RAW_DATA!F98&lt;700,8,IF(RAW_DATA!F98&lt;750,15,IF(RAW_DATA!F98&lt;800,20,25))))</f>
        <v>25</v>
      </c>
      <c r="O98" s="3">
        <f>IF(RAW_DATA!G98=0,5,IF(RAW_DATA!G98=1,4,IF(RAW_DATA!G98=2,3,IF(RAW_DATA!G98=3,2,IF(RAW_DATA!G98=4,1,0)))))</f>
        <v>0</v>
      </c>
      <c r="P98" s="3">
        <f>IF(RAW_DATA!K98&gt;=RAW_DATA!H98,20,ROUND((RAW_DATA!K98/RAW_DATA!H98)*20,0))</f>
        <v>20</v>
      </c>
      <c r="Q98" s="3">
        <f>IF(RAW_DATA!L98="No",5,0)</f>
        <v>5</v>
      </c>
      <c r="R98" s="3">
        <f t="shared" si="9"/>
        <v>82</v>
      </c>
      <c r="S98" s="3">
        <f t="shared" si="10"/>
        <v>82</v>
      </c>
      <c r="T98" s="3" t="str">
        <f t="shared" si="11"/>
        <v>Strong</v>
      </c>
    </row>
    <row r="99" spans="1:20" x14ac:dyDescent="0.25">
      <c r="A99" s="3" t="str">
        <f>RAW_DATA!A99</f>
        <v>APP098</v>
      </c>
      <c r="B99" s="3" t="b">
        <f>AND(RAW_DATA!B99&gt;=21,RAW_DATA!B99&lt;=60)</f>
        <v>1</v>
      </c>
      <c r="C99" s="3" t="b">
        <f>RAW_DATA!C99&gt;=300000</f>
        <v>1</v>
      </c>
      <c r="D99" s="3" t="b">
        <f>RAW_DATA!F99&gt;=650</f>
        <v>0</v>
      </c>
      <c r="E99" s="3" t="b">
        <f>RAW_DATA!E99&gt;=1</f>
        <v>1</v>
      </c>
      <c r="F99" s="3" t="b">
        <f>RAW_DATA!L99="No"</f>
        <v>1</v>
      </c>
      <c r="G99" s="3" t="b">
        <f t="shared" si="6"/>
        <v>0</v>
      </c>
      <c r="H99" s="3" t="str">
        <f t="shared" si="7"/>
        <v>INELIGIBLE</v>
      </c>
      <c r="I99" s="3" t="str">
        <f t="shared" si="8"/>
        <v>Credit Score</v>
      </c>
      <c r="K99" s="3" cm="1">
        <f t="array" ref="K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9" s="5">
        <f>IF(RAW_DATA!C99&lt;300000,0,IF(RAW_DATA!C99&lt;600000,5,IF(RAW_DATA!C99&lt;1200000,15,IF(RAW_DATA!C99&lt;2000000,20,25))))</f>
        <v>15</v>
      </c>
      <c r="M99" s="3">
        <f>IF(RAW_DATA!E99&lt;1,0,IF(RAW_DATA!E99&lt;3,3,IF(RAW_DATA!E99&lt;5,5,IF(RAW_DATA!E99&lt;10,8,10))))</f>
        <v>10</v>
      </c>
      <c r="N99" s="3">
        <f>IF(RAW_DATA!F99&lt;650,0,IF(RAW_DATA!F99&lt;700,8,IF(RAW_DATA!F99&lt;750,15,IF(RAW_DATA!F99&lt;800,20,25))))</f>
        <v>0</v>
      </c>
      <c r="O99" s="3">
        <f>IF(RAW_DATA!G99=0,5,IF(RAW_DATA!G99=1,4,IF(RAW_DATA!G99=2,3,IF(RAW_DATA!G99=3,2,IF(RAW_DATA!G99=4,1,0)))))</f>
        <v>2</v>
      </c>
      <c r="P99" s="3">
        <f>IF(RAW_DATA!K99&gt;=RAW_DATA!H99,20,ROUND((RAW_DATA!K99/RAW_DATA!H99)*20,0))</f>
        <v>20</v>
      </c>
      <c r="Q99" s="3">
        <f>IF(RAW_DATA!L99="No",5,0)</f>
        <v>5</v>
      </c>
      <c r="R99" s="3">
        <f t="shared" si="9"/>
        <v>59</v>
      </c>
      <c r="S99" s="3">
        <f t="shared" si="10"/>
        <v>59</v>
      </c>
      <c r="T99" s="3" t="str">
        <f t="shared" si="11"/>
        <v>Not Scored - Ineligible</v>
      </c>
    </row>
    <row r="100" spans="1:20" x14ac:dyDescent="0.25">
      <c r="A100" s="3" t="str">
        <f>RAW_DATA!A100</f>
        <v>APP099</v>
      </c>
      <c r="B100" s="3" t="b">
        <f>AND(RAW_DATA!B100&gt;=21,RAW_DATA!B100&lt;=60)</f>
        <v>1</v>
      </c>
      <c r="C100" s="3" t="b">
        <f>RAW_DATA!C100&gt;=300000</f>
        <v>1</v>
      </c>
      <c r="D100" s="3" t="b">
        <f>RAW_DATA!F100&gt;=650</f>
        <v>1</v>
      </c>
      <c r="E100" s="3" t="b">
        <f>RAW_DATA!E100&gt;=1</f>
        <v>1</v>
      </c>
      <c r="F100" s="3" t="b">
        <f>RAW_DATA!L100="No"</f>
        <v>1</v>
      </c>
      <c r="G100" s="3" t="b">
        <f t="shared" si="6"/>
        <v>1</v>
      </c>
      <c r="H100" s="3" t="str">
        <f t="shared" si="7"/>
        <v>ELIGIBLE</v>
      </c>
      <c r="I100" s="3" t="str">
        <f t="shared" si="8"/>
        <v/>
      </c>
      <c r="K100" s="3" cm="1">
        <f t="array" ref="K1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00" s="5">
        <f>IF(RAW_DATA!C100&lt;300000,0,IF(RAW_DATA!C100&lt;600000,5,IF(RAW_DATA!C100&lt;1200000,15,IF(RAW_DATA!C100&lt;2000000,20,25))))</f>
        <v>15</v>
      </c>
      <c r="M100" s="3">
        <f>IF(RAW_DATA!E100&lt;1,0,IF(RAW_DATA!E100&lt;3,3,IF(RAW_DATA!E100&lt;5,5,IF(RAW_DATA!E100&lt;10,8,10))))</f>
        <v>10</v>
      </c>
      <c r="N100" s="3">
        <f>IF(RAW_DATA!F100&lt;650,0,IF(RAW_DATA!F100&lt;700,8,IF(RAW_DATA!F100&lt;750,15,IF(RAW_DATA!F100&lt;800,20,25))))</f>
        <v>25</v>
      </c>
      <c r="O100" s="3">
        <f>IF(RAW_DATA!G100=0,5,IF(RAW_DATA!G100=1,4,IF(RAW_DATA!G100=2,3,IF(RAW_DATA!G100=3,2,IF(RAW_DATA!G100=4,1,0)))))</f>
        <v>4</v>
      </c>
      <c r="P100" s="3">
        <f>IF(RAW_DATA!K100&gt;=RAW_DATA!H100,20,ROUND((RAW_DATA!K100/RAW_DATA!H100)*20,0))</f>
        <v>20</v>
      </c>
      <c r="Q100" s="3">
        <f>IF(RAW_DATA!L100="No",5,0)</f>
        <v>5</v>
      </c>
      <c r="R100" s="3">
        <f t="shared" si="9"/>
        <v>83</v>
      </c>
      <c r="S100" s="3">
        <f t="shared" si="10"/>
        <v>83</v>
      </c>
      <c r="T100" s="3" t="str">
        <f t="shared" si="11"/>
        <v>Strong</v>
      </c>
    </row>
    <row r="101" spans="1:20" x14ac:dyDescent="0.25">
      <c r="A101" s="3" t="str">
        <f>RAW_DATA!A101</f>
        <v>APP100</v>
      </c>
      <c r="B101" s="3" t="b">
        <f>AND(RAW_DATA!B101&gt;=21,RAW_DATA!B101&lt;=60)</f>
        <v>1</v>
      </c>
      <c r="C101" s="3" t="b">
        <f>RAW_DATA!C101&gt;=300000</f>
        <v>1</v>
      </c>
      <c r="D101" s="3" t="b">
        <f>RAW_DATA!F101&gt;=650</f>
        <v>0</v>
      </c>
      <c r="E101" s="3" t="b">
        <f>RAW_DATA!E101&gt;=1</f>
        <v>1</v>
      </c>
      <c r="F101" s="3" t="b">
        <f>RAW_DATA!L101="No"</f>
        <v>1</v>
      </c>
      <c r="G101" s="3" t="b">
        <f t="shared" si="6"/>
        <v>0</v>
      </c>
      <c r="H101" s="3" t="str">
        <f t="shared" si="7"/>
        <v>INELIGIBLE</v>
      </c>
      <c r="I101" s="3" t="str">
        <f t="shared" si="8"/>
        <v>Credit Score</v>
      </c>
      <c r="K101" s="3" cm="1">
        <f t="array" ref="K1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1" s="5">
        <f>IF(RAW_DATA!C101&lt;300000,0,IF(RAW_DATA!C101&lt;600000,5,IF(RAW_DATA!C101&lt;1200000,15,IF(RAW_DATA!C101&lt;2000000,20,25))))</f>
        <v>25</v>
      </c>
      <c r="M101" s="3">
        <f>IF(RAW_DATA!E101&lt;1,0,IF(RAW_DATA!E101&lt;3,3,IF(RAW_DATA!E101&lt;5,5,IF(RAW_DATA!E101&lt;10,8,10))))</f>
        <v>10</v>
      </c>
      <c r="N101" s="3">
        <f>IF(RAW_DATA!F101&lt;650,0,IF(RAW_DATA!F101&lt;700,8,IF(RAW_DATA!F101&lt;750,15,IF(RAW_DATA!F101&lt;800,20,25))))</f>
        <v>0</v>
      </c>
      <c r="O101" s="3">
        <f>IF(RAW_DATA!G101=0,5,IF(RAW_DATA!G101=1,4,IF(RAW_DATA!G101=2,3,IF(RAW_DATA!G101=3,2,IF(RAW_DATA!G101=4,1,0)))))</f>
        <v>1</v>
      </c>
      <c r="P101" s="3">
        <f>IF(RAW_DATA!K101&gt;=RAW_DATA!H101,20,ROUND((RAW_DATA!K101/RAW_DATA!H101)*20,0))</f>
        <v>20</v>
      </c>
      <c r="Q101" s="3">
        <f>IF(RAW_DATA!L101="No",5,0)</f>
        <v>5</v>
      </c>
      <c r="R101" s="3">
        <f t="shared" si="9"/>
        <v>69</v>
      </c>
      <c r="S101" s="3">
        <f t="shared" si="10"/>
        <v>69</v>
      </c>
      <c r="T101" s="3" t="str">
        <f t="shared" si="11"/>
        <v>Not Scored - Ineligible</v>
      </c>
    </row>
    <row r="102" spans="1:20" x14ac:dyDescent="0.25">
      <c r="A102" s="3" t="str">
        <f>RAW_DATA!A102</f>
        <v>APP101</v>
      </c>
      <c r="B102" s="3" t="b">
        <f>AND(RAW_DATA!B102&gt;=21,RAW_DATA!B102&lt;=60)</f>
        <v>1</v>
      </c>
      <c r="C102" s="3" t="b">
        <f>RAW_DATA!C102&gt;=300000</f>
        <v>0</v>
      </c>
      <c r="D102" s="3" t="b">
        <f>RAW_DATA!F102&gt;=650</f>
        <v>0</v>
      </c>
      <c r="E102" s="3" t="b">
        <f>RAW_DATA!E102&gt;=1</f>
        <v>1</v>
      </c>
      <c r="F102" s="3" t="b">
        <f>RAW_DATA!L102="No"</f>
        <v>0</v>
      </c>
      <c r="G102" s="3" t="b">
        <f t="shared" si="6"/>
        <v>0</v>
      </c>
      <c r="H102" s="3" t="str">
        <f t="shared" si="7"/>
        <v>INELIGIBLE</v>
      </c>
      <c r="I102" s="3" t="str">
        <f t="shared" si="8"/>
        <v>Income, Credit Score, Defaulter History</v>
      </c>
      <c r="K102" s="3" cm="1">
        <f t="array" ref="K1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2" s="5">
        <f>IF(RAW_DATA!C102&lt;300000,0,IF(RAW_DATA!C102&lt;600000,5,IF(RAW_DATA!C102&lt;1200000,15,IF(RAW_DATA!C102&lt;2000000,20,25))))</f>
        <v>0</v>
      </c>
      <c r="M102" s="3">
        <f>IF(RAW_DATA!E102&lt;1,0,IF(RAW_DATA!E102&lt;3,3,IF(RAW_DATA!E102&lt;5,5,IF(RAW_DATA!E102&lt;10,8,10))))</f>
        <v>10</v>
      </c>
      <c r="N102" s="3">
        <f>IF(RAW_DATA!F102&lt;650,0,IF(RAW_DATA!F102&lt;700,8,IF(RAW_DATA!F102&lt;750,15,IF(RAW_DATA!F102&lt;800,20,25))))</f>
        <v>0</v>
      </c>
      <c r="O102" s="3">
        <f>IF(RAW_DATA!G102=0,5,IF(RAW_DATA!G102=1,4,IF(RAW_DATA!G102=2,3,IF(RAW_DATA!G102=3,2,IF(RAW_DATA!G102=4,1,0)))))</f>
        <v>5</v>
      </c>
      <c r="P102" s="3">
        <f>IF(RAW_DATA!K102&gt;=RAW_DATA!H102,20,ROUND((RAW_DATA!K102/RAW_DATA!H102)*20,0))</f>
        <v>20</v>
      </c>
      <c r="Q102" s="3">
        <f>IF(RAW_DATA!L102="No",5,0)</f>
        <v>0</v>
      </c>
      <c r="R102" s="3">
        <f t="shared" si="9"/>
        <v>45</v>
      </c>
      <c r="S102" s="3">
        <f t="shared" si="10"/>
        <v>45</v>
      </c>
      <c r="T102" s="3" t="str">
        <f t="shared" si="11"/>
        <v>Not Scored - Ineligible</v>
      </c>
    </row>
    <row r="103" spans="1:20" x14ac:dyDescent="0.25">
      <c r="A103" s="3" t="str">
        <f>RAW_DATA!A103</f>
        <v>APP102</v>
      </c>
      <c r="B103" s="3" t="b">
        <f>AND(RAW_DATA!B103&gt;=21,RAW_DATA!B103&lt;=60)</f>
        <v>1</v>
      </c>
      <c r="C103" s="3" t="b">
        <f>RAW_DATA!C103&gt;=300000</f>
        <v>1</v>
      </c>
      <c r="D103" s="3" t="b">
        <f>RAW_DATA!F103&gt;=650</f>
        <v>0</v>
      </c>
      <c r="E103" s="3" t="b">
        <f>RAW_DATA!E103&gt;=1</f>
        <v>1</v>
      </c>
      <c r="F103" s="3" t="b">
        <f>RAW_DATA!L103="No"</f>
        <v>0</v>
      </c>
      <c r="G103" s="3" t="b">
        <f t="shared" si="6"/>
        <v>0</v>
      </c>
      <c r="H103" s="3" t="str">
        <f t="shared" si="7"/>
        <v>INELIGIBLE</v>
      </c>
      <c r="I103" s="3" t="str">
        <f t="shared" si="8"/>
        <v>Credit Score, Defaulter History</v>
      </c>
      <c r="K103" s="3" cm="1">
        <f t="array" ref="K1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3" s="5">
        <f>IF(RAW_DATA!C103&lt;300000,0,IF(RAW_DATA!C103&lt;600000,5,IF(RAW_DATA!C103&lt;1200000,15,IF(RAW_DATA!C103&lt;2000000,20,25))))</f>
        <v>25</v>
      </c>
      <c r="M103" s="3">
        <f>IF(RAW_DATA!E103&lt;1,0,IF(RAW_DATA!E103&lt;3,3,IF(RAW_DATA!E103&lt;5,5,IF(RAW_DATA!E103&lt;10,8,10))))</f>
        <v>10</v>
      </c>
      <c r="N103" s="3">
        <f>IF(RAW_DATA!F103&lt;650,0,IF(RAW_DATA!F103&lt;700,8,IF(RAW_DATA!F103&lt;750,15,IF(RAW_DATA!F103&lt;800,20,25))))</f>
        <v>0</v>
      </c>
      <c r="O103" s="3">
        <f>IF(RAW_DATA!G103=0,5,IF(RAW_DATA!G103=1,4,IF(RAW_DATA!G103=2,3,IF(RAW_DATA!G103=3,2,IF(RAW_DATA!G103=4,1,0)))))</f>
        <v>2</v>
      </c>
      <c r="P103" s="3">
        <f>IF(RAW_DATA!K103&gt;=RAW_DATA!H103,20,ROUND((RAW_DATA!K103/RAW_DATA!H103)*20,0))</f>
        <v>20</v>
      </c>
      <c r="Q103" s="3">
        <f>IF(RAW_DATA!L103="No",5,0)</f>
        <v>0</v>
      </c>
      <c r="R103" s="3">
        <f t="shared" si="9"/>
        <v>65</v>
      </c>
      <c r="S103" s="3">
        <f t="shared" si="10"/>
        <v>65</v>
      </c>
      <c r="T103" s="3" t="str">
        <f t="shared" si="11"/>
        <v>Not Scored - Ineligible</v>
      </c>
    </row>
    <row r="104" spans="1:20" x14ac:dyDescent="0.25">
      <c r="A104" s="3" t="str">
        <f>RAW_DATA!A104</f>
        <v>APP103</v>
      </c>
      <c r="B104" s="3" t="b">
        <f>AND(RAW_DATA!B104&gt;=21,RAW_DATA!B104&lt;=60)</f>
        <v>1</v>
      </c>
      <c r="C104" s="3" t="b">
        <f>RAW_DATA!C104&gt;=300000</f>
        <v>1</v>
      </c>
      <c r="D104" s="3" t="b">
        <f>RAW_DATA!F104&gt;=650</f>
        <v>1</v>
      </c>
      <c r="E104" s="3" t="b">
        <f>RAW_DATA!E104&gt;=1</f>
        <v>1</v>
      </c>
      <c r="F104" s="3" t="b">
        <f>RAW_DATA!L104="No"</f>
        <v>0</v>
      </c>
      <c r="G104" s="3" t="b">
        <f t="shared" si="6"/>
        <v>0</v>
      </c>
      <c r="H104" s="3" t="str">
        <f t="shared" si="7"/>
        <v>INELIGIBLE</v>
      </c>
      <c r="I104" s="3" t="str">
        <f t="shared" si="8"/>
        <v>Defaulter History</v>
      </c>
      <c r="K104" s="3" cm="1">
        <f t="array" ref="K1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4" s="5">
        <f>IF(RAW_DATA!C104&lt;300000,0,IF(RAW_DATA!C104&lt;600000,5,IF(RAW_DATA!C104&lt;1200000,15,IF(RAW_DATA!C104&lt;2000000,20,25))))</f>
        <v>20</v>
      </c>
      <c r="M104" s="3">
        <f>IF(RAW_DATA!E104&lt;1,0,IF(RAW_DATA!E104&lt;3,3,IF(RAW_DATA!E104&lt;5,5,IF(RAW_DATA!E104&lt;10,8,10))))</f>
        <v>10</v>
      </c>
      <c r="N104" s="3">
        <f>IF(RAW_DATA!F104&lt;650,0,IF(RAW_DATA!F104&lt;700,8,IF(RAW_DATA!F104&lt;750,15,IF(RAW_DATA!F104&lt;800,20,25))))</f>
        <v>15</v>
      </c>
      <c r="O104" s="3">
        <f>IF(RAW_DATA!G104=0,5,IF(RAW_DATA!G104=1,4,IF(RAW_DATA!G104=2,3,IF(RAW_DATA!G104=3,2,IF(RAW_DATA!G104=4,1,0)))))</f>
        <v>1</v>
      </c>
      <c r="P104" s="3">
        <f>IF(RAW_DATA!K104&gt;=RAW_DATA!H104,20,ROUND((RAW_DATA!K104/RAW_DATA!H104)*20,0))</f>
        <v>20</v>
      </c>
      <c r="Q104" s="3">
        <f>IF(RAW_DATA!L104="No",5,0)</f>
        <v>0</v>
      </c>
      <c r="R104" s="3">
        <f t="shared" si="9"/>
        <v>76</v>
      </c>
      <c r="S104" s="3">
        <f t="shared" si="10"/>
        <v>76</v>
      </c>
      <c r="T104" s="3" t="str">
        <f t="shared" si="11"/>
        <v>Not Scored - Ineligible</v>
      </c>
    </row>
    <row r="105" spans="1:20" x14ac:dyDescent="0.25">
      <c r="A105" s="3" t="str">
        <f>RAW_DATA!A105</f>
        <v>APP104</v>
      </c>
      <c r="B105" s="3" t="b">
        <f>AND(RAW_DATA!B105&gt;=21,RAW_DATA!B105&lt;=60)</f>
        <v>1</v>
      </c>
      <c r="C105" s="3" t="b">
        <f>RAW_DATA!C105&gt;=300000</f>
        <v>1</v>
      </c>
      <c r="D105" s="3" t="b">
        <f>RAW_DATA!F105&gt;=650</f>
        <v>0</v>
      </c>
      <c r="E105" s="3" t="b">
        <f>RAW_DATA!E105&gt;=1</f>
        <v>1</v>
      </c>
      <c r="F105" s="3" t="b">
        <f>RAW_DATA!L105="No"</f>
        <v>1</v>
      </c>
      <c r="G105" s="3" t="b">
        <f t="shared" si="6"/>
        <v>0</v>
      </c>
      <c r="H105" s="3" t="str">
        <f t="shared" si="7"/>
        <v>INELIGIBLE</v>
      </c>
      <c r="I105" s="3" t="str">
        <f t="shared" si="8"/>
        <v>Credit Score</v>
      </c>
      <c r="K105" s="3" cm="1">
        <f t="array" ref="K1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5" s="5">
        <f>IF(RAW_DATA!C105&lt;300000,0,IF(RAW_DATA!C105&lt;600000,5,IF(RAW_DATA!C105&lt;1200000,15,IF(RAW_DATA!C105&lt;2000000,20,25))))</f>
        <v>20</v>
      </c>
      <c r="M105" s="3">
        <f>IF(RAW_DATA!E105&lt;1,0,IF(RAW_DATA!E105&lt;3,3,IF(RAW_DATA!E105&lt;5,5,IF(RAW_DATA!E105&lt;10,8,10))))</f>
        <v>8</v>
      </c>
      <c r="N105" s="3">
        <f>IF(RAW_DATA!F105&lt;650,0,IF(RAW_DATA!F105&lt;700,8,IF(RAW_DATA!F105&lt;750,15,IF(RAW_DATA!F105&lt;800,20,25))))</f>
        <v>0</v>
      </c>
      <c r="O105" s="3">
        <f>IF(RAW_DATA!G105=0,5,IF(RAW_DATA!G105=1,4,IF(RAW_DATA!G105=2,3,IF(RAW_DATA!G105=3,2,IF(RAW_DATA!G105=4,1,0)))))</f>
        <v>5</v>
      </c>
      <c r="P105" s="3">
        <f>IF(RAW_DATA!K105&gt;=RAW_DATA!H105,20,ROUND((RAW_DATA!K105/RAW_DATA!H105)*20,0))</f>
        <v>20</v>
      </c>
      <c r="Q105" s="3">
        <f>IF(RAW_DATA!L105="No",5,0)</f>
        <v>5</v>
      </c>
      <c r="R105" s="3">
        <f t="shared" si="9"/>
        <v>64</v>
      </c>
      <c r="S105" s="3">
        <f t="shared" si="10"/>
        <v>64</v>
      </c>
      <c r="T105" s="3" t="str">
        <f t="shared" si="11"/>
        <v>Not Scored - Ineligible</v>
      </c>
    </row>
    <row r="106" spans="1:20" x14ac:dyDescent="0.25">
      <c r="A106" s="3" t="str">
        <f>RAW_DATA!A106</f>
        <v>APP105</v>
      </c>
      <c r="B106" s="3" t="b">
        <f>AND(RAW_DATA!B106&gt;=21,RAW_DATA!B106&lt;=60)</f>
        <v>1</v>
      </c>
      <c r="C106" s="3" t="b">
        <f>RAW_DATA!C106&gt;=300000</f>
        <v>1</v>
      </c>
      <c r="D106" s="3" t="b">
        <f>RAW_DATA!F106&gt;=650</f>
        <v>0</v>
      </c>
      <c r="E106" s="3" t="b">
        <f>RAW_DATA!E106&gt;=1</f>
        <v>1</v>
      </c>
      <c r="F106" s="3" t="b">
        <f>RAW_DATA!L106="No"</f>
        <v>1</v>
      </c>
      <c r="G106" s="3" t="b">
        <f t="shared" si="6"/>
        <v>0</v>
      </c>
      <c r="H106" s="3" t="str">
        <f t="shared" si="7"/>
        <v>INELIGIBLE</v>
      </c>
      <c r="I106" s="3" t="str">
        <f t="shared" si="8"/>
        <v>Credit Score</v>
      </c>
      <c r="K106" s="3" cm="1">
        <f t="array" ref="K1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6" s="5">
        <f>IF(RAW_DATA!C106&lt;300000,0,IF(RAW_DATA!C106&lt;600000,5,IF(RAW_DATA!C106&lt;1200000,15,IF(RAW_DATA!C106&lt;2000000,20,25))))</f>
        <v>15</v>
      </c>
      <c r="M106" s="3">
        <f>IF(RAW_DATA!E106&lt;1,0,IF(RAW_DATA!E106&lt;3,3,IF(RAW_DATA!E106&lt;5,5,IF(RAW_DATA!E106&lt;10,8,10))))</f>
        <v>10</v>
      </c>
      <c r="N106" s="3">
        <f>IF(RAW_DATA!F106&lt;650,0,IF(RAW_DATA!F106&lt;700,8,IF(RAW_DATA!F106&lt;750,15,IF(RAW_DATA!F106&lt;800,20,25))))</f>
        <v>0</v>
      </c>
      <c r="O106" s="3">
        <f>IF(RAW_DATA!G106=0,5,IF(RAW_DATA!G106=1,4,IF(RAW_DATA!G106=2,3,IF(RAW_DATA!G106=3,2,IF(RAW_DATA!G106=4,1,0)))))</f>
        <v>4</v>
      </c>
      <c r="P106" s="3">
        <f>IF(RAW_DATA!K106&gt;=RAW_DATA!H106,20,ROUND((RAW_DATA!K106/RAW_DATA!H106)*20,0))</f>
        <v>20</v>
      </c>
      <c r="Q106" s="3">
        <f>IF(RAW_DATA!L106="No",5,0)</f>
        <v>5</v>
      </c>
      <c r="R106" s="3">
        <f t="shared" si="9"/>
        <v>64</v>
      </c>
      <c r="S106" s="3">
        <f t="shared" si="10"/>
        <v>64</v>
      </c>
      <c r="T106" s="3" t="str">
        <f t="shared" si="11"/>
        <v>Not Scored - Ineligible</v>
      </c>
    </row>
    <row r="107" spans="1:20" x14ac:dyDescent="0.25">
      <c r="A107" s="3" t="str">
        <f>RAW_DATA!A107</f>
        <v>APP106</v>
      </c>
      <c r="B107" s="3" t="b">
        <f>AND(RAW_DATA!B107&gt;=21,RAW_DATA!B107&lt;=60)</f>
        <v>1</v>
      </c>
      <c r="C107" s="3" t="b">
        <f>RAW_DATA!C107&gt;=300000</f>
        <v>1</v>
      </c>
      <c r="D107" s="3" t="b">
        <f>RAW_DATA!F107&gt;=650</f>
        <v>0</v>
      </c>
      <c r="E107" s="3" t="b">
        <f>RAW_DATA!E107&gt;=1</f>
        <v>1</v>
      </c>
      <c r="F107" s="3" t="b">
        <f>RAW_DATA!L107="No"</f>
        <v>1</v>
      </c>
      <c r="G107" s="3" t="b">
        <f t="shared" si="6"/>
        <v>0</v>
      </c>
      <c r="H107" s="3" t="str">
        <f t="shared" si="7"/>
        <v>INELIGIBLE</v>
      </c>
      <c r="I107" s="3" t="str">
        <f t="shared" si="8"/>
        <v>Credit Score</v>
      </c>
      <c r="K107" s="3" cm="1">
        <f t="array" ref="K1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7" s="5">
        <f>IF(RAW_DATA!C107&lt;300000,0,IF(RAW_DATA!C107&lt;600000,5,IF(RAW_DATA!C107&lt;1200000,15,IF(RAW_DATA!C107&lt;2000000,20,25))))</f>
        <v>15</v>
      </c>
      <c r="M107" s="3">
        <f>IF(RAW_DATA!E107&lt;1,0,IF(RAW_DATA!E107&lt;3,3,IF(RAW_DATA!E107&lt;5,5,IF(RAW_DATA!E107&lt;10,8,10))))</f>
        <v>10</v>
      </c>
      <c r="N107" s="3">
        <f>IF(RAW_DATA!F107&lt;650,0,IF(RAW_DATA!F107&lt;700,8,IF(RAW_DATA!F107&lt;750,15,IF(RAW_DATA!F107&lt;800,20,25))))</f>
        <v>0</v>
      </c>
      <c r="O107" s="3">
        <f>IF(RAW_DATA!G107=0,5,IF(RAW_DATA!G107=1,4,IF(RAW_DATA!G107=2,3,IF(RAW_DATA!G107=3,2,IF(RAW_DATA!G107=4,1,0)))))</f>
        <v>2</v>
      </c>
      <c r="P107" s="3">
        <f>IF(RAW_DATA!K107&gt;=RAW_DATA!H107,20,ROUND((RAW_DATA!K107/RAW_DATA!H107)*20,0))</f>
        <v>3</v>
      </c>
      <c r="Q107" s="3">
        <f>IF(RAW_DATA!L107="No",5,0)</f>
        <v>5</v>
      </c>
      <c r="R107" s="3">
        <f t="shared" si="9"/>
        <v>42</v>
      </c>
      <c r="S107" s="3">
        <f t="shared" si="10"/>
        <v>42</v>
      </c>
      <c r="T107" s="3" t="str">
        <f t="shared" si="11"/>
        <v>Not Scored - Ineligible</v>
      </c>
    </row>
    <row r="108" spans="1:20" x14ac:dyDescent="0.25">
      <c r="A108" s="3" t="str">
        <f>RAW_DATA!A108</f>
        <v>APP107</v>
      </c>
      <c r="B108" s="3" t="b">
        <f>AND(RAW_DATA!B108&gt;=21,RAW_DATA!B108&lt;=60)</f>
        <v>1</v>
      </c>
      <c r="C108" s="3" t="b">
        <f>RAW_DATA!C108&gt;=300000</f>
        <v>1</v>
      </c>
      <c r="D108" s="3" t="b">
        <f>RAW_DATA!F108&gt;=650</f>
        <v>1</v>
      </c>
      <c r="E108" s="3" t="b">
        <f>RAW_DATA!E108&gt;=1</f>
        <v>1</v>
      </c>
      <c r="F108" s="3" t="b">
        <f>RAW_DATA!L108="No"</f>
        <v>1</v>
      </c>
      <c r="G108" s="3" t="b">
        <f t="shared" si="6"/>
        <v>1</v>
      </c>
      <c r="H108" s="3" t="str">
        <f t="shared" si="7"/>
        <v>ELIGIBLE</v>
      </c>
      <c r="I108" s="3" t="str">
        <f t="shared" si="8"/>
        <v/>
      </c>
      <c r="K108" s="3" cm="1">
        <f t="array" ref="K1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8" s="5">
        <f>IF(RAW_DATA!C108&lt;300000,0,IF(RAW_DATA!C108&lt;600000,5,IF(RAW_DATA!C108&lt;1200000,15,IF(RAW_DATA!C108&lt;2000000,20,25))))</f>
        <v>20</v>
      </c>
      <c r="M108" s="3">
        <f>IF(RAW_DATA!E108&lt;1,0,IF(RAW_DATA!E108&lt;3,3,IF(RAW_DATA!E108&lt;5,5,IF(RAW_DATA!E108&lt;10,8,10))))</f>
        <v>10</v>
      </c>
      <c r="N108" s="3">
        <f>IF(RAW_DATA!F108&lt;650,0,IF(RAW_DATA!F108&lt;700,8,IF(RAW_DATA!F108&lt;750,15,IF(RAW_DATA!F108&lt;800,20,25))))</f>
        <v>20</v>
      </c>
      <c r="O108" s="3">
        <f>IF(RAW_DATA!G108=0,5,IF(RAW_DATA!G108=1,4,IF(RAW_DATA!G108=2,3,IF(RAW_DATA!G108=3,2,IF(RAW_DATA!G108=4,1,0)))))</f>
        <v>3</v>
      </c>
      <c r="P108" s="3">
        <f>IF(RAW_DATA!K108&gt;=RAW_DATA!H108,20,ROUND((RAW_DATA!K108/RAW_DATA!H108)*20,0))</f>
        <v>20</v>
      </c>
      <c r="Q108" s="3">
        <f>IF(RAW_DATA!L108="No",5,0)</f>
        <v>5</v>
      </c>
      <c r="R108" s="3">
        <f t="shared" si="9"/>
        <v>85</v>
      </c>
      <c r="S108" s="3">
        <f t="shared" si="10"/>
        <v>85</v>
      </c>
      <c r="T108" s="3" t="str">
        <f t="shared" si="11"/>
        <v>Strong</v>
      </c>
    </row>
    <row r="109" spans="1:20" x14ac:dyDescent="0.25">
      <c r="A109" s="3" t="str">
        <f>RAW_DATA!A109</f>
        <v>APP108</v>
      </c>
      <c r="B109" s="3" t="b">
        <f>AND(RAW_DATA!B109&gt;=21,RAW_DATA!B109&lt;=60)</f>
        <v>1</v>
      </c>
      <c r="C109" s="3" t="b">
        <f>RAW_DATA!C109&gt;=300000</f>
        <v>1</v>
      </c>
      <c r="D109" s="3" t="b">
        <f>RAW_DATA!F109&gt;=650</f>
        <v>1</v>
      </c>
      <c r="E109" s="3" t="b">
        <f>RAW_DATA!E109&gt;=1</f>
        <v>1</v>
      </c>
      <c r="F109" s="3" t="b">
        <f>RAW_DATA!L109="No"</f>
        <v>1</v>
      </c>
      <c r="G109" s="3" t="b">
        <f t="shared" si="6"/>
        <v>1</v>
      </c>
      <c r="H109" s="3" t="str">
        <f t="shared" si="7"/>
        <v>ELIGIBLE</v>
      </c>
      <c r="I109" s="3" t="str">
        <f t="shared" si="8"/>
        <v/>
      </c>
      <c r="K109" s="3" cm="1">
        <f t="array" ref="K1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9" s="5">
        <f>IF(RAW_DATA!C109&lt;300000,0,IF(RAW_DATA!C109&lt;600000,5,IF(RAW_DATA!C109&lt;1200000,15,IF(RAW_DATA!C109&lt;2000000,20,25))))</f>
        <v>25</v>
      </c>
      <c r="M109" s="3">
        <f>IF(RAW_DATA!E109&lt;1,0,IF(RAW_DATA!E109&lt;3,3,IF(RAW_DATA!E109&lt;5,5,IF(RAW_DATA!E109&lt;10,8,10))))</f>
        <v>10</v>
      </c>
      <c r="N109" s="3">
        <f>IF(RAW_DATA!F109&lt;650,0,IF(RAW_DATA!F109&lt;700,8,IF(RAW_DATA!F109&lt;750,15,IF(RAW_DATA!F109&lt;800,20,25))))</f>
        <v>20</v>
      </c>
      <c r="O109" s="3">
        <f>IF(RAW_DATA!G109=0,5,IF(RAW_DATA!G109=1,4,IF(RAW_DATA!G109=2,3,IF(RAW_DATA!G109=3,2,IF(RAW_DATA!G109=4,1,0)))))</f>
        <v>1</v>
      </c>
      <c r="P109" s="3">
        <f>IF(RAW_DATA!K109&gt;=RAW_DATA!H109,20,ROUND((RAW_DATA!K109/RAW_DATA!H109)*20,0))</f>
        <v>20</v>
      </c>
      <c r="Q109" s="3">
        <f>IF(RAW_DATA!L109="No",5,0)</f>
        <v>5</v>
      </c>
      <c r="R109" s="3">
        <f t="shared" si="9"/>
        <v>88</v>
      </c>
      <c r="S109" s="3">
        <f t="shared" si="10"/>
        <v>88</v>
      </c>
      <c r="T109" s="3" t="str">
        <f t="shared" si="11"/>
        <v>Strong</v>
      </c>
    </row>
    <row r="110" spans="1:20" x14ac:dyDescent="0.25">
      <c r="A110" s="3" t="str">
        <f>RAW_DATA!A110</f>
        <v>APP109</v>
      </c>
      <c r="B110" s="3" t="b">
        <f>AND(RAW_DATA!B110&gt;=21,RAW_DATA!B110&lt;=60)</f>
        <v>1</v>
      </c>
      <c r="C110" s="3" t="b">
        <f>RAW_DATA!C110&gt;=300000</f>
        <v>1</v>
      </c>
      <c r="D110" s="3" t="b">
        <f>RAW_DATA!F110&gt;=650</f>
        <v>1</v>
      </c>
      <c r="E110" s="3" t="b">
        <f>RAW_DATA!E110&gt;=1</f>
        <v>1</v>
      </c>
      <c r="F110" s="3" t="b">
        <f>RAW_DATA!L110="No"</f>
        <v>1</v>
      </c>
      <c r="G110" s="3" t="b">
        <f t="shared" si="6"/>
        <v>1</v>
      </c>
      <c r="H110" s="3" t="str">
        <f t="shared" si="7"/>
        <v>ELIGIBLE</v>
      </c>
      <c r="I110" s="3" t="str">
        <f t="shared" si="8"/>
        <v/>
      </c>
      <c r="K110" s="3" cm="1">
        <f t="array" ref="K1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0" s="5">
        <f>IF(RAW_DATA!C110&lt;300000,0,IF(RAW_DATA!C110&lt;600000,5,IF(RAW_DATA!C110&lt;1200000,15,IF(RAW_DATA!C110&lt;2000000,20,25))))</f>
        <v>20</v>
      </c>
      <c r="M110" s="3">
        <f>IF(RAW_DATA!E110&lt;1,0,IF(RAW_DATA!E110&lt;3,3,IF(RAW_DATA!E110&lt;5,5,IF(RAW_DATA!E110&lt;10,8,10))))</f>
        <v>3</v>
      </c>
      <c r="N110" s="3">
        <f>IF(RAW_DATA!F110&lt;650,0,IF(RAW_DATA!F110&lt;700,8,IF(RAW_DATA!F110&lt;750,15,IF(RAW_DATA!F110&lt;800,20,25))))</f>
        <v>15</v>
      </c>
      <c r="O110" s="3">
        <f>IF(RAW_DATA!G110=0,5,IF(RAW_DATA!G110=1,4,IF(RAW_DATA!G110=2,3,IF(RAW_DATA!G110=3,2,IF(RAW_DATA!G110=4,1,0)))))</f>
        <v>5</v>
      </c>
      <c r="P110" s="3">
        <f>IF(RAW_DATA!K110&gt;=RAW_DATA!H110,20,ROUND((RAW_DATA!K110/RAW_DATA!H110)*20,0))</f>
        <v>20</v>
      </c>
      <c r="Q110" s="3">
        <f>IF(RAW_DATA!L110="No",5,0)</f>
        <v>5</v>
      </c>
      <c r="R110" s="3">
        <f t="shared" si="9"/>
        <v>76</v>
      </c>
      <c r="S110" s="3">
        <f t="shared" si="10"/>
        <v>76</v>
      </c>
      <c r="T110" s="3" t="str">
        <f t="shared" si="11"/>
        <v>Strong</v>
      </c>
    </row>
    <row r="111" spans="1:20" x14ac:dyDescent="0.25">
      <c r="A111" s="3" t="str">
        <f>RAW_DATA!A111</f>
        <v>APP110</v>
      </c>
      <c r="B111" s="3" t="b">
        <f>AND(RAW_DATA!B111&gt;=21,RAW_DATA!B111&lt;=60)</f>
        <v>0</v>
      </c>
      <c r="C111" s="3" t="b">
        <f>RAW_DATA!C111&gt;=300000</f>
        <v>0</v>
      </c>
      <c r="D111" s="3" t="b">
        <f>RAW_DATA!F111&gt;=650</f>
        <v>0</v>
      </c>
      <c r="E111" s="3" t="b">
        <f>RAW_DATA!E111&gt;=1</f>
        <v>1</v>
      </c>
      <c r="F111" s="3" t="b">
        <f>RAW_DATA!L111="No"</f>
        <v>1</v>
      </c>
      <c r="G111" s="3" t="b">
        <f t="shared" si="6"/>
        <v>0</v>
      </c>
      <c r="H111" s="3" t="str">
        <f t="shared" si="7"/>
        <v>INELIGIBLE</v>
      </c>
      <c r="I111" s="3" t="str">
        <f t="shared" si="8"/>
        <v>Age, Income, Credit Score</v>
      </c>
      <c r="K111" s="3" cm="1">
        <f t="array" ref="K1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11" s="5">
        <f>IF(RAW_DATA!C111&lt;300000,0,IF(RAW_DATA!C111&lt;600000,5,IF(RAW_DATA!C111&lt;1200000,15,IF(RAW_DATA!C111&lt;2000000,20,25))))</f>
        <v>0</v>
      </c>
      <c r="M111" s="3">
        <f>IF(RAW_DATA!E111&lt;1,0,IF(RAW_DATA!E111&lt;3,3,IF(RAW_DATA!E111&lt;5,5,IF(RAW_DATA!E111&lt;10,8,10))))</f>
        <v>8</v>
      </c>
      <c r="N111" s="3">
        <f>IF(RAW_DATA!F111&lt;650,0,IF(RAW_DATA!F111&lt;700,8,IF(RAW_DATA!F111&lt;750,15,IF(RAW_DATA!F111&lt;800,20,25))))</f>
        <v>0</v>
      </c>
      <c r="O111" s="3">
        <f>IF(RAW_DATA!G111=0,5,IF(RAW_DATA!G111=1,4,IF(RAW_DATA!G111=2,3,IF(RAW_DATA!G111=3,2,IF(RAW_DATA!G111=4,1,0)))))</f>
        <v>1</v>
      </c>
      <c r="P111" s="3">
        <f>IF(RAW_DATA!K111&gt;=RAW_DATA!H111,20,ROUND((RAW_DATA!K111/RAW_DATA!H111)*20,0))</f>
        <v>7</v>
      </c>
      <c r="Q111" s="3">
        <f>IF(RAW_DATA!L111="No",5,0)</f>
        <v>5</v>
      </c>
      <c r="R111" s="3">
        <f t="shared" si="9"/>
        <v>21</v>
      </c>
      <c r="S111" s="3">
        <f t="shared" si="10"/>
        <v>21</v>
      </c>
      <c r="T111" s="3" t="str">
        <f t="shared" si="11"/>
        <v>Not Scored - Ineligible</v>
      </c>
    </row>
    <row r="112" spans="1:20" x14ac:dyDescent="0.25">
      <c r="A112" s="3" t="str">
        <f>RAW_DATA!A112</f>
        <v>APP111</v>
      </c>
      <c r="B112" s="3" t="b">
        <f>AND(RAW_DATA!B112&gt;=21,RAW_DATA!B112&lt;=60)</f>
        <v>1</v>
      </c>
      <c r="C112" s="3" t="b">
        <f>RAW_DATA!C112&gt;=300000</f>
        <v>1</v>
      </c>
      <c r="D112" s="3" t="b">
        <f>RAW_DATA!F112&gt;=650</f>
        <v>0</v>
      </c>
      <c r="E112" s="3" t="b">
        <f>RAW_DATA!E112&gt;=1</f>
        <v>1</v>
      </c>
      <c r="F112" s="3" t="b">
        <f>RAW_DATA!L112="No"</f>
        <v>1</v>
      </c>
      <c r="G112" s="3" t="b">
        <f t="shared" si="6"/>
        <v>0</v>
      </c>
      <c r="H112" s="3" t="str">
        <f t="shared" si="7"/>
        <v>INELIGIBLE</v>
      </c>
      <c r="I112" s="3" t="str">
        <f t="shared" si="8"/>
        <v>Credit Score</v>
      </c>
      <c r="K112" s="3" cm="1">
        <f t="array" ref="K1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2" s="5">
        <f>IF(RAW_DATA!C112&lt;300000,0,IF(RAW_DATA!C112&lt;600000,5,IF(RAW_DATA!C112&lt;1200000,15,IF(RAW_DATA!C112&lt;2000000,20,25))))</f>
        <v>15</v>
      </c>
      <c r="M112" s="3">
        <f>IF(RAW_DATA!E112&lt;1,0,IF(RAW_DATA!E112&lt;3,3,IF(RAW_DATA!E112&lt;5,5,IF(RAW_DATA!E112&lt;10,8,10))))</f>
        <v>8</v>
      </c>
      <c r="N112" s="3">
        <f>IF(RAW_DATA!F112&lt;650,0,IF(RAW_DATA!F112&lt;700,8,IF(RAW_DATA!F112&lt;750,15,IF(RAW_DATA!F112&lt;800,20,25))))</f>
        <v>0</v>
      </c>
      <c r="O112" s="3">
        <f>IF(RAW_DATA!G112=0,5,IF(RAW_DATA!G112=1,4,IF(RAW_DATA!G112=2,3,IF(RAW_DATA!G112=3,2,IF(RAW_DATA!G112=4,1,0)))))</f>
        <v>0</v>
      </c>
      <c r="P112" s="3">
        <f>IF(RAW_DATA!K112&gt;=RAW_DATA!H112,20,ROUND((RAW_DATA!K112/RAW_DATA!H112)*20,0))</f>
        <v>20</v>
      </c>
      <c r="Q112" s="3">
        <f>IF(RAW_DATA!L112="No",5,0)</f>
        <v>5</v>
      </c>
      <c r="R112" s="3">
        <f t="shared" si="9"/>
        <v>55</v>
      </c>
      <c r="S112" s="3">
        <f t="shared" si="10"/>
        <v>55</v>
      </c>
      <c r="T112" s="3" t="str">
        <f t="shared" si="11"/>
        <v>Not Scored - Ineligible</v>
      </c>
    </row>
    <row r="113" spans="1:20" x14ac:dyDescent="0.25">
      <c r="A113" s="3" t="str">
        <f>RAW_DATA!A113</f>
        <v>APP112</v>
      </c>
      <c r="B113" s="3" t="b">
        <f>AND(RAW_DATA!B113&gt;=21,RAW_DATA!B113&lt;=60)</f>
        <v>1</v>
      </c>
      <c r="C113" s="3" t="b">
        <f>RAW_DATA!C113&gt;=300000</f>
        <v>0</v>
      </c>
      <c r="D113" s="3" t="b">
        <f>RAW_DATA!F113&gt;=650</f>
        <v>0</v>
      </c>
      <c r="E113" s="3" t="b">
        <f>RAW_DATA!E113&gt;=1</f>
        <v>1</v>
      </c>
      <c r="F113" s="3" t="b">
        <f>RAW_DATA!L113="No"</f>
        <v>1</v>
      </c>
      <c r="G113" s="3" t="b">
        <f t="shared" si="6"/>
        <v>0</v>
      </c>
      <c r="H113" s="3" t="str">
        <f t="shared" si="7"/>
        <v>INELIGIBLE</v>
      </c>
      <c r="I113" s="3" t="str">
        <f t="shared" si="8"/>
        <v>Income, Credit Score</v>
      </c>
      <c r="K113" s="3" cm="1">
        <f t="array" ref="K1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3" s="5">
        <f>IF(RAW_DATA!C113&lt;300000,0,IF(RAW_DATA!C113&lt;600000,5,IF(RAW_DATA!C113&lt;1200000,15,IF(RAW_DATA!C113&lt;2000000,20,25))))</f>
        <v>0</v>
      </c>
      <c r="M113" s="3">
        <f>IF(RAW_DATA!E113&lt;1,0,IF(RAW_DATA!E113&lt;3,3,IF(RAW_DATA!E113&lt;5,5,IF(RAW_DATA!E113&lt;10,8,10))))</f>
        <v>10</v>
      </c>
      <c r="N113" s="3">
        <f>IF(RAW_DATA!F113&lt;650,0,IF(RAW_DATA!F113&lt;700,8,IF(RAW_DATA!F113&lt;750,15,IF(RAW_DATA!F113&lt;800,20,25))))</f>
        <v>0</v>
      </c>
      <c r="O113" s="3">
        <f>IF(RAW_DATA!G113=0,5,IF(RAW_DATA!G113=1,4,IF(RAW_DATA!G113=2,3,IF(RAW_DATA!G113=3,2,IF(RAW_DATA!G113=4,1,0)))))</f>
        <v>1</v>
      </c>
      <c r="P113" s="3">
        <f>IF(RAW_DATA!K113&gt;=RAW_DATA!H113,20,ROUND((RAW_DATA!K113/RAW_DATA!H113)*20,0))</f>
        <v>14</v>
      </c>
      <c r="Q113" s="3">
        <f>IF(RAW_DATA!L113="No",5,0)</f>
        <v>5</v>
      </c>
      <c r="R113" s="3">
        <f t="shared" si="9"/>
        <v>37</v>
      </c>
      <c r="S113" s="3">
        <f t="shared" si="10"/>
        <v>37</v>
      </c>
      <c r="T113" s="3" t="str">
        <f t="shared" si="11"/>
        <v>Not Scored - Ineligible</v>
      </c>
    </row>
    <row r="114" spans="1:20" x14ac:dyDescent="0.25">
      <c r="A114" s="3" t="str">
        <f>RAW_DATA!A114</f>
        <v>APP113</v>
      </c>
      <c r="B114" s="3" t="b">
        <f>AND(RAW_DATA!B114&gt;=21,RAW_DATA!B114&lt;=60)</f>
        <v>1</v>
      </c>
      <c r="C114" s="3" t="b">
        <f>RAW_DATA!C114&gt;=300000</f>
        <v>1</v>
      </c>
      <c r="D114" s="3" t="b">
        <f>RAW_DATA!F114&gt;=650</f>
        <v>1</v>
      </c>
      <c r="E114" s="3" t="b">
        <f>RAW_DATA!E114&gt;=1</f>
        <v>1</v>
      </c>
      <c r="F114" s="3" t="b">
        <f>RAW_DATA!L114="No"</f>
        <v>1</v>
      </c>
      <c r="G114" s="3" t="b">
        <f t="shared" si="6"/>
        <v>1</v>
      </c>
      <c r="H114" s="3" t="str">
        <f t="shared" si="7"/>
        <v>ELIGIBLE</v>
      </c>
      <c r="I114" s="3" t="str">
        <f t="shared" si="8"/>
        <v/>
      </c>
      <c r="K114" s="3" cm="1">
        <f t="array" ref="K1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4" s="5">
        <f>IF(RAW_DATA!C114&lt;300000,0,IF(RAW_DATA!C114&lt;600000,5,IF(RAW_DATA!C114&lt;1200000,15,IF(RAW_DATA!C114&lt;2000000,20,25))))</f>
        <v>25</v>
      </c>
      <c r="M114" s="3">
        <f>IF(RAW_DATA!E114&lt;1,0,IF(RAW_DATA!E114&lt;3,3,IF(RAW_DATA!E114&lt;5,5,IF(RAW_DATA!E114&lt;10,8,10))))</f>
        <v>10</v>
      </c>
      <c r="N114" s="3">
        <f>IF(RAW_DATA!F114&lt;650,0,IF(RAW_DATA!F114&lt;700,8,IF(RAW_DATA!F114&lt;750,15,IF(RAW_DATA!F114&lt;800,20,25))))</f>
        <v>25</v>
      </c>
      <c r="O114" s="3">
        <f>IF(RAW_DATA!G114=0,5,IF(RAW_DATA!G114=1,4,IF(RAW_DATA!G114=2,3,IF(RAW_DATA!G114=3,2,IF(RAW_DATA!G114=4,1,0)))))</f>
        <v>4</v>
      </c>
      <c r="P114" s="3">
        <f>IF(RAW_DATA!K114&gt;=RAW_DATA!H114,20,ROUND((RAW_DATA!K114/RAW_DATA!H114)*20,0))</f>
        <v>20</v>
      </c>
      <c r="Q114" s="3">
        <f>IF(RAW_DATA!L114="No",5,0)</f>
        <v>5</v>
      </c>
      <c r="R114" s="3">
        <f t="shared" si="9"/>
        <v>96</v>
      </c>
      <c r="S114" s="3">
        <f t="shared" si="10"/>
        <v>96</v>
      </c>
      <c r="T114" s="3" t="str">
        <f t="shared" si="11"/>
        <v>Strong</v>
      </c>
    </row>
    <row r="115" spans="1:20" x14ac:dyDescent="0.25">
      <c r="A115" s="3" t="str">
        <f>RAW_DATA!A115</f>
        <v>APP114</v>
      </c>
      <c r="B115" s="3" t="b">
        <f>AND(RAW_DATA!B115&gt;=21,RAW_DATA!B115&lt;=60)</f>
        <v>1</v>
      </c>
      <c r="C115" s="3" t="b">
        <f>RAW_DATA!C115&gt;=300000</f>
        <v>1</v>
      </c>
      <c r="D115" s="3" t="b">
        <f>RAW_DATA!F115&gt;=650</f>
        <v>0</v>
      </c>
      <c r="E115" s="3" t="b">
        <f>RAW_DATA!E115&gt;=1</f>
        <v>1</v>
      </c>
      <c r="F115" s="3" t="b">
        <f>RAW_DATA!L115="No"</f>
        <v>1</v>
      </c>
      <c r="G115" s="3" t="b">
        <f t="shared" si="6"/>
        <v>0</v>
      </c>
      <c r="H115" s="3" t="str">
        <f t="shared" si="7"/>
        <v>INELIGIBLE</v>
      </c>
      <c r="I115" s="3" t="str">
        <f t="shared" si="8"/>
        <v>Credit Score</v>
      </c>
      <c r="K115" s="3" cm="1">
        <f t="array" ref="K1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5" s="5">
        <f>IF(RAW_DATA!C115&lt;300000,0,IF(RAW_DATA!C115&lt;600000,5,IF(RAW_DATA!C115&lt;1200000,15,IF(RAW_DATA!C115&lt;2000000,20,25))))</f>
        <v>5</v>
      </c>
      <c r="M115" s="3">
        <f>IF(RAW_DATA!E115&lt;1,0,IF(RAW_DATA!E115&lt;3,3,IF(RAW_DATA!E115&lt;5,5,IF(RAW_DATA!E115&lt;10,8,10))))</f>
        <v>3</v>
      </c>
      <c r="N115" s="3">
        <f>IF(RAW_DATA!F115&lt;650,0,IF(RAW_DATA!F115&lt;700,8,IF(RAW_DATA!F115&lt;750,15,IF(RAW_DATA!F115&lt;800,20,25))))</f>
        <v>0</v>
      </c>
      <c r="O115" s="3">
        <f>IF(RAW_DATA!G115=0,5,IF(RAW_DATA!G115=1,4,IF(RAW_DATA!G115=2,3,IF(RAW_DATA!G115=3,2,IF(RAW_DATA!G115=4,1,0)))))</f>
        <v>2</v>
      </c>
      <c r="P115" s="3">
        <f>IF(RAW_DATA!K115&gt;=RAW_DATA!H115,20,ROUND((RAW_DATA!K115/RAW_DATA!H115)*20,0))</f>
        <v>20</v>
      </c>
      <c r="Q115" s="3">
        <f>IF(RAW_DATA!L115="No",5,0)</f>
        <v>5</v>
      </c>
      <c r="R115" s="3">
        <f t="shared" si="9"/>
        <v>39</v>
      </c>
      <c r="S115" s="3">
        <f t="shared" si="10"/>
        <v>39</v>
      </c>
      <c r="T115" s="3" t="str">
        <f t="shared" si="11"/>
        <v>Not Scored - Ineligible</v>
      </c>
    </row>
    <row r="116" spans="1:20" x14ac:dyDescent="0.25">
      <c r="A116" s="3" t="str">
        <f>RAW_DATA!A116</f>
        <v>APP115</v>
      </c>
      <c r="B116" s="3" t="b">
        <f>AND(RAW_DATA!B116&gt;=21,RAW_DATA!B116&lt;=60)</f>
        <v>1</v>
      </c>
      <c r="C116" s="3" t="b">
        <f>RAW_DATA!C116&gt;=300000</f>
        <v>1</v>
      </c>
      <c r="D116" s="3" t="b">
        <f>RAW_DATA!F116&gt;=650</f>
        <v>1</v>
      </c>
      <c r="E116" s="3" t="b">
        <f>RAW_DATA!E116&gt;=1</f>
        <v>1</v>
      </c>
      <c r="F116" s="3" t="b">
        <f>RAW_DATA!L116="No"</f>
        <v>1</v>
      </c>
      <c r="G116" s="3" t="b">
        <f t="shared" si="6"/>
        <v>1</v>
      </c>
      <c r="H116" s="3" t="str">
        <f t="shared" si="7"/>
        <v>ELIGIBLE</v>
      </c>
      <c r="I116" s="3" t="str">
        <f t="shared" si="8"/>
        <v/>
      </c>
      <c r="K116" s="3" cm="1">
        <f t="array" ref="K1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6" s="5">
        <f>IF(RAW_DATA!C116&lt;300000,0,IF(RAW_DATA!C116&lt;600000,5,IF(RAW_DATA!C116&lt;1200000,15,IF(RAW_DATA!C116&lt;2000000,20,25))))</f>
        <v>20</v>
      </c>
      <c r="M116" s="3">
        <f>IF(RAW_DATA!E116&lt;1,0,IF(RAW_DATA!E116&lt;3,3,IF(RAW_DATA!E116&lt;5,5,IF(RAW_DATA!E116&lt;10,8,10))))</f>
        <v>10</v>
      </c>
      <c r="N116" s="3">
        <f>IF(RAW_DATA!F116&lt;650,0,IF(RAW_DATA!F116&lt;700,8,IF(RAW_DATA!F116&lt;750,15,IF(RAW_DATA!F116&lt;800,20,25))))</f>
        <v>15</v>
      </c>
      <c r="O116" s="3">
        <f>IF(RAW_DATA!G116=0,5,IF(RAW_DATA!G116=1,4,IF(RAW_DATA!G116=2,3,IF(RAW_DATA!G116=3,2,IF(RAW_DATA!G116=4,1,0)))))</f>
        <v>1</v>
      </c>
      <c r="P116" s="3">
        <f>IF(RAW_DATA!K116&gt;=RAW_DATA!H116,20,ROUND((RAW_DATA!K116/RAW_DATA!H116)*20,0))</f>
        <v>16</v>
      </c>
      <c r="Q116" s="3">
        <f>IF(RAW_DATA!L116="No",5,0)</f>
        <v>5</v>
      </c>
      <c r="R116" s="3">
        <f t="shared" si="9"/>
        <v>77</v>
      </c>
      <c r="S116" s="3">
        <f t="shared" si="10"/>
        <v>77</v>
      </c>
      <c r="T116" s="3" t="str">
        <f t="shared" si="11"/>
        <v>Strong</v>
      </c>
    </row>
    <row r="117" spans="1:20" x14ac:dyDescent="0.25">
      <c r="A117" s="3" t="str">
        <f>RAW_DATA!A117</f>
        <v>APP116</v>
      </c>
      <c r="B117" s="3" t="b">
        <f>AND(RAW_DATA!B117&gt;=21,RAW_DATA!B117&lt;=60)</f>
        <v>1</v>
      </c>
      <c r="C117" s="3" t="b">
        <f>RAW_DATA!C117&gt;=300000</f>
        <v>1</v>
      </c>
      <c r="D117" s="3" t="b">
        <f>RAW_DATA!F117&gt;=650</f>
        <v>0</v>
      </c>
      <c r="E117" s="3" t="b">
        <f>RAW_DATA!E117&gt;=1</f>
        <v>1</v>
      </c>
      <c r="F117" s="3" t="b">
        <f>RAW_DATA!L117="No"</f>
        <v>1</v>
      </c>
      <c r="G117" s="3" t="b">
        <f t="shared" si="6"/>
        <v>0</v>
      </c>
      <c r="H117" s="3" t="str">
        <f t="shared" si="7"/>
        <v>INELIGIBLE</v>
      </c>
      <c r="I117" s="3" t="str">
        <f t="shared" si="8"/>
        <v>Credit Score</v>
      </c>
      <c r="K117" s="3" cm="1">
        <f t="array" ref="K1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7" s="5">
        <f>IF(RAW_DATA!C117&lt;300000,0,IF(RAW_DATA!C117&lt;600000,5,IF(RAW_DATA!C117&lt;1200000,15,IF(RAW_DATA!C117&lt;2000000,20,25))))</f>
        <v>25</v>
      </c>
      <c r="M117" s="3">
        <f>IF(RAW_DATA!E117&lt;1,0,IF(RAW_DATA!E117&lt;3,3,IF(RAW_DATA!E117&lt;5,5,IF(RAW_DATA!E117&lt;10,8,10))))</f>
        <v>8</v>
      </c>
      <c r="N117" s="3">
        <f>IF(RAW_DATA!F117&lt;650,0,IF(RAW_DATA!F117&lt;700,8,IF(RAW_DATA!F117&lt;750,15,IF(RAW_DATA!F117&lt;800,20,25))))</f>
        <v>0</v>
      </c>
      <c r="O117" s="3">
        <f>IF(RAW_DATA!G117=0,5,IF(RAW_DATA!G117=1,4,IF(RAW_DATA!G117=2,3,IF(RAW_DATA!G117=3,2,IF(RAW_DATA!G117=4,1,0)))))</f>
        <v>0</v>
      </c>
      <c r="P117" s="3">
        <f>IF(RAW_DATA!K117&gt;=RAW_DATA!H117,20,ROUND((RAW_DATA!K117/RAW_DATA!H117)*20,0))</f>
        <v>20</v>
      </c>
      <c r="Q117" s="3">
        <f>IF(RAW_DATA!L117="No",5,0)</f>
        <v>5</v>
      </c>
      <c r="R117" s="3">
        <f t="shared" si="9"/>
        <v>62</v>
      </c>
      <c r="S117" s="3">
        <f t="shared" si="10"/>
        <v>62</v>
      </c>
      <c r="T117" s="3" t="str">
        <f t="shared" si="11"/>
        <v>Not Scored - Ineligible</v>
      </c>
    </row>
    <row r="118" spans="1:20" x14ac:dyDescent="0.25">
      <c r="A118" s="3" t="str">
        <f>RAW_DATA!A118</f>
        <v>APP117</v>
      </c>
      <c r="B118" s="3" t="b">
        <f>AND(RAW_DATA!B118&gt;=21,RAW_DATA!B118&lt;=60)</f>
        <v>1</v>
      </c>
      <c r="C118" s="3" t="b">
        <f>RAW_DATA!C118&gt;=300000</f>
        <v>1</v>
      </c>
      <c r="D118" s="3" t="b">
        <f>RAW_DATA!F118&gt;=650</f>
        <v>0</v>
      </c>
      <c r="E118" s="3" t="b">
        <f>RAW_DATA!E118&gt;=1</f>
        <v>1</v>
      </c>
      <c r="F118" s="3" t="b">
        <f>RAW_DATA!L118="No"</f>
        <v>1</v>
      </c>
      <c r="G118" s="3" t="b">
        <f t="shared" si="6"/>
        <v>0</v>
      </c>
      <c r="H118" s="3" t="str">
        <f t="shared" si="7"/>
        <v>INELIGIBLE</v>
      </c>
      <c r="I118" s="3" t="str">
        <f t="shared" si="8"/>
        <v>Credit Score</v>
      </c>
      <c r="K118" s="3" cm="1">
        <f t="array" ref="K1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8" s="5">
        <f>IF(RAW_DATA!C118&lt;300000,0,IF(RAW_DATA!C118&lt;600000,5,IF(RAW_DATA!C118&lt;1200000,15,IF(RAW_DATA!C118&lt;2000000,20,25))))</f>
        <v>15</v>
      </c>
      <c r="M118" s="3">
        <f>IF(RAW_DATA!E118&lt;1,0,IF(RAW_DATA!E118&lt;3,3,IF(RAW_DATA!E118&lt;5,5,IF(RAW_DATA!E118&lt;10,8,10))))</f>
        <v>5</v>
      </c>
      <c r="N118" s="3">
        <f>IF(RAW_DATA!F118&lt;650,0,IF(RAW_DATA!F118&lt;700,8,IF(RAW_DATA!F118&lt;750,15,IF(RAW_DATA!F118&lt;800,20,25))))</f>
        <v>0</v>
      </c>
      <c r="O118" s="3">
        <f>IF(RAW_DATA!G118=0,5,IF(RAW_DATA!G118=1,4,IF(RAW_DATA!G118=2,3,IF(RAW_DATA!G118=3,2,IF(RAW_DATA!G118=4,1,0)))))</f>
        <v>0</v>
      </c>
      <c r="P118" s="3">
        <f>IF(RAW_DATA!K118&gt;=RAW_DATA!H118,20,ROUND((RAW_DATA!K118/RAW_DATA!H118)*20,0))</f>
        <v>20</v>
      </c>
      <c r="Q118" s="3">
        <f>IF(RAW_DATA!L118="No",5,0)</f>
        <v>5</v>
      </c>
      <c r="R118" s="3">
        <f t="shared" si="9"/>
        <v>53</v>
      </c>
      <c r="S118" s="3">
        <f t="shared" si="10"/>
        <v>53</v>
      </c>
      <c r="T118" s="3" t="str">
        <f t="shared" si="11"/>
        <v>Not Scored - Ineligible</v>
      </c>
    </row>
    <row r="119" spans="1:20" x14ac:dyDescent="0.25">
      <c r="A119" s="3" t="str">
        <f>RAW_DATA!A119</f>
        <v>APP118</v>
      </c>
      <c r="B119" s="3" t="b">
        <f>AND(RAW_DATA!B119&gt;=21,RAW_DATA!B119&lt;=60)</f>
        <v>1</v>
      </c>
      <c r="C119" s="3" t="b">
        <f>RAW_DATA!C119&gt;=300000</f>
        <v>0</v>
      </c>
      <c r="D119" s="3" t="b">
        <f>RAW_DATA!F119&gt;=650</f>
        <v>1</v>
      </c>
      <c r="E119" s="3" t="b">
        <f>RAW_DATA!E119&gt;=1</f>
        <v>1</v>
      </c>
      <c r="F119" s="3" t="b">
        <f>RAW_DATA!L119="No"</f>
        <v>1</v>
      </c>
      <c r="G119" s="3" t="b">
        <f t="shared" si="6"/>
        <v>0</v>
      </c>
      <c r="H119" s="3" t="str">
        <f t="shared" si="7"/>
        <v>INELIGIBLE</v>
      </c>
      <c r="I119" s="3" t="str">
        <f t="shared" si="8"/>
        <v>Income</v>
      </c>
      <c r="K119" s="3" cm="1">
        <f t="array" ref="K1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9" s="5">
        <f>IF(RAW_DATA!C119&lt;300000,0,IF(RAW_DATA!C119&lt;600000,5,IF(RAW_DATA!C119&lt;1200000,15,IF(RAW_DATA!C119&lt;2000000,20,25))))</f>
        <v>0</v>
      </c>
      <c r="M119" s="3">
        <f>IF(RAW_DATA!E119&lt;1,0,IF(RAW_DATA!E119&lt;3,3,IF(RAW_DATA!E119&lt;5,5,IF(RAW_DATA!E119&lt;10,8,10))))</f>
        <v>10</v>
      </c>
      <c r="N119" s="3">
        <f>IF(RAW_DATA!F119&lt;650,0,IF(RAW_DATA!F119&lt;700,8,IF(RAW_DATA!F119&lt;750,15,IF(RAW_DATA!F119&lt;800,20,25))))</f>
        <v>8</v>
      </c>
      <c r="O119" s="3">
        <f>IF(RAW_DATA!G119=0,5,IF(RAW_DATA!G119=1,4,IF(RAW_DATA!G119=2,3,IF(RAW_DATA!G119=3,2,IF(RAW_DATA!G119=4,1,0)))))</f>
        <v>2</v>
      </c>
      <c r="P119" s="3">
        <f>IF(RAW_DATA!K119&gt;=RAW_DATA!H119,20,ROUND((RAW_DATA!K119/RAW_DATA!H119)*20,0))</f>
        <v>20</v>
      </c>
      <c r="Q119" s="3">
        <f>IF(RAW_DATA!L119="No",5,0)</f>
        <v>5</v>
      </c>
      <c r="R119" s="3">
        <f t="shared" si="9"/>
        <v>49</v>
      </c>
      <c r="S119" s="3">
        <f t="shared" si="10"/>
        <v>49</v>
      </c>
      <c r="T119" s="3" t="str">
        <f t="shared" si="11"/>
        <v>Not Scored - Ineligible</v>
      </c>
    </row>
    <row r="120" spans="1:20" x14ac:dyDescent="0.25">
      <c r="A120" s="3" t="str">
        <f>RAW_DATA!A120</f>
        <v>APP119</v>
      </c>
      <c r="B120" s="3" t="b">
        <f>AND(RAW_DATA!B120&gt;=21,RAW_DATA!B120&lt;=60)</f>
        <v>1</v>
      </c>
      <c r="C120" s="3" t="b">
        <f>RAW_DATA!C120&gt;=300000</f>
        <v>1</v>
      </c>
      <c r="D120" s="3" t="b">
        <f>RAW_DATA!F120&gt;=650</f>
        <v>1</v>
      </c>
      <c r="E120" s="3" t="b">
        <f>RAW_DATA!E120&gt;=1</f>
        <v>1</v>
      </c>
      <c r="F120" s="3" t="b">
        <f>RAW_DATA!L120="No"</f>
        <v>1</v>
      </c>
      <c r="G120" s="3" t="b">
        <f t="shared" si="6"/>
        <v>1</v>
      </c>
      <c r="H120" s="3" t="str">
        <f t="shared" si="7"/>
        <v>ELIGIBLE</v>
      </c>
      <c r="I120" s="3" t="str">
        <f t="shared" si="8"/>
        <v/>
      </c>
      <c r="K120" s="3" cm="1">
        <f t="array" ref="K1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0" s="5">
        <f>IF(RAW_DATA!C120&lt;300000,0,IF(RAW_DATA!C120&lt;600000,5,IF(RAW_DATA!C120&lt;1200000,15,IF(RAW_DATA!C120&lt;2000000,20,25))))</f>
        <v>5</v>
      </c>
      <c r="M120" s="3">
        <f>IF(RAW_DATA!E120&lt;1,0,IF(RAW_DATA!E120&lt;3,3,IF(RAW_DATA!E120&lt;5,5,IF(RAW_DATA!E120&lt;10,8,10))))</f>
        <v>10</v>
      </c>
      <c r="N120" s="3">
        <f>IF(RAW_DATA!F120&lt;650,0,IF(RAW_DATA!F120&lt;700,8,IF(RAW_DATA!F120&lt;750,15,IF(RAW_DATA!F120&lt;800,20,25))))</f>
        <v>25</v>
      </c>
      <c r="O120" s="3">
        <f>IF(RAW_DATA!G120=0,5,IF(RAW_DATA!G120=1,4,IF(RAW_DATA!G120=2,3,IF(RAW_DATA!G120=3,2,IF(RAW_DATA!G120=4,1,0)))))</f>
        <v>0</v>
      </c>
      <c r="P120" s="3">
        <f>IF(RAW_DATA!K120&gt;=RAW_DATA!H120,20,ROUND((RAW_DATA!K120/RAW_DATA!H120)*20,0))</f>
        <v>20</v>
      </c>
      <c r="Q120" s="3">
        <f>IF(RAW_DATA!L120="No",5,0)</f>
        <v>5</v>
      </c>
      <c r="R120" s="3">
        <f t="shared" si="9"/>
        <v>73</v>
      </c>
      <c r="S120" s="3">
        <f t="shared" si="10"/>
        <v>73</v>
      </c>
      <c r="T120" s="3" t="str">
        <f t="shared" si="11"/>
        <v>Strong</v>
      </c>
    </row>
    <row r="121" spans="1:20" x14ac:dyDescent="0.25">
      <c r="A121" s="3" t="str">
        <f>RAW_DATA!A121</f>
        <v>APP120</v>
      </c>
      <c r="B121" s="3" t="b">
        <f>AND(RAW_DATA!B121&gt;=21,RAW_DATA!B121&lt;=60)</f>
        <v>1</v>
      </c>
      <c r="C121" s="3" t="b">
        <f>RAW_DATA!C121&gt;=300000</f>
        <v>1</v>
      </c>
      <c r="D121" s="3" t="b">
        <f>RAW_DATA!F121&gt;=650</f>
        <v>1</v>
      </c>
      <c r="E121" s="3" t="b">
        <f>RAW_DATA!E121&gt;=1</f>
        <v>1</v>
      </c>
      <c r="F121" s="3" t="b">
        <f>RAW_DATA!L121="No"</f>
        <v>1</v>
      </c>
      <c r="G121" s="3" t="b">
        <f t="shared" si="6"/>
        <v>1</v>
      </c>
      <c r="H121" s="3" t="str">
        <f t="shared" si="7"/>
        <v>ELIGIBLE</v>
      </c>
      <c r="I121" s="3" t="str">
        <f t="shared" si="8"/>
        <v/>
      </c>
      <c r="K121" s="3" cm="1">
        <f t="array" ref="K1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1" s="5">
        <f>IF(RAW_DATA!C121&lt;300000,0,IF(RAW_DATA!C121&lt;600000,5,IF(RAW_DATA!C121&lt;1200000,15,IF(RAW_DATA!C121&lt;2000000,20,25))))</f>
        <v>25</v>
      </c>
      <c r="M121" s="3">
        <f>IF(RAW_DATA!E121&lt;1,0,IF(RAW_DATA!E121&lt;3,3,IF(RAW_DATA!E121&lt;5,5,IF(RAW_DATA!E121&lt;10,8,10))))</f>
        <v>10</v>
      </c>
      <c r="N121" s="3">
        <f>IF(RAW_DATA!F121&lt;650,0,IF(RAW_DATA!F121&lt;700,8,IF(RAW_DATA!F121&lt;750,15,IF(RAW_DATA!F121&lt;800,20,25))))</f>
        <v>15</v>
      </c>
      <c r="O121" s="3">
        <f>IF(RAW_DATA!G121=0,5,IF(RAW_DATA!G121=1,4,IF(RAW_DATA!G121=2,3,IF(RAW_DATA!G121=3,2,IF(RAW_DATA!G121=4,1,0)))))</f>
        <v>5</v>
      </c>
      <c r="P121" s="3">
        <f>IF(RAW_DATA!K121&gt;=RAW_DATA!H121,20,ROUND((RAW_DATA!K121/RAW_DATA!H121)*20,0))</f>
        <v>20</v>
      </c>
      <c r="Q121" s="3">
        <f>IF(RAW_DATA!L121="No",5,0)</f>
        <v>5</v>
      </c>
      <c r="R121" s="3">
        <f t="shared" si="9"/>
        <v>90</v>
      </c>
      <c r="S121" s="3">
        <f t="shared" si="10"/>
        <v>90</v>
      </c>
      <c r="T121" s="3" t="str">
        <f t="shared" si="11"/>
        <v>Strong</v>
      </c>
    </row>
    <row r="122" spans="1:20" x14ac:dyDescent="0.25">
      <c r="A122" s="3" t="str">
        <f>RAW_DATA!A122</f>
        <v>APP121</v>
      </c>
      <c r="B122" s="3" t="b">
        <f>AND(RAW_DATA!B122&gt;=21,RAW_DATA!B122&lt;=60)</f>
        <v>1</v>
      </c>
      <c r="C122" s="3" t="b">
        <f>RAW_DATA!C122&gt;=300000</f>
        <v>1</v>
      </c>
      <c r="D122" s="3" t="b">
        <f>RAW_DATA!F122&gt;=650</f>
        <v>0</v>
      </c>
      <c r="E122" s="3" t="b">
        <f>RAW_DATA!E122&gt;=1</f>
        <v>1</v>
      </c>
      <c r="F122" s="3" t="b">
        <f>RAW_DATA!L122="No"</f>
        <v>1</v>
      </c>
      <c r="G122" s="3" t="b">
        <f t="shared" si="6"/>
        <v>0</v>
      </c>
      <c r="H122" s="3" t="str">
        <f t="shared" si="7"/>
        <v>INELIGIBLE</v>
      </c>
      <c r="I122" s="3" t="str">
        <f t="shared" si="8"/>
        <v>Credit Score</v>
      </c>
      <c r="K122" s="3" cm="1">
        <f t="array" ref="K1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2" s="5">
        <f>IF(RAW_DATA!C122&lt;300000,0,IF(RAW_DATA!C122&lt;600000,5,IF(RAW_DATA!C122&lt;1200000,15,IF(RAW_DATA!C122&lt;2000000,20,25))))</f>
        <v>25</v>
      </c>
      <c r="M122" s="3">
        <f>IF(RAW_DATA!E122&lt;1,0,IF(RAW_DATA!E122&lt;3,3,IF(RAW_DATA!E122&lt;5,5,IF(RAW_DATA!E122&lt;10,8,10))))</f>
        <v>10</v>
      </c>
      <c r="N122" s="3">
        <f>IF(RAW_DATA!F122&lt;650,0,IF(RAW_DATA!F122&lt;700,8,IF(RAW_DATA!F122&lt;750,15,IF(RAW_DATA!F122&lt;800,20,25))))</f>
        <v>0</v>
      </c>
      <c r="O122" s="3">
        <f>IF(RAW_DATA!G122=0,5,IF(RAW_DATA!G122=1,4,IF(RAW_DATA!G122=2,3,IF(RAW_DATA!G122=3,2,IF(RAW_DATA!G122=4,1,0)))))</f>
        <v>2</v>
      </c>
      <c r="P122" s="3">
        <f>IF(RAW_DATA!K122&gt;=RAW_DATA!H122,20,ROUND((RAW_DATA!K122/RAW_DATA!H122)*20,0))</f>
        <v>20</v>
      </c>
      <c r="Q122" s="3">
        <f>IF(RAW_DATA!L122="No",5,0)</f>
        <v>5</v>
      </c>
      <c r="R122" s="3">
        <f t="shared" si="9"/>
        <v>70</v>
      </c>
      <c r="S122" s="3">
        <f t="shared" si="10"/>
        <v>70</v>
      </c>
      <c r="T122" s="3" t="str">
        <f t="shared" si="11"/>
        <v>Not Scored - Ineligible</v>
      </c>
    </row>
    <row r="123" spans="1:20" x14ac:dyDescent="0.25">
      <c r="A123" s="3" t="str">
        <f>RAW_DATA!A123</f>
        <v>APP122</v>
      </c>
      <c r="B123" s="3" t="b">
        <f>AND(RAW_DATA!B123&gt;=21,RAW_DATA!B123&lt;=60)</f>
        <v>1</v>
      </c>
      <c r="C123" s="3" t="b">
        <f>RAW_DATA!C123&gt;=300000</f>
        <v>0</v>
      </c>
      <c r="D123" s="3" t="b">
        <f>RAW_DATA!F123&gt;=650</f>
        <v>0</v>
      </c>
      <c r="E123" s="3" t="b">
        <f>RAW_DATA!E123&gt;=1</f>
        <v>1</v>
      </c>
      <c r="F123" s="3" t="b">
        <f>RAW_DATA!L123="No"</f>
        <v>1</v>
      </c>
      <c r="G123" s="3" t="b">
        <f t="shared" si="6"/>
        <v>0</v>
      </c>
      <c r="H123" s="3" t="str">
        <f t="shared" si="7"/>
        <v>INELIGIBLE</v>
      </c>
      <c r="I123" s="3" t="str">
        <f t="shared" si="8"/>
        <v>Income, Credit Score</v>
      </c>
      <c r="K123" s="3" cm="1">
        <f t="array" ref="K1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23" s="5">
        <f>IF(RAW_DATA!C123&lt;300000,0,IF(RAW_DATA!C123&lt;600000,5,IF(RAW_DATA!C123&lt;1200000,15,IF(RAW_DATA!C123&lt;2000000,20,25))))</f>
        <v>0</v>
      </c>
      <c r="M123" s="3">
        <f>IF(RAW_DATA!E123&lt;1,0,IF(RAW_DATA!E123&lt;3,3,IF(RAW_DATA!E123&lt;5,5,IF(RAW_DATA!E123&lt;10,8,10))))</f>
        <v>10</v>
      </c>
      <c r="N123" s="3">
        <f>IF(RAW_DATA!F123&lt;650,0,IF(RAW_DATA!F123&lt;700,8,IF(RAW_DATA!F123&lt;750,15,IF(RAW_DATA!F123&lt;800,20,25))))</f>
        <v>0</v>
      </c>
      <c r="O123" s="3">
        <f>IF(RAW_DATA!G123=0,5,IF(RAW_DATA!G123=1,4,IF(RAW_DATA!G123=2,3,IF(RAW_DATA!G123=3,2,IF(RAW_DATA!G123=4,1,0)))))</f>
        <v>5</v>
      </c>
      <c r="P123" s="3">
        <f>IF(RAW_DATA!K123&gt;=RAW_DATA!H123,20,ROUND((RAW_DATA!K123/RAW_DATA!H123)*20,0))</f>
        <v>20</v>
      </c>
      <c r="Q123" s="3">
        <f>IF(RAW_DATA!L123="No",5,0)</f>
        <v>5</v>
      </c>
      <c r="R123" s="3">
        <f t="shared" si="9"/>
        <v>44</v>
      </c>
      <c r="S123" s="3">
        <f t="shared" si="10"/>
        <v>44</v>
      </c>
      <c r="T123" s="3" t="str">
        <f t="shared" si="11"/>
        <v>Not Scored - Ineligible</v>
      </c>
    </row>
    <row r="124" spans="1:20" x14ac:dyDescent="0.25">
      <c r="A124" s="3" t="str">
        <f>RAW_DATA!A124</f>
        <v>APP123</v>
      </c>
      <c r="B124" s="3" t="b">
        <f>AND(RAW_DATA!B124&gt;=21,RAW_DATA!B124&lt;=60)</f>
        <v>1</v>
      </c>
      <c r="C124" s="3" t="b">
        <f>RAW_DATA!C124&gt;=300000</f>
        <v>1</v>
      </c>
      <c r="D124" s="3" t="b">
        <f>RAW_DATA!F124&gt;=650</f>
        <v>0</v>
      </c>
      <c r="E124" s="3" t="b">
        <f>RAW_DATA!E124&gt;=1</f>
        <v>1</v>
      </c>
      <c r="F124" s="3" t="b">
        <f>RAW_DATA!L124="No"</f>
        <v>1</v>
      </c>
      <c r="G124" s="3" t="b">
        <f t="shared" si="6"/>
        <v>0</v>
      </c>
      <c r="H124" s="3" t="str">
        <f t="shared" si="7"/>
        <v>INELIGIBLE</v>
      </c>
      <c r="I124" s="3" t="str">
        <f t="shared" si="8"/>
        <v>Credit Score</v>
      </c>
      <c r="K124" s="3" cm="1">
        <f t="array" ref="K1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4" s="5">
        <f>IF(RAW_DATA!C124&lt;300000,0,IF(RAW_DATA!C124&lt;600000,5,IF(RAW_DATA!C124&lt;1200000,15,IF(RAW_DATA!C124&lt;2000000,20,25))))</f>
        <v>20</v>
      </c>
      <c r="M124" s="3">
        <f>IF(RAW_DATA!E124&lt;1,0,IF(RAW_DATA!E124&lt;3,3,IF(RAW_DATA!E124&lt;5,5,IF(RAW_DATA!E124&lt;10,8,10))))</f>
        <v>10</v>
      </c>
      <c r="N124" s="3">
        <f>IF(RAW_DATA!F124&lt;650,0,IF(RAW_DATA!F124&lt;700,8,IF(RAW_DATA!F124&lt;750,15,IF(RAW_DATA!F124&lt;800,20,25))))</f>
        <v>0</v>
      </c>
      <c r="O124" s="3">
        <f>IF(RAW_DATA!G124=0,5,IF(RAW_DATA!G124=1,4,IF(RAW_DATA!G124=2,3,IF(RAW_DATA!G124=3,2,IF(RAW_DATA!G124=4,1,0)))))</f>
        <v>3</v>
      </c>
      <c r="P124" s="3">
        <f>IF(RAW_DATA!K124&gt;=RAW_DATA!H124,20,ROUND((RAW_DATA!K124/RAW_DATA!H124)*20,0))</f>
        <v>20</v>
      </c>
      <c r="Q124" s="3">
        <f>IF(RAW_DATA!L124="No",5,0)</f>
        <v>5</v>
      </c>
      <c r="R124" s="3">
        <f t="shared" si="9"/>
        <v>64</v>
      </c>
      <c r="S124" s="3">
        <f t="shared" si="10"/>
        <v>64</v>
      </c>
      <c r="T124" s="3" t="str">
        <f t="shared" si="11"/>
        <v>Not Scored - Ineligible</v>
      </c>
    </row>
    <row r="125" spans="1:20" x14ac:dyDescent="0.25">
      <c r="A125" s="3" t="str">
        <f>RAW_DATA!A125</f>
        <v>APP124</v>
      </c>
      <c r="B125" s="3" t="b">
        <f>AND(RAW_DATA!B125&gt;=21,RAW_DATA!B125&lt;=60)</f>
        <v>1</v>
      </c>
      <c r="C125" s="3" t="b">
        <f>RAW_DATA!C125&gt;=300000</f>
        <v>1</v>
      </c>
      <c r="D125" s="3" t="b">
        <f>RAW_DATA!F125&gt;=650</f>
        <v>1</v>
      </c>
      <c r="E125" s="3" t="b">
        <f>RAW_DATA!E125&gt;=1</f>
        <v>1</v>
      </c>
      <c r="F125" s="3" t="b">
        <f>RAW_DATA!L125="No"</f>
        <v>0</v>
      </c>
      <c r="G125" s="3" t="b">
        <f t="shared" si="6"/>
        <v>0</v>
      </c>
      <c r="H125" s="3" t="str">
        <f t="shared" si="7"/>
        <v>INELIGIBLE</v>
      </c>
      <c r="I125" s="3" t="str">
        <f t="shared" si="8"/>
        <v>Defaulter History</v>
      </c>
      <c r="K125" s="3" cm="1">
        <f t="array" ref="K1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5" s="5">
        <f>IF(RAW_DATA!C125&lt;300000,0,IF(RAW_DATA!C125&lt;600000,5,IF(RAW_DATA!C125&lt;1200000,15,IF(RAW_DATA!C125&lt;2000000,20,25))))</f>
        <v>5</v>
      </c>
      <c r="M125" s="3">
        <f>IF(RAW_DATA!E125&lt;1,0,IF(RAW_DATA!E125&lt;3,3,IF(RAW_DATA!E125&lt;5,5,IF(RAW_DATA!E125&lt;10,8,10))))</f>
        <v>10</v>
      </c>
      <c r="N125" s="3">
        <f>IF(RAW_DATA!F125&lt;650,0,IF(RAW_DATA!F125&lt;700,8,IF(RAW_DATA!F125&lt;750,15,IF(RAW_DATA!F125&lt;800,20,25))))</f>
        <v>25</v>
      </c>
      <c r="O125" s="3">
        <f>IF(RAW_DATA!G125=0,5,IF(RAW_DATA!G125=1,4,IF(RAW_DATA!G125=2,3,IF(RAW_DATA!G125=3,2,IF(RAW_DATA!G125=4,1,0)))))</f>
        <v>0</v>
      </c>
      <c r="P125" s="3">
        <f>IF(RAW_DATA!K125&gt;=RAW_DATA!H125,20,ROUND((RAW_DATA!K125/RAW_DATA!H125)*20,0))</f>
        <v>5</v>
      </c>
      <c r="Q125" s="3">
        <f>IF(RAW_DATA!L125="No",5,0)</f>
        <v>0</v>
      </c>
      <c r="R125" s="3">
        <f t="shared" si="9"/>
        <v>51</v>
      </c>
      <c r="S125" s="3">
        <f t="shared" si="10"/>
        <v>51</v>
      </c>
      <c r="T125" s="3" t="str">
        <f t="shared" si="11"/>
        <v>Not Scored - Ineligible</v>
      </c>
    </row>
    <row r="126" spans="1:20" x14ac:dyDescent="0.25">
      <c r="A126" s="3" t="str">
        <f>RAW_DATA!A126</f>
        <v>APP125</v>
      </c>
      <c r="B126" s="3" t="b">
        <f>AND(RAW_DATA!B126&gt;=21,RAW_DATA!B126&lt;=60)</f>
        <v>1</v>
      </c>
      <c r="C126" s="3" t="b">
        <f>RAW_DATA!C126&gt;=300000</f>
        <v>1</v>
      </c>
      <c r="D126" s="3" t="b">
        <f>RAW_DATA!F126&gt;=650</f>
        <v>0</v>
      </c>
      <c r="E126" s="3" t="b">
        <f>RAW_DATA!E126&gt;=1</f>
        <v>1</v>
      </c>
      <c r="F126" s="3" t="b">
        <f>RAW_DATA!L126="No"</f>
        <v>1</v>
      </c>
      <c r="G126" s="3" t="b">
        <f t="shared" si="6"/>
        <v>0</v>
      </c>
      <c r="H126" s="3" t="str">
        <f t="shared" si="7"/>
        <v>INELIGIBLE</v>
      </c>
      <c r="I126" s="3" t="str">
        <f t="shared" si="8"/>
        <v>Credit Score</v>
      </c>
      <c r="K126" s="3" cm="1">
        <f t="array" ref="K1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6" s="5">
        <f>IF(RAW_DATA!C126&lt;300000,0,IF(RAW_DATA!C126&lt;600000,5,IF(RAW_DATA!C126&lt;1200000,15,IF(RAW_DATA!C126&lt;2000000,20,25))))</f>
        <v>20</v>
      </c>
      <c r="M126" s="3">
        <f>IF(RAW_DATA!E126&lt;1,0,IF(RAW_DATA!E126&lt;3,3,IF(RAW_DATA!E126&lt;5,5,IF(RAW_DATA!E126&lt;10,8,10))))</f>
        <v>8</v>
      </c>
      <c r="N126" s="3">
        <f>IF(RAW_DATA!F126&lt;650,0,IF(RAW_DATA!F126&lt;700,8,IF(RAW_DATA!F126&lt;750,15,IF(RAW_DATA!F126&lt;800,20,25))))</f>
        <v>0</v>
      </c>
      <c r="O126" s="3">
        <f>IF(RAW_DATA!G126=0,5,IF(RAW_DATA!G126=1,4,IF(RAW_DATA!G126=2,3,IF(RAW_DATA!G126=3,2,IF(RAW_DATA!G126=4,1,0)))))</f>
        <v>4</v>
      </c>
      <c r="P126" s="3">
        <f>IF(RAW_DATA!K126&gt;=RAW_DATA!H126,20,ROUND((RAW_DATA!K126/RAW_DATA!H126)*20,0))</f>
        <v>14</v>
      </c>
      <c r="Q126" s="3">
        <f>IF(RAW_DATA!L126="No",5,0)</f>
        <v>5</v>
      </c>
      <c r="R126" s="3">
        <f t="shared" si="9"/>
        <v>58</v>
      </c>
      <c r="S126" s="3">
        <f t="shared" si="10"/>
        <v>58</v>
      </c>
      <c r="T126" s="3" t="str">
        <f t="shared" si="11"/>
        <v>Not Scored - Ineligible</v>
      </c>
    </row>
    <row r="127" spans="1:20" x14ac:dyDescent="0.25">
      <c r="A127" s="3" t="str">
        <f>RAW_DATA!A127</f>
        <v>APP126</v>
      </c>
      <c r="B127" s="3" t="b">
        <f>AND(RAW_DATA!B127&gt;=21,RAW_DATA!B127&lt;=60)</f>
        <v>1</v>
      </c>
      <c r="C127" s="3" t="b">
        <f>RAW_DATA!C127&gt;=300000</f>
        <v>1</v>
      </c>
      <c r="D127" s="3" t="b">
        <f>RAW_DATA!F127&gt;=650</f>
        <v>0</v>
      </c>
      <c r="E127" s="3" t="b">
        <f>RAW_DATA!E127&gt;=1</f>
        <v>1</v>
      </c>
      <c r="F127" s="3" t="b">
        <f>RAW_DATA!L127="No"</f>
        <v>1</v>
      </c>
      <c r="G127" s="3" t="b">
        <f t="shared" si="6"/>
        <v>0</v>
      </c>
      <c r="H127" s="3" t="str">
        <f t="shared" si="7"/>
        <v>INELIGIBLE</v>
      </c>
      <c r="I127" s="3" t="str">
        <f t="shared" si="8"/>
        <v>Credit Score</v>
      </c>
      <c r="K127" s="3" cm="1">
        <f t="array" ref="K1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7" s="5">
        <f>IF(RAW_DATA!C127&lt;300000,0,IF(RAW_DATA!C127&lt;600000,5,IF(RAW_DATA!C127&lt;1200000,15,IF(RAW_DATA!C127&lt;2000000,20,25))))</f>
        <v>15</v>
      </c>
      <c r="M127" s="3">
        <f>IF(RAW_DATA!E127&lt;1,0,IF(RAW_DATA!E127&lt;3,3,IF(RAW_DATA!E127&lt;5,5,IF(RAW_DATA!E127&lt;10,8,10))))</f>
        <v>10</v>
      </c>
      <c r="N127" s="3">
        <f>IF(RAW_DATA!F127&lt;650,0,IF(RAW_DATA!F127&lt;700,8,IF(RAW_DATA!F127&lt;750,15,IF(RAW_DATA!F127&lt;800,20,25))))</f>
        <v>0</v>
      </c>
      <c r="O127" s="3">
        <f>IF(RAW_DATA!G127=0,5,IF(RAW_DATA!G127=1,4,IF(RAW_DATA!G127=2,3,IF(RAW_DATA!G127=3,2,IF(RAW_DATA!G127=4,1,0)))))</f>
        <v>3</v>
      </c>
      <c r="P127" s="3">
        <f>IF(RAW_DATA!K127&gt;=RAW_DATA!H127,20,ROUND((RAW_DATA!K127/RAW_DATA!H127)*20,0))</f>
        <v>20</v>
      </c>
      <c r="Q127" s="3">
        <f>IF(RAW_DATA!L127="No",5,0)</f>
        <v>5</v>
      </c>
      <c r="R127" s="3">
        <f t="shared" si="9"/>
        <v>61</v>
      </c>
      <c r="S127" s="3">
        <f t="shared" si="10"/>
        <v>61</v>
      </c>
      <c r="T127" s="3" t="str">
        <f t="shared" si="11"/>
        <v>Not Scored - Ineligible</v>
      </c>
    </row>
    <row r="128" spans="1:20" x14ac:dyDescent="0.25">
      <c r="A128" s="3" t="str">
        <f>RAW_DATA!A128</f>
        <v>APP127</v>
      </c>
      <c r="B128" s="3" t="b">
        <f>AND(RAW_DATA!B128&gt;=21,RAW_DATA!B128&lt;=60)</f>
        <v>1</v>
      </c>
      <c r="C128" s="3" t="b">
        <f>RAW_DATA!C128&gt;=300000</f>
        <v>1</v>
      </c>
      <c r="D128" s="3" t="b">
        <f>RAW_DATA!F128&gt;=650</f>
        <v>0</v>
      </c>
      <c r="E128" s="3" t="b">
        <f>RAW_DATA!E128&gt;=1</f>
        <v>1</v>
      </c>
      <c r="F128" s="3" t="b">
        <f>RAW_DATA!L128="No"</f>
        <v>0</v>
      </c>
      <c r="G128" s="3" t="b">
        <f t="shared" si="6"/>
        <v>0</v>
      </c>
      <c r="H128" s="3" t="str">
        <f t="shared" si="7"/>
        <v>INELIGIBLE</v>
      </c>
      <c r="I128" s="3" t="str">
        <f t="shared" si="8"/>
        <v>Credit Score, Defaulter History</v>
      </c>
      <c r="K128" s="3" cm="1">
        <f t="array" ref="K1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8" s="5">
        <f>IF(RAW_DATA!C128&lt;300000,0,IF(RAW_DATA!C128&lt;600000,5,IF(RAW_DATA!C128&lt;1200000,15,IF(RAW_DATA!C128&lt;2000000,20,25))))</f>
        <v>15</v>
      </c>
      <c r="M128" s="3">
        <f>IF(RAW_DATA!E128&lt;1,0,IF(RAW_DATA!E128&lt;3,3,IF(RAW_DATA!E128&lt;5,5,IF(RAW_DATA!E128&lt;10,8,10))))</f>
        <v>3</v>
      </c>
      <c r="N128" s="3">
        <f>IF(RAW_DATA!F128&lt;650,0,IF(RAW_DATA!F128&lt;700,8,IF(RAW_DATA!F128&lt;750,15,IF(RAW_DATA!F128&lt;800,20,25))))</f>
        <v>0</v>
      </c>
      <c r="O128" s="3">
        <f>IF(RAW_DATA!G128=0,5,IF(RAW_DATA!G128=1,4,IF(RAW_DATA!G128=2,3,IF(RAW_DATA!G128=3,2,IF(RAW_DATA!G128=4,1,0)))))</f>
        <v>1</v>
      </c>
      <c r="P128" s="3">
        <f>IF(RAW_DATA!K128&gt;=RAW_DATA!H128,20,ROUND((RAW_DATA!K128/RAW_DATA!H128)*20,0))</f>
        <v>20</v>
      </c>
      <c r="Q128" s="3">
        <f>IF(RAW_DATA!L128="No",5,0)</f>
        <v>0</v>
      </c>
      <c r="R128" s="3">
        <f t="shared" si="9"/>
        <v>47</v>
      </c>
      <c r="S128" s="3">
        <f t="shared" si="10"/>
        <v>47</v>
      </c>
      <c r="T128" s="3" t="str">
        <f t="shared" si="11"/>
        <v>Not Scored - Ineligible</v>
      </c>
    </row>
    <row r="129" spans="1:20" x14ac:dyDescent="0.25">
      <c r="A129" s="3" t="str">
        <f>RAW_DATA!A129</f>
        <v>APP128</v>
      </c>
      <c r="B129" s="3" t="b">
        <f>AND(RAW_DATA!B129&gt;=21,RAW_DATA!B129&lt;=60)</f>
        <v>1</v>
      </c>
      <c r="C129" s="3" t="b">
        <f>RAW_DATA!C129&gt;=300000</f>
        <v>1</v>
      </c>
      <c r="D129" s="3" t="b">
        <f>RAW_DATA!F129&gt;=650</f>
        <v>0</v>
      </c>
      <c r="E129" s="3" t="b">
        <f>RAW_DATA!E129&gt;=1</f>
        <v>1</v>
      </c>
      <c r="F129" s="3" t="b">
        <f>RAW_DATA!L129="No"</f>
        <v>1</v>
      </c>
      <c r="G129" s="3" t="b">
        <f t="shared" si="6"/>
        <v>0</v>
      </c>
      <c r="H129" s="3" t="str">
        <f t="shared" si="7"/>
        <v>INELIGIBLE</v>
      </c>
      <c r="I129" s="3" t="str">
        <f t="shared" si="8"/>
        <v>Credit Score</v>
      </c>
      <c r="K129" s="3" cm="1">
        <f t="array" ref="K1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9" s="5">
        <f>IF(RAW_DATA!C129&lt;300000,0,IF(RAW_DATA!C129&lt;600000,5,IF(RAW_DATA!C129&lt;1200000,15,IF(RAW_DATA!C129&lt;2000000,20,25))))</f>
        <v>25</v>
      </c>
      <c r="M129" s="3">
        <f>IF(RAW_DATA!E129&lt;1,0,IF(RAW_DATA!E129&lt;3,3,IF(RAW_DATA!E129&lt;5,5,IF(RAW_DATA!E129&lt;10,8,10))))</f>
        <v>8</v>
      </c>
      <c r="N129" s="3">
        <f>IF(RAW_DATA!F129&lt;650,0,IF(RAW_DATA!F129&lt;700,8,IF(RAW_DATA!F129&lt;750,15,IF(RAW_DATA!F129&lt;800,20,25))))</f>
        <v>0</v>
      </c>
      <c r="O129" s="3">
        <f>IF(RAW_DATA!G129=0,5,IF(RAW_DATA!G129=1,4,IF(RAW_DATA!G129=2,3,IF(RAW_DATA!G129=3,2,IF(RAW_DATA!G129=4,1,0)))))</f>
        <v>0</v>
      </c>
      <c r="P129" s="3">
        <f>IF(RAW_DATA!K129&gt;=RAW_DATA!H129,20,ROUND((RAW_DATA!K129/RAW_DATA!H129)*20,0))</f>
        <v>20</v>
      </c>
      <c r="Q129" s="3">
        <f>IF(RAW_DATA!L129="No",5,0)</f>
        <v>5</v>
      </c>
      <c r="R129" s="3">
        <f t="shared" si="9"/>
        <v>65</v>
      </c>
      <c r="S129" s="3">
        <f t="shared" si="10"/>
        <v>65</v>
      </c>
      <c r="T129" s="3" t="str">
        <f t="shared" si="11"/>
        <v>Not Scored - Ineligible</v>
      </c>
    </row>
    <row r="130" spans="1:20" x14ac:dyDescent="0.25">
      <c r="A130" s="3" t="str">
        <f>RAW_DATA!A130</f>
        <v>APP129</v>
      </c>
      <c r="B130" s="3" t="b">
        <f>AND(RAW_DATA!B130&gt;=21,RAW_DATA!B130&lt;=60)</f>
        <v>1</v>
      </c>
      <c r="C130" s="3" t="b">
        <f>RAW_DATA!C130&gt;=300000</f>
        <v>1</v>
      </c>
      <c r="D130" s="3" t="b">
        <f>RAW_DATA!F130&gt;=650</f>
        <v>0</v>
      </c>
      <c r="E130" s="3" t="b">
        <f>RAW_DATA!E130&gt;=1</f>
        <v>1</v>
      </c>
      <c r="F130" s="3" t="b">
        <f>RAW_DATA!L130="No"</f>
        <v>0</v>
      </c>
      <c r="G130" s="3" t="b">
        <f t="shared" si="6"/>
        <v>0</v>
      </c>
      <c r="H130" s="3" t="str">
        <f t="shared" si="7"/>
        <v>INELIGIBLE</v>
      </c>
      <c r="I130" s="3" t="str">
        <f t="shared" si="8"/>
        <v>Credit Score, Defaulter History</v>
      </c>
      <c r="K130" s="3" cm="1">
        <f t="array" ref="K1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30" s="5">
        <f>IF(RAW_DATA!C130&lt;300000,0,IF(RAW_DATA!C130&lt;600000,5,IF(RAW_DATA!C130&lt;1200000,15,IF(RAW_DATA!C130&lt;2000000,20,25))))</f>
        <v>20</v>
      </c>
      <c r="M130" s="3">
        <f>IF(RAW_DATA!E130&lt;1,0,IF(RAW_DATA!E130&lt;3,3,IF(RAW_DATA!E130&lt;5,5,IF(RAW_DATA!E130&lt;10,8,10))))</f>
        <v>10</v>
      </c>
      <c r="N130" s="3">
        <f>IF(RAW_DATA!F130&lt;650,0,IF(RAW_DATA!F130&lt;700,8,IF(RAW_DATA!F130&lt;750,15,IF(RAW_DATA!F130&lt;800,20,25))))</f>
        <v>0</v>
      </c>
      <c r="O130" s="3">
        <f>IF(RAW_DATA!G130=0,5,IF(RAW_DATA!G130=1,4,IF(RAW_DATA!G130=2,3,IF(RAW_DATA!G130=3,2,IF(RAW_DATA!G130=4,1,0)))))</f>
        <v>2</v>
      </c>
      <c r="P130" s="3">
        <f>IF(RAW_DATA!K130&gt;=RAW_DATA!H130,20,ROUND((RAW_DATA!K130/RAW_DATA!H130)*20,0))</f>
        <v>20</v>
      </c>
      <c r="Q130" s="3">
        <f>IF(RAW_DATA!L130="No",5,0)</f>
        <v>0</v>
      </c>
      <c r="R130" s="3">
        <f t="shared" si="9"/>
        <v>58</v>
      </c>
      <c r="S130" s="3">
        <f t="shared" si="10"/>
        <v>58</v>
      </c>
      <c r="T130" s="3" t="str">
        <f t="shared" si="11"/>
        <v>Not Scored - Ineligible</v>
      </c>
    </row>
    <row r="131" spans="1:20" x14ac:dyDescent="0.25">
      <c r="A131" s="3" t="str">
        <f>RAW_DATA!A131</f>
        <v>APP130</v>
      </c>
      <c r="B131" s="3" t="b">
        <f>AND(RAW_DATA!B131&gt;=21,RAW_DATA!B131&lt;=60)</f>
        <v>1</v>
      </c>
      <c r="C131" s="3" t="b">
        <f>RAW_DATA!C131&gt;=300000</f>
        <v>1</v>
      </c>
      <c r="D131" s="3" t="b">
        <f>RAW_DATA!F131&gt;=650</f>
        <v>1</v>
      </c>
      <c r="E131" s="3" t="b">
        <f>RAW_DATA!E131&gt;=1</f>
        <v>1</v>
      </c>
      <c r="F131" s="3" t="b">
        <f>RAW_DATA!L131="No"</f>
        <v>1</v>
      </c>
      <c r="G131" s="3" t="b">
        <f t="shared" ref="G131:G194" si="12">AND(B131:F131)</f>
        <v>1</v>
      </c>
      <c r="H131" s="3" t="str">
        <f t="shared" ref="H131:H194" si="13">IF(G131,"ELIGIBLE","INELIGIBLE")</f>
        <v>ELIGIBLE</v>
      </c>
      <c r="I131" s="3" t="str">
        <f t="shared" ref="I131:I194" si="14">IF(G131,"",_xlfn.TEXTJOIN(", ",TRUE,IF(B131,"","Age"),IF(C131,"","Income"),IF(D131,"","Credit Score"),IF(E131,"","Employment"),IF(F131,"","Defaulter History")))</f>
        <v/>
      </c>
      <c r="K131" s="3" cm="1">
        <f t="array" ref="K1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1" s="5">
        <f>IF(RAW_DATA!C131&lt;300000,0,IF(RAW_DATA!C131&lt;600000,5,IF(RAW_DATA!C131&lt;1200000,15,IF(RAW_DATA!C131&lt;2000000,20,25))))</f>
        <v>20</v>
      </c>
      <c r="M131" s="3">
        <f>IF(RAW_DATA!E131&lt;1,0,IF(RAW_DATA!E131&lt;3,3,IF(RAW_DATA!E131&lt;5,5,IF(RAW_DATA!E131&lt;10,8,10))))</f>
        <v>10</v>
      </c>
      <c r="N131" s="3">
        <f>IF(RAW_DATA!F131&lt;650,0,IF(RAW_DATA!F131&lt;700,8,IF(RAW_DATA!F131&lt;750,15,IF(RAW_DATA!F131&lt;800,20,25))))</f>
        <v>25</v>
      </c>
      <c r="O131" s="3">
        <f>IF(RAW_DATA!G131=0,5,IF(RAW_DATA!G131=1,4,IF(RAW_DATA!G131=2,3,IF(RAW_DATA!G131=3,2,IF(RAW_DATA!G131=4,1,0)))))</f>
        <v>4</v>
      </c>
      <c r="P131" s="3">
        <f>IF(RAW_DATA!K131&gt;=RAW_DATA!H131,20,ROUND((RAW_DATA!K131/RAW_DATA!H131)*20,0))</f>
        <v>11</v>
      </c>
      <c r="Q131" s="3">
        <f>IF(RAW_DATA!L131="No",5,0)</f>
        <v>5</v>
      </c>
      <c r="R131" s="3">
        <f t="shared" ref="R131:R194" si="15">K131+L131+M131+N131+O131+P131+Q131</f>
        <v>82</v>
      </c>
      <c r="S131" s="3">
        <f t="shared" ref="S131:S194" si="16">R131</f>
        <v>82</v>
      </c>
      <c r="T131" s="3" t="str">
        <f t="shared" ref="T131:T194" si="17">IF(H131="INELIGIBLE","Not Scored - Ineligible",IF(S131&gt;=70,"Strong",IF(S131&gt;=50,"Moderate","Weak")))</f>
        <v>Strong</v>
      </c>
    </row>
    <row r="132" spans="1:20" x14ac:dyDescent="0.25">
      <c r="A132" s="3" t="str">
        <f>RAW_DATA!A132</f>
        <v>APP131</v>
      </c>
      <c r="B132" s="3" t="b">
        <f>AND(RAW_DATA!B132&gt;=21,RAW_DATA!B132&lt;=60)</f>
        <v>1</v>
      </c>
      <c r="C132" s="3" t="b">
        <f>RAW_DATA!C132&gt;=300000</f>
        <v>1</v>
      </c>
      <c r="D132" s="3" t="b">
        <f>RAW_DATA!F132&gt;=650</f>
        <v>0</v>
      </c>
      <c r="E132" s="3" t="b">
        <f>RAW_DATA!E132&gt;=1</f>
        <v>1</v>
      </c>
      <c r="F132" s="3" t="b">
        <f>RAW_DATA!L132="No"</f>
        <v>1</v>
      </c>
      <c r="G132" s="3" t="b">
        <f t="shared" si="12"/>
        <v>0</v>
      </c>
      <c r="H132" s="3" t="str">
        <f t="shared" si="13"/>
        <v>INELIGIBLE</v>
      </c>
      <c r="I132" s="3" t="str">
        <f t="shared" si="14"/>
        <v>Credit Score</v>
      </c>
      <c r="K132" s="3" cm="1">
        <f t="array" ref="K1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2" s="5">
        <f>IF(RAW_DATA!C132&lt;300000,0,IF(RAW_DATA!C132&lt;600000,5,IF(RAW_DATA!C132&lt;1200000,15,IF(RAW_DATA!C132&lt;2000000,20,25))))</f>
        <v>20</v>
      </c>
      <c r="M132" s="3">
        <f>IF(RAW_DATA!E132&lt;1,0,IF(RAW_DATA!E132&lt;3,3,IF(RAW_DATA!E132&lt;5,5,IF(RAW_DATA!E132&lt;10,8,10))))</f>
        <v>8</v>
      </c>
      <c r="N132" s="3">
        <f>IF(RAW_DATA!F132&lt;650,0,IF(RAW_DATA!F132&lt;700,8,IF(RAW_DATA!F132&lt;750,15,IF(RAW_DATA!F132&lt;800,20,25))))</f>
        <v>0</v>
      </c>
      <c r="O132" s="3">
        <f>IF(RAW_DATA!G132=0,5,IF(RAW_DATA!G132=1,4,IF(RAW_DATA!G132=2,3,IF(RAW_DATA!G132=3,2,IF(RAW_DATA!G132=4,1,0)))))</f>
        <v>4</v>
      </c>
      <c r="P132" s="3">
        <f>IF(RAW_DATA!K132&gt;=RAW_DATA!H132,20,ROUND((RAW_DATA!K132/RAW_DATA!H132)*20,0))</f>
        <v>20</v>
      </c>
      <c r="Q132" s="3">
        <f>IF(RAW_DATA!L132="No",5,0)</f>
        <v>5</v>
      </c>
      <c r="R132" s="3">
        <f t="shared" si="15"/>
        <v>64</v>
      </c>
      <c r="S132" s="3">
        <f t="shared" si="16"/>
        <v>64</v>
      </c>
      <c r="T132" s="3" t="str">
        <f t="shared" si="17"/>
        <v>Not Scored - Ineligible</v>
      </c>
    </row>
    <row r="133" spans="1:20" x14ac:dyDescent="0.25">
      <c r="A133" s="3" t="str">
        <f>RAW_DATA!A133</f>
        <v>APP132</v>
      </c>
      <c r="B133" s="3" t="b">
        <f>AND(RAW_DATA!B133&gt;=21,RAW_DATA!B133&lt;=60)</f>
        <v>1</v>
      </c>
      <c r="C133" s="3" t="b">
        <f>RAW_DATA!C133&gt;=300000</f>
        <v>1</v>
      </c>
      <c r="D133" s="3" t="b">
        <f>RAW_DATA!F133&gt;=650</f>
        <v>0</v>
      </c>
      <c r="E133" s="3" t="b">
        <f>RAW_DATA!E133&gt;=1</f>
        <v>1</v>
      </c>
      <c r="F133" s="3" t="b">
        <f>RAW_DATA!L133="No"</f>
        <v>1</v>
      </c>
      <c r="G133" s="3" t="b">
        <f t="shared" si="12"/>
        <v>0</v>
      </c>
      <c r="H133" s="3" t="str">
        <f t="shared" si="13"/>
        <v>INELIGIBLE</v>
      </c>
      <c r="I133" s="3" t="str">
        <f t="shared" si="14"/>
        <v>Credit Score</v>
      </c>
      <c r="K133" s="3" cm="1">
        <f t="array" ref="K1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3" s="5">
        <f>IF(RAW_DATA!C133&lt;300000,0,IF(RAW_DATA!C133&lt;600000,5,IF(RAW_DATA!C133&lt;1200000,15,IF(RAW_DATA!C133&lt;2000000,20,25))))</f>
        <v>20</v>
      </c>
      <c r="M133" s="3">
        <f>IF(RAW_DATA!E133&lt;1,0,IF(RAW_DATA!E133&lt;3,3,IF(RAW_DATA!E133&lt;5,5,IF(RAW_DATA!E133&lt;10,8,10))))</f>
        <v>10</v>
      </c>
      <c r="N133" s="3">
        <f>IF(RAW_DATA!F133&lt;650,0,IF(RAW_DATA!F133&lt;700,8,IF(RAW_DATA!F133&lt;750,15,IF(RAW_DATA!F133&lt;800,20,25))))</f>
        <v>0</v>
      </c>
      <c r="O133" s="3">
        <f>IF(RAW_DATA!G133=0,5,IF(RAW_DATA!G133=1,4,IF(RAW_DATA!G133=2,3,IF(RAW_DATA!G133=3,2,IF(RAW_DATA!G133=4,1,0)))))</f>
        <v>2</v>
      </c>
      <c r="P133" s="3">
        <f>IF(RAW_DATA!K133&gt;=RAW_DATA!H133,20,ROUND((RAW_DATA!K133/RAW_DATA!H133)*20,0))</f>
        <v>7</v>
      </c>
      <c r="Q133" s="3">
        <f>IF(RAW_DATA!L133="No",5,0)</f>
        <v>5</v>
      </c>
      <c r="R133" s="3">
        <f t="shared" si="15"/>
        <v>54</v>
      </c>
      <c r="S133" s="3">
        <f t="shared" si="16"/>
        <v>54</v>
      </c>
      <c r="T133" s="3" t="str">
        <f t="shared" si="17"/>
        <v>Not Scored - Ineligible</v>
      </c>
    </row>
    <row r="134" spans="1:20" x14ac:dyDescent="0.25">
      <c r="A134" s="3" t="str">
        <f>RAW_DATA!A134</f>
        <v>APP133</v>
      </c>
      <c r="B134" s="3" t="b">
        <f>AND(RAW_DATA!B134&gt;=21,RAW_DATA!B134&lt;=60)</f>
        <v>1</v>
      </c>
      <c r="C134" s="3" t="b">
        <f>RAW_DATA!C134&gt;=300000</f>
        <v>1</v>
      </c>
      <c r="D134" s="3" t="b">
        <f>RAW_DATA!F134&gt;=650</f>
        <v>0</v>
      </c>
      <c r="E134" s="3" t="b">
        <f>RAW_DATA!E134&gt;=1</f>
        <v>1</v>
      </c>
      <c r="F134" s="3" t="b">
        <f>RAW_DATA!L134="No"</f>
        <v>1</v>
      </c>
      <c r="G134" s="3" t="b">
        <f t="shared" si="12"/>
        <v>0</v>
      </c>
      <c r="H134" s="3" t="str">
        <f t="shared" si="13"/>
        <v>INELIGIBLE</v>
      </c>
      <c r="I134" s="3" t="str">
        <f t="shared" si="14"/>
        <v>Credit Score</v>
      </c>
      <c r="K134" s="3" cm="1">
        <f t="array" ref="K1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4" s="5">
        <f>IF(RAW_DATA!C134&lt;300000,0,IF(RAW_DATA!C134&lt;600000,5,IF(RAW_DATA!C134&lt;1200000,15,IF(RAW_DATA!C134&lt;2000000,20,25))))</f>
        <v>5</v>
      </c>
      <c r="M134" s="3">
        <f>IF(RAW_DATA!E134&lt;1,0,IF(RAW_DATA!E134&lt;3,3,IF(RAW_DATA!E134&lt;5,5,IF(RAW_DATA!E134&lt;10,8,10))))</f>
        <v>10</v>
      </c>
      <c r="N134" s="3">
        <f>IF(RAW_DATA!F134&lt;650,0,IF(RAW_DATA!F134&lt;700,8,IF(RAW_DATA!F134&lt;750,15,IF(RAW_DATA!F134&lt;800,20,25))))</f>
        <v>0</v>
      </c>
      <c r="O134" s="3">
        <f>IF(RAW_DATA!G134=0,5,IF(RAW_DATA!G134=1,4,IF(RAW_DATA!G134=2,3,IF(RAW_DATA!G134=3,2,IF(RAW_DATA!G134=4,1,0)))))</f>
        <v>3</v>
      </c>
      <c r="P134" s="3">
        <f>IF(RAW_DATA!K134&gt;=RAW_DATA!H134,20,ROUND((RAW_DATA!K134/RAW_DATA!H134)*20,0))</f>
        <v>20</v>
      </c>
      <c r="Q134" s="3">
        <f>IF(RAW_DATA!L134="No",5,0)</f>
        <v>5</v>
      </c>
      <c r="R134" s="3">
        <f t="shared" si="15"/>
        <v>47</v>
      </c>
      <c r="S134" s="3">
        <f t="shared" si="16"/>
        <v>47</v>
      </c>
      <c r="T134" s="3" t="str">
        <f t="shared" si="17"/>
        <v>Not Scored - Ineligible</v>
      </c>
    </row>
    <row r="135" spans="1:20" x14ac:dyDescent="0.25">
      <c r="A135" s="3" t="str">
        <f>RAW_DATA!A135</f>
        <v>APP134</v>
      </c>
      <c r="B135" s="3" t="b">
        <f>AND(RAW_DATA!B135&gt;=21,RAW_DATA!B135&lt;=60)</f>
        <v>1</v>
      </c>
      <c r="C135" s="3" t="b">
        <f>RAW_DATA!C135&gt;=300000</f>
        <v>1</v>
      </c>
      <c r="D135" s="3" t="b">
        <f>RAW_DATA!F135&gt;=650</f>
        <v>1</v>
      </c>
      <c r="E135" s="3" t="b">
        <f>RAW_DATA!E135&gt;=1</f>
        <v>1</v>
      </c>
      <c r="F135" s="3" t="b">
        <f>RAW_DATA!L135="No"</f>
        <v>0</v>
      </c>
      <c r="G135" s="3" t="b">
        <f t="shared" si="12"/>
        <v>0</v>
      </c>
      <c r="H135" s="3" t="str">
        <f t="shared" si="13"/>
        <v>INELIGIBLE</v>
      </c>
      <c r="I135" s="3" t="str">
        <f t="shared" si="14"/>
        <v>Defaulter History</v>
      </c>
      <c r="K135" s="3" cm="1">
        <f t="array" ref="K1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5" s="5">
        <f>IF(RAW_DATA!C135&lt;300000,0,IF(RAW_DATA!C135&lt;600000,5,IF(RAW_DATA!C135&lt;1200000,15,IF(RAW_DATA!C135&lt;2000000,20,25))))</f>
        <v>15</v>
      </c>
      <c r="M135" s="3">
        <f>IF(RAW_DATA!E135&lt;1,0,IF(RAW_DATA!E135&lt;3,3,IF(RAW_DATA!E135&lt;5,5,IF(RAW_DATA!E135&lt;10,8,10))))</f>
        <v>10</v>
      </c>
      <c r="N135" s="3">
        <f>IF(RAW_DATA!F135&lt;650,0,IF(RAW_DATA!F135&lt;700,8,IF(RAW_DATA!F135&lt;750,15,IF(RAW_DATA!F135&lt;800,20,25))))</f>
        <v>8</v>
      </c>
      <c r="O135" s="3">
        <f>IF(RAW_DATA!G135=0,5,IF(RAW_DATA!G135=1,4,IF(RAW_DATA!G135=2,3,IF(RAW_DATA!G135=3,2,IF(RAW_DATA!G135=4,1,0)))))</f>
        <v>0</v>
      </c>
      <c r="P135" s="3">
        <f>IF(RAW_DATA!K135&gt;=RAW_DATA!H135,20,ROUND((RAW_DATA!K135/RAW_DATA!H135)*20,0))</f>
        <v>2</v>
      </c>
      <c r="Q135" s="3">
        <f>IF(RAW_DATA!L135="No",5,0)</f>
        <v>0</v>
      </c>
      <c r="R135" s="3">
        <f t="shared" si="15"/>
        <v>42</v>
      </c>
      <c r="S135" s="3">
        <f t="shared" si="16"/>
        <v>42</v>
      </c>
      <c r="T135" s="3" t="str">
        <f t="shared" si="17"/>
        <v>Not Scored - Ineligible</v>
      </c>
    </row>
    <row r="136" spans="1:20" x14ac:dyDescent="0.25">
      <c r="A136" s="3" t="str">
        <f>RAW_DATA!A136</f>
        <v>APP135</v>
      </c>
      <c r="B136" s="3" t="b">
        <f>AND(RAW_DATA!B136&gt;=21,RAW_DATA!B136&lt;=60)</f>
        <v>1</v>
      </c>
      <c r="C136" s="3" t="b">
        <f>RAW_DATA!C136&gt;=300000</f>
        <v>1</v>
      </c>
      <c r="D136" s="3" t="b">
        <f>RAW_DATA!F136&gt;=650</f>
        <v>0</v>
      </c>
      <c r="E136" s="3" t="b">
        <f>RAW_DATA!E136&gt;=1</f>
        <v>1</v>
      </c>
      <c r="F136" s="3" t="b">
        <f>RAW_DATA!L136="No"</f>
        <v>1</v>
      </c>
      <c r="G136" s="3" t="b">
        <f t="shared" si="12"/>
        <v>0</v>
      </c>
      <c r="H136" s="3" t="str">
        <f t="shared" si="13"/>
        <v>INELIGIBLE</v>
      </c>
      <c r="I136" s="3" t="str">
        <f t="shared" si="14"/>
        <v>Credit Score</v>
      </c>
      <c r="K136" s="3" cm="1">
        <f t="array" ref="K1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6" s="5">
        <f>IF(RAW_DATA!C136&lt;300000,0,IF(RAW_DATA!C136&lt;600000,5,IF(RAW_DATA!C136&lt;1200000,15,IF(RAW_DATA!C136&lt;2000000,20,25))))</f>
        <v>25</v>
      </c>
      <c r="M136" s="3">
        <f>IF(RAW_DATA!E136&lt;1,0,IF(RAW_DATA!E136&lt;3,3,IF(RAW_DATA!E136&lt;5,5,IF(RAW_DATA!E136&lt;10,8,10))))</f>
        <v>8</v>
      </c>
      <c r="N136" s="3">
        <f>IF(RAW_DATA!F136&lt;650,0,IF(RAW_DATA!F136&lt;700,8,IF(RAW_DATA!F136&lt;750,15,IF(RAW_DATA!F136&lt;800,20,25))))</f>
        <v>0</v>
      </c>
      <c r="O136" s="3">
        <f>IF(RAW_DATA!G136=0,5,IF(RAW_DATA!G136=1,4,IF(RAW_DATA!G136=2,3,IF(RAW_DATA!G136=3,2,IF(RAW_DATA!G136=4,1,0)))))</f>
        <v>5</v>
      </c>
      <c r="P136" s="3">
        <f>IF(RAW_DATA!K136&gt;=RAW_DATA!H136,20,ROUND((RAW_DATA!K136/RAW_DATA!H136)*20,0))</f>
        <v>2</v>
      </c>
      <c r="Q136" s="3">
        <f>IF(RAW_DATA!L136="No",5,0)</f>
        <v>5</v>
      </c>
      <c r="R136" s="3">
        <f t="shared" si="15"/>
        <v>53</v>
      </c>
      <c r="S136" s="3">
        <f t="shared" si="16"/>
        <v>53</v>
      </c>
      <c r="T136" s="3" t="str">
        <f t="shared" si="17"/>
        <v>Not Scored - Ineligible</v>
      </c>
    </row>
    <row r="137" spans="1:20" x14ac:dyDescent="0.25">
      <c r="A137" s="3" t="str">
        <f>RAW_DATA!A137</f>
        <v>APP136</v>
      </c>
      <c r="B137" s="3" t="b">
        <f>AND(RAW_DATA!B137&gt;=21,RAW_DATA!B137&lt;=60)</f>
        <v>1</v>
      </c>
      <c r="C137" s="3" t="b">
        <f>RAW_DATA!C137&gt;=300000</f>
        <v>1</v>
      </c>
      <c r="D137" s="3" t="b">
        <f>RAW_DATA!F137&gt;=650</f>
        <v>0</v>
      </c>
      <c r="E137" s="3" t="b">
        <f>RAW_DATA!E137&gt;=1</f>
        <v>1</v>
      </c>
      <c r="F137" s="3" t="b">
        <f>RAW_DATA!L137="No"</f>
        <v>1</v>
      </c>
      <c r="G137" s="3" t="b">
        <f t="shared" si="12"/>
        <v>0</v>
      </c>
      <c r="H137" s="3" t="str">
        <f t="shared" si="13"/>
        <v>INELIGIBLE</v>
      </c>
      <c r="I137" s="3" t="str">
        <f t="shared" si="14"/>
        <v>Credit Score</v>
      </c>
      <c r="K137" s="3" cm="1">
        <f t="array" ref="K1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7" s="5">
        <f>IF(RAW_DATA!C137&lt;300000,0,IF(RAW_DATA!C137&lt;600000,5,IF(RAW_DATA!C137&lt;1200000,15,IF(RAW_DATA!C137&lt;2000000,20,25))))</f>
        <v>15</v>
      </c>
      <c r="M137" s="3">
        <f>IF(RAW_DATA!E137&lt;1,0,IF(RAW_DATA!E137&lt;3,3,IF(RAW_DATA!E137&lt;5,5,IF(RAW_DATA!E137&lt;10,8,10))))</f>
        <v>8</v>
      </c>
      <c r="N137" s="3">
        <f>IF(RAW_DATA!F137&lt;650,0,IF(RAW_DATA!F137&lt;700,8,IF(RAW_DATA!F137&lt;750,15,IF(RAW_DATA!F137&lt;800,20,25))))</f>
        <v>0</v>
      </c>
      <c r="O137" s="3">
        <f>IF(RAW_DATA!G137=0,5,IF(RAW_DATA!G137=1,4,IF(RAW_DATA!G137=2,3,IF(RAW_DATA!G137=3,2,IF(RAW_DATA!G137=4,1,0)))))</f>
        <v>2</v>
      </c>
      <c r="P137" s="3">
        <f>IF(RAW_DATA!K137&gt;=RAW_DATA!H137,20,ROUND((RAW_DATA!K137/RAW_DATA!H137)*20,0))</f>
        <v>20</v>
      </c>
      <c r="Q137" s="3">
        <f>IF(RAW_DATA!L137="No",5,0)</f>
        <v>5</v>
      </c>
      <c r="R137" s="3">
        <f t="shared" si="15"/>
        <v>60</v>
      </c>
      <c r="S137" s="3">
        <f t="shared" si="16"/>
        <v>60</v>
      </c>
      <c r="T137" s="3" t="str">
        <f t="shared" si="17"/>
        <v>Not Scored - Ineligible</v>
      </c>
    </row>
    <row r="138" spans="1:20" x14ac:dyDescent="0.25">
      <c r="A138" s="3" t="str">
        <f>RAW_DATA!A138</f>
        <v>APP137</v>
      </c>
      <c r="B138" s="3" t="b">
        <f>AND(RAW_DATA!B138&gt;=21,RAW_DATA!B138&lt;=60)</f>
        <v>1</v>
      </c>
      <c r="C138" s="3" t="b">
        <f>RAW_DATA!C138&gt;=300000</f>
        <v>1</v>
      </c>
      <c r="D138" s="3" t="b">
        <f>RAW_DATA!F138&gt;=650</f>
        <v>0</v>
      </c>
      <c r="E138" s="3" t="b">
        <f>RAW_DATA!E138&gt;=1</f>
        <v>1</v>
      </c>
      <c r="F138" s="3" t="b">
        <f>RAW_DATA!L138="No"</f>
        <v>1</v>
      </c>
      <c r="G138" s="3" t="b">
        <f t="shared" si="12"/>
        <v>0</v>
      </c>
      <c r="H138" s="3" t="str">
        <f t="shared" si="13"/>
        <v>INELIGIBLE</v>
      </c>
      <c r="I138" s="3" t="str">
        <f t="shared" si="14"/>
        <v>Credit Score</v>
      </c>
      <c r="K138" s="3" cm="1">
        <f t="array" ref="K1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8" s="5">
        <f>IF(RAW_DATA!C138&lt;300000,0,IF(RAW_DATA!C138&lt;600000,5,IF(RAW_DATA!C138&lt;1200000,15,IF(RAW_DATA!C138&lt;2000000,20,25))))</f>
        <v>20</v>
      </c>
      <c r="M138" s="3">
        <f>IF(RAW_DATA!E138&lt;1,0,IF(RAW_DATA!E138&lt;3,3,IF(RAW_DATA!E138&lt;5,5,IF(RAW_DATA!E138&lt;10,8,10))))</f>
        <v>10</v>
      </c>
      <c r="N138" s="3">
        <f>IF(RAW_DATA!F138&lt;650,0,IF(RAW_DATA!F138&lt;700,8,IF(RAW_DATA!F138&lt;750,15,IF(RAW_DATA!F138&lt;800,20,25))))</f>
        <v>0</v>
      </c>
      <c r="O138" s="3">
        <f>IF(RAW_DATA!G138=0,5,IF(RAW_DATA!G138=1,4,IF(RAW_DATA!G138=2,3,IF(RAW_DATA!G138=3,2,IF(RAW_DATA!G138=4,1,0)))))</f>
        <v>4</v>
      </c>
      <c r="P138" s="3">
        <f>IF(RAW_DATA!K138&gt;=RAW_DATA!H138,20,ROUND((RAW_DATA!K138/RAW_DATA!H138)*20,0))</f>
        <v>20</v>
      </c>
      <c r="Q138" s="3">
        <f>IF(RAW_DATA!L138="No",5,0)</f>
        <v>5</v>
      </c>
      <c r="R138" s="3">
        <f t="shared" si="15"/>
        <v>63</v>
      </c>
      <c r="S138" s="3">
        <f t="shared" si="16"/>
        <v>63</v>
      </c>
      <c r="T138" s="3" t="str">
        <f t="shared" si="17"/>
        <v>Not Scored - Ineligible</v>
      </c>
    </row>
    <row r="139" spans="1:20" x14ac:dyDescent="0.25">
      <c r="A139" s="3" t="str">
        <f>RAW_DATA!A139</f>
        <v>APP138</v>
      </c>
      <c r="B139" s="3" t="b">
        <f>AND(RAW_DATA!B139&gt;=21,RAW_DATA!B139&lt;=60)</f>
        <v>1</v>
      </c>
      <c r="C139" s="3" t="b">
        <f>RAW_DATA!C139&gt;=300000</f>
        <v>1</v>
      </c>
      <c r="D139" s="3" t="b">
        <f>RAW_DATA!F139&gt;=650</f>
        <v>0</v>
      </c>
      <c r="E139" s="3" t="b">
        <f>RAW_DATA!E139&gt;=1</f>
        <v>1</v>
      </c>
      <c r="F139" s="3" t="b">
        <f>RAW_DATA!L139="No"</f>
        <v>1</v>
      </c>
      <c r="G139" s="3" t="b">
        <f t="shared" si="12"/>
        <v>0</v>
      </c>
      <c r="H139" s="3" t="str">
        <f t="shared" si="13"/>
        <v>INELIGIBLE</v>
      </c>
      <c r="I139" s="3" t="str">
        <f t="shared" si="14"/>
        <v>Credit Score</v>
      </c>
      <c r="K139" s="3" cm="1">
        <f t="array" ref="K1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9" s="5">
        <f>IF(RAW_DATA!C139&lt;300000,0,IF(RAW_DATA!C139&lt;600000,5,IF(RAW_DATA!C139&lt;1200000,15,IF(RAW_DATA!C139&lt;2000000,20,25))))</f>
        <v>20</v>
      </c>
      <c r="M139" s="3">
        <f>IF(RAW_DATA!E139&lt;1,0,IF(RAW_DATA!E139&lt;3,3,IF(RAW_DATA!E139&lt;5,5,IF(RAW_DATA!E139&lt;10,8,10))))</f>
        <v>10</v>
      </c>
      <c r="N139" s="3">
        <f>IF(RAW_DATA!F139&lt;650,0,IF(RAW_DATA!F139&lt;700,8,IF(RAW_DATA!F139&lt;750,15,IF(RAW_DATA!F139&lt;800,20,25))))</f>
        <v>0</v>
      </c>
      <c r="O139" s="3">
        <f>IF(RAW_DATA!G139=0,5,IF(RAW_DATA!G139=1,4,IF(RAW_DATA!G139=2,3,IF(RAW_DATA!G139=3,2,IF(RAW_DATA!G139=4,1,0)))))</f>
        <v>4</v>
      </c>
      <c r="P139" s="3">
        <f>IF(RAW_DATA!K139&gt;=RAW_DATA!H139,20,ROUND((RAW_DATA!K139/RAW_DATA!H139)*20,0))</f>
        <v>20</v>
      </c>
      <c r="Q139" s="3">
        <f>IF(RAW_DATA!L139="No",5,0)</f>
        <v>5</v>
      </c>
      <c r="R139" s="3">
        <f t="shared" si="15"/>
        <v>67</v>
      </c>
      <c r="S139" s="3">
        <f t="shared" si="16"/>
        <v>67</v>
      </c>
      <c r="T139" s="3" t="str">
        <f t="shared" si="17"/>
        <v>Not Scored - Ineligible</v>
      </c>
    </row>
    <row r="140" spans="1:20" x14ac:dyDescent="0.25">
      <c r="A140" s="3" t="str">
        <f>RAW_DATA!A140</f>
        <v>APP139</v>
      </c>
      <c r="B140" s="3" t="b">
        <f>AND(RAW_DATA!B140&gt;=21,RAW_DATA!B140&lt;=60)</f>
        <v>1</v>
      </c>
      <c r="C140" s="3" t="b">
        <f>RAW_DATA!C140&gt;=300000</f>
        <v>1</v>
      </c>
      <c r="D140" s="3" t="b">
        <f>RAW_DATA!F140&gt;=650</f>
        <v>1</v>
      </c>
      <c r="E140" s="3" t="b">
        <f>RAW_DATA!E140&gt;=1</f>
        <v>1</v>
      </c>
      <c r="F140" s="3" t="b">
        <f>RAW_DATA!L140="No"</f>
        <v>0</v>
      </c>
      <c r="G140" s="3" t="b">
        <f t="shared" si="12"/>
        <v>0</v>
      </c>
      <c r="H140" s="3" t="str">
        <f t="shared" si="13"/>
        <v>INELIGIBLE</v>
      </c>
      <c r="I140" s="3" t="str">
        <f t="shared" si="14"/>
        <v>Defaulter History</v>
      </c>
      <c r="K140" s="3" cm="1">
        <f t="array" ref="K1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0" s="5">
        <f>IF(RAW_DATA!C140&lt;300000,0,IF(RAW_DATA!C140&lt;600000,5,IF(RAW_DATA!C140&lt;1200000,15,IF(RAW_DATA!C140&lt;2000000,20,25))))</f>
        <v>20</v>
      </c>
      <c r="M140" s="3">
        <f>IF(RAW_DATA!E140&lt;1,0,IF(RAW_DATA!E140&lt;3,3,IF(RAW_DATA!E140&lt;5,5,IF(RAW_DATA!E140&lt;10,8,10))))</f>
        <v>3</v>
      </c>
      <c r="N140" s="3">
        <f>IF(RAW_DATA!F140&lt;650,0,IF(RAW_DATA!F140&lt;700,8,IF(RAW_DATA!F140&lt;750,15,IF(RAW_DATA!F140&lt;800,20,25))))</f>
        <v>25</v>
      </c>
      <c r="O140" s="3">
        <f>IF(RAW_DATA!G140=0,5,IF(RAW_DATA!G140=1,4,IF(RAW_DATA!G140=2,3,IF(RAW_DATA!G140=3,2,IF(RAW_DATA!G140=4,1,0)))))</f>
        <v>4</v>
      </c>
      <c r="P140" s="3">
        <f>IF(RAW_DATA!K140&gt;=RAW_DATA!H140,20,ROUND((RAW_DATA!K140/RAW_DATA!H140)*20,0))</f>
        <v>20</v>
      </c>
      <c r="Q140" s="3">
        <f>IF(RAW_DATA!L140="No",5,0)</f>
        <v>0</v>
      </c>
      <c r="R140" s="3">
        <f t="shared" si="15"/>
        <v>79</v>
      </c>
      <c r="S140" s="3">
        <f t="shared" si="16"/>
        <v>79</v>
      </c>
      <c r="T140" s="3" t="str">
        <f t="shared" si="17"/>
        <v>Not Scored - Ineligible</v>
      </c>
    </row>
    <row r="141" spans="1:20" x14ac:dyDescent="0.25">
      <c r="A141" s="3" t="str">
        <f>RAW_DATA!A141</f>
        <v>APP140</v>
      </c>
      <c r="B141" s="3" t="b">
        <f>AND(RAW_DATA!B141&gt;=21,RAW_DATA!B141&lt;=60)</f>
        <v>1</v>
      </c>
      <c r="C141" s="3" t="b">
        <f>RAW_DATA!C141&gt;=300000</f>
        <v>1</v>
      </c>
      <c r="D141" s="3" t="b">
        <f>RAW_DATA!F141&gt;=650</f>
        <v>1</v>
      </c>
      <c r="E141" s="3" t="b">
        <f>RAW_DATA!E141&gt;=1</f>
        <v>1</v>
      </c>
      <c r="F141" s="3" t="b">
        <f>RAW_DATA!L141="No"</f>
        <v>1</v>
      </c>
      <c r="G141" s="3" t="b">
        <f t="shared" si="12"/>
        <v>1</v>
      </c>
      <c r="H141" s="3" t="str">
        <f t="shared" si="13"/>
        <v>ELIGIBLE</v>
      </c>
      <c r="I141" s="3" t="str">
        <f t="shared" si="14"/>
        <v/>
      </c>
      <c r="K141" s="3" cm="1">
        <f t="array" ref="K1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1" s="5">
        <f>IF(RAW_DATA!C141&lt;300000,0,IF(RAW_DATA!C141&lt;600000,5,IF(RAW_DATA!C141&lt;1200000,15,IF(RAW_DATA!C141&lt;2000000,20,25))))</f>
        <v>15</v>
      </c>
      <c r="M141" s="3">
        <f>IF(RAW_DATA!E141&lt;1,0,IF(RAW_DATA!E141&lt;3,3,IF(RAW_DATA!E141&lt;5,5,IF(RAW_DATA!E141&lt;10,8,10))))</f>
        <v>8</v>
      </c>
      <c r="N141" s="3">
        <f>IF(RAW_DATA!F141&lt;650,0,IF(RAW_DATA!F141&lt;700,8,IF(RAW_DATA!F141&lt;750,15,IF(RAW_DATA!F141&lt;800,20,25))))</f>
        <v>15</v>
      </c>
      <c r="O141" s="3">
        <f>IF(RAW_DATA!G141=0,5,IF(RAW_DATA!G141=1,4,IF(RAW_DATA!G141=2,3,IF(RAW_DATA!G141=3,2,IF(RAW_DATA!G141=4,1,0)))))</f>
        <v>2</v>
      </c>
      <c r="P141" s="3">
        <f>IF(RAW_DATA!K141&gt;=RAW_DATA!H141,20,ROUND((RAW_DATA!K141/RAW_DATA!H141)*20,0))</f>
        <v>13</v>
      </c>
      <c r="Q141" s="3">
        <f>IF(RAW_DATA!L141="No",5,0)</f>
        <v>5</v>
      </c>
      <c r="R141" s="3">
        <f t="shared" si="15"/>
        <v>66</v>
      </c>
      <c r="S141" s="3">
        <f t="shared" si="16"/>
        <v>66</v>
      </c>
      <c r="T141" s="3" t="str">
        <f t="shared" si="17"/>
        <v>Moderate</v>
      </c>
    </row>
    <row r="142" spans="1:20" x14ac:dyDescent="0.25">
      <c r="A142" s="3" t="str">
        <f>RAW_DATA!A142</f>
        <v>APP141</v>
      </c>
      <c r="B142" s="3" t="b">
        <f>AND(RAW_DATA!B142&gt;=21,RAW_DATA!B142&lt;=60)</f>
        <v>1</v>
      </c>
      <c r="C142" s="3" t="b">
        <f>RAW_DATA!C142&gt;=300000</f>
        <v>1</v>
      </c>
      <c r="D142" s="3" t="b">
        <f>RAW_DATA!F142&gt;=650</f>
        <v>1</v>
      </c>
      <c r="E142" s="3" t="b">
        <f>RAW_DATA!E142&gt;=1</f>
        <v>1</v>
      </c>
      <c r="F142" s="3" t="b">
        <f>RAW_DATA!L142="No"</f>
        <v>1</v>
      </c>
      <c r="G142" s="3" t="b">
        <f t="shared" si="12"/>
        <v>1</v>
      </c>
      <c r="H142" s="3" t="str">
        <f t="shared" si="13"/>
        <v>ELIGIBLE</v>
      </c>
      <c r="I142" s="3" t="str">
        <f t="shared" si="14"/>
        <v/>
      </c>
      <c r="K142" s="3" cm="1">
        <f t="array" ref="K1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2" s="5">
        <f>IF(RAW_DATA!C142&lt;300000,0,IF(RAW_DATA!C142&lt;600000,5,IF(RAW_DATA!C142&lt;1200000,15,IF(RAW_DATA!C142&lt;2000000,20,25))))</f>
        <v>15</v>
      </c>
      <c r="M142" s="3">
        <f>IF(RAW_DATA!E142&lt;1,0,IF(RAW_DATA!E142&lt;3,3,IF(RAW_DATA!E142&lt;5,5,IF(RAW_DATA!E142&lt;10,8,10))))</f>
        <v>10</v>
      </c>
      <c r="N142" s="3">
        <f>IF(RAW_DATA!F142&lt;650,0,IF(RAW_DATA!F142&lt;700,8,IF(RAW_DATA!F142&lt;750,15,IF(RAW_DATA!F142&lt;800,20,25))))</f>
        <v>15</v>
      </c>
      <c r="O142" s="3">
        <f>IF(RAW_DATA!G142=0,5,IF(RAW_DATA!G142=1,4,IF(RAW_DATA!G142=2,3,IF(RAW_DATA!G142=3,2,IF(RAW_DATA!G142=4,1,0)))))</f>
        <v>5</v>
      </c>
      <c r="P142" s="3">
        <f>IF(RAW_DATA!K142&gt;=RAW_DATA!H142,20,ROUND((RAW_DATA!K142/RAW_DATA!H142)*20,0))</f>
        <v>2</v>
      </c>
      <c r="Q142" s="3">
        <f>IF(RAW_DATA!L142="No",5,0)</f>
        <v>5</v>
      </c>
      <c r="R142" s="3">
        <f t="shared" si="15"/>
        <v>60</v>
      </c>
      <c r="S142" s="3">
        <f t="shared" si="16"/>
        <v>60</v>
      </c>
      <c r="T142" s="3" t="str">
        <f t="shared" si="17"/>
        <v>Moderate</v>
      </c>
    </row>
    <row r="143" spans="1:20" x14ac:dyDescent="0.25">
      <c r="A143" s="3" t="str">
        <f>RAW_DATA!A143</f>
        <v>APP142</v>
      </c>
      <c r="B143" s="3" t="b">
        <f>AND(RAW_DATA!B143&gt;=21,RAW_DATA!B143&lt;=60)</f>
        <v>1</v>
      </c>
      <c r="C143" s="3" t="b">
        <f>RAW_DATA!C143&gt;=300000</f>
        <v>1</v>
      </c>
      <c r="D143" s="3" t="b">
        <f>RAW_DATA!F143&gt;=650</f>
        <v>0</v>
      </c>
      <c r="E143" s="3" t="b">
        <f>RAW_DATA!E143&gt;=1</f>
        <v>1</v>
      </c>
      <c r="F143" s="3" t="b">
        <f>RAW_DATA!L143="No"</f>
        <v>1</v>
      </c>
      <c r="G143" s="3" t="b">
        <f t="shared" si="12"/>
        <v>0</v>
      </c>
      <c r="H143" s="3" t="str">
        <f t="shared" si="13"/>
        <v>INELIGIBLE</v>
      </c>
      <c r="I143" s="3" t="str">
        <f t="shared" si="14"/>
        <v>Credit Score</v>
      </c>
      <c r="K143" s="3" cm="1">
        <f t="array" ref="K1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3" s="5">
        <f>IF(RAW_DATA!C143&lt;300000,0,IF(RAW_DATA!C143&lt;600000,5,IF(RAW_DATA!C143&lt;1200000,15,IF(RAW_DATA!C143&lt;2000000,20,25))))</f>
        <v>20</v>
      </c>
      <c r="M143" s="3">
        <f>IF(RAW_DATA!E143&lt;1,0,IF(RAW_DATA!E143&lt;3,3,IF(RAW_DATA!E143&lt;5,5,IF(RAW_DATA!E143&lt;10,8,10))))</f>
        <v>3</v>
      </c>
      <c r="N143" s="3">
        <f>IF(RAW_DATA!F143&lt;650,0,IF(RAW_DATA!F143&lt;700,8,IF(RAW_DATA!F143&lt;750,15,IF(RAW_DATA!F143&lt;800,20,25))))</f>
        <v>0</v>
      </c>
      <c r="O143" s="3">
        <f>IF(RAW_DATA!G143=0,5,IF(RAW_DATA!G143=1,4,IF(RAW_DATA!G143=2,3,IF(RAW_DATA!G143=3,2,IF(RAW_DATA!G143=4,1,0)))))</f>
        <v>3</v>
      </c>
      <c r="P143" s="3">
        <f>IF(RAW_DATA!K143&gt;=RAW_DATA!H143,20,ROUND((RAW_DATA!K143/RAW_DATA!H143)*20,0))</f>
        <v>20</v>
      </c>
      <c r="Q143" s="3">
        <f>IF(RAW_DATA!L143="No",5,0)</f>
        <v>5</v>
      </c>
      <c r="R143" s="3">
        <f t="shared" si="15"/>
        <v>58</v>
      </c>
      <c r="S143" s="3">
        <f t="shared" si="16"/>
        <v>58</v>
      </c>
      <c r="T143" s="3" t="str">
        <f t="shared" si="17"/>
        <v>Not Scored - Ineligible</v>
      </c>
    </row>
    <row r="144" spans="1:20" x14ac:dyDescent="0.25">
      <c r="A144" s="3" t="str">
        <f>RAW_DATA!A144</f>
        <v>APP143</v>
      </c>
      <c r="B144" s="3" t="b">
        <f>AND(RAW_DATA!B144&gt;=21,RAW_DATA!B144&lt;=60)</f>
        <v>1</v>
      </c>
      <c r="C144" s="3" t="b">
        <f>RAW_DATA!C144&gt;=300000</f>
        <v>1</v>
      </c>
      <c r="D144" s="3" t="b">
        <f>RAW_DATA!F144&gt;=650</f>
        <v>0</v>
      </c>
      <c r="E144" s="3" t="b">
        <f>RAW_DATA!E144&gt;=1</f>
        <v>1</v>
      </c>
      <c r="F144" s="3" t="b">
        <f>RAW_DATA!L144="No"</f>
        <v>1</v>
      </c>
      <c r="G144" s="3" t="b">
        <f t="shared" si="12"/>
        <v>0</v>
      </c>
      <c r="H144" s="3" t="str">
        <f t="shared" si="13"/>
        <v>INELIGIBLE</v>
      </c>
      <c r="I144" s="3" t="str">
        <f t="shared" si="14"/>
        <v>Credit Score</v>
      </c>
      <c r="K144" s="3" cm="1">
        <f t="array" ref="K1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44" s="5">
        <f>IF(RAW_DATA!C144&lt;300000,0,IF(RAW_DATA!C144&lt;600000,5,IF(RAW_DATA!C144&lt;1200000,15,IF(RAW_DATA!C144&lt;2000000,20,25))))</f>
        <v>15</v>
      </c>
      <c r="M144" s="3">
        <f>IF(RAW_DATA!E144&lt;1,0,IF(RAW_DATA!E144&lt;3,3,IF(RAW_DATA!E144&lt;5,5,IF(RAW_DATA!E144&lt;10,8,10))))</f>
        <v>8</v>
      </c>
      <c r="N144" s="3">
        <f>IF(RAW_DATA!F144&lt;650,0,IF(RAW_DATA!F144&lt;700,8,IF(RAW_DATA!F144&lt;750,15,IF(RAW_DATA!F144&lt;800,20,25))))</f>
        <v>0</v>
      </c>
      <c r="O144" s="3">
        <f>IF(RAW_DATA!G144=0,5,IF(RAW_DATA!G144=1,4,IF(RAW_DATA!G144=2,3,IF(RAW_DATA!G144=3,2,IF(RAW_DATA!G144=4,1,0)))))</f>
        <v>1</v>
      </c>
      <c r="P144" s="3">
        <f>IF(RAW_DATA!K144&gt;=RAW_DATA!H144,20,ROUND((RAW_DATA!K144/RAW_DATA!H144)*20,0))</f>
        <v>20</v>
      </c>
      <c r="Q144" s="3">
        <f>IF(RAW_DATA!L144="No",5,0)</f>
        <v>5</v>
      </c>
      <c r="R144" s="3">
        <f t="shared" si="15"/>
        <v>53</v>
      </c>
      <c r="S144" s="3">
        <f t="shared" si="16"/>
        <v>53</v>
      </c>
      <c r="T144" s="3" t="str">
        <f t="shared" si="17"/>
        <v>Not Scored - Ineligible</v>
      </c>
    </row>
    <row r="145" spans="1:20" x14ac:dyDescent="0.25">
      <c r="A145" s="3" t="str">
        <f>RAW_DATA!A145</f>
        <v>APP144</v>
      </c>
      <c r="B145" s="3" t="b">
        <f>AND(RAW_DATA!B145&gt;=21,RAW_DATA!B145&lt;=60)</f>
        <v>1</v>
      </c>
      <c r="C145" s="3" t="b">
        <f>RAW_DATA!C145&gt;=300000</f>
        <v>1</v>
      </c>
      <c r="D145" s="3" t="b">
        <f>RAW_DATA!F145&gt;=650</f>
        <v>0</v>
      </c>
      <c r="E145" s="3" t="b">
        <f>RAW_DATA!E145&gt;=1</f>
        <v>1</v>
      </c>
      <c r="F145" s="3" t="b">
        <f>RAW_DATA!L145="No"</f>
        <v>0</v>
      </c>
      <c r="G145" s="3" t="b">
        <f t="shared" si="12"/>
        <v>0</v>
      </c>
      <c r="H145" s="3" t="str">
        <f t="shared" si="13"/>
        <v>INELIGIBLE</v>
      </c>
      <c r="I145" s="3" t="str">
        <f t="shared" si="14"/>
        <v>Credit Score, Defaulter History</v>
      </c>
      <c r="K145" s="3" cm="1">
        <f t="array" ref="K1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5" s="5">
        <f>IF(RAW_DATA!C145&lt;300000,0,IF(RAW_DATA!C145&lt;600000,5,IF(RAW_DATA!C145&lt;1200000,15,IF(RAW_DATA!C145&lt;2000000,20,25))))</f>
        <v>15</v>
      </c>
      <c r="M145" s="3">
        <f>IF(RAW_DATA!E145&lt;1,0,IF(RAW_DATA!E145&lt;3,3,IF(RAW_DATA!E145&lt;5,5,IF(RAW_DATA!E145&lt;10,8,10))))</f>
        <v>3</v>
      </c>
      <c r="N145" s="3">
        <f>IF(RAW_DATA!F145&lt;650,0,IF(RAW_DATA!F145&lt;700,8,IF(RAW_DATA!F145&lt;750,15,IF(RAW_DATA!F145&lt;800,20,25))))</f>
        <v>0</v>
      </c>
      <c r="O145" s="3">
        <f>IF(RAW_DATA!G145=0,5,IF(RAW_DATA!G145=1,4,IF(RAW_DATA!G145=2,3,IF(RAW_DATA!G145=3,2,IF(RAW_DATA!G145=4,1,0)))))</f>
        <v>5</v>
      </c>
      <c r="P145" s="3">
        <f>IF(RAW_DATA!K145&gt;=RAW_DATA!H145,20,ROUND((RAW_DATA!K145/RAW_DATA!H145)*20,0))</f>
        <v>20</v>
      </c>
      <c r="Q145" s="3">
        <f>IF(RAW_DATA!L145="No",5,0)</f>
        <v>0</v>
      </c>
      <c r="R145" s="3">
        <f t="shared" si="15"/>
        <v>51</v>
      </c>
      <c r="S145" s="3">
        <f t="shared" si="16"/>
        <v>51</v>
      </c>
      <c r="T145" s="3" t="str">
        <f t="shared" si="17"/>
        <v>Not Scored - Ineligible</v>
      </c>
    </row>
    <row r="146" spans="1:20" x14ac:dyDescent="0.25">
      <c r="A146" s="3" t="str">
        <f>RAW_DATA!A146</f>
        <v>APP145</v>
      </c>
      <c r="B146" s="3" t="b">
        <f>AND(RAW_DATA!B146&gt;=21,RAW_DATA!B146&lt;=60)</f>
        <v>1</v>
      </c>
      <c r="C146" s="3" t="b">
        <f>RAW_DATA!C146&gt;=300000</f>
        <v>1</v>
      </c>
      <c r="D146" s="3" t="b">
        <f>RAW_DATA!F146&gt;=650</f>
        <v>1</v>
      </c>
      <c r="E146" s="3" t="b">
        <f>RAW_DATA!E146&gt;=1</f>
        <v>1</v>
      </c>
      <c r="F146" s="3" t="b">
        <f>RAW_DATA!L146="No"</f>
        <v>1</v>
      </c>
      <c r="G146" s="3" t="b">
        <f t="shared" si="12"/>
        <v>1</v>
      </c>
      <c r="H146" s="3" t="str">
        <f t="shared" si="13"/>
        <v>ELIGIBLE</v>
      </c>
      <c r="I146" s="3" t="str">
        <f t="shared" si="14"/>
        <v/>
      </c>
      <c r="K146" s="3" cm="1">
        <f t="array" ref="K1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6" s="5">
        <f>IF(RAW_DATA!C146&lt;300000,0,IF(RAW_DATA!C146&lt;600000,5,IF(RAW_DATA!C146&lt;1200000,15,IF(RAW_DATA!C146&lt;2000000,20,25))))</f>
        <v>15</v>
      </c>
      <c r="M146" s="3">
        <f>IF(RAW_DATA!E146&lt;1,0,IF(RAW_DATA!E146&lt;3,3,IF(RAW_DATA!E146&lt;5,5,IF(RAW_DATA!E146&lt;10,8,10))))</f>
        <v>3</v>
      </c>
      <c r="N146" s="3">
        <f>IF(RAW_DATA!F146&lt;650,0,IF(RAW_DATA!F146&lt;700,8,IF(RAW_DATA!F146&lt;750,15,IF(RAW_DATA!F146&lt;800,20,25))))</f>
        <v>20</v>
      </c>
      <c r="O146" s="3">
        <f>IF(RAW_DATA!G146=0,5,IF(RAW_DATA!G146=1,4,IF(RAW_DATA!G146=2,3,IF(RAW_DATA!G146=3,2,IF(RAW_DATA!G146=4,1,0)))))</f>
        <v>3</v>
      </c>
      <c r="P146" s="3">
        <f>IF(RAW_DATA!K146&gt;=RAW_DATA!H146,20,ROUND((RAW_DATA!K146/RAW_DATA!H146)*20,0))</f>
        <v>8</v>
      </c>
      <c r="Q146" s="3">
        <f>IF(RAW_DATA!L146="No",5,0)</f>
        <v>5</v>
      </c>
      <c r="R146" s="3">
        <f t="shared" si="15"/>
        <v>62</v>
      </c>
      <c r="S146" s="3">
        <f t="shared" si="16"/>
        <v>62</v>
      </c>
      <c r="T146" s="3" t="str">
        <f t="shared" si="17"/>
        <v>Moderate</v>
      </c>
    </row>
    <row r="147" spans="1:20" x14ac:dyDescent="0.25">
      <c r="A147" s="3" t="str">
        <f>RAW_DATA!A147</f>
        <v>APP146</v>
      </c>
      <c r="B147" s="3" t="b">
        <f>AND(RAW_DATA!B147&gt;=21,RAW_DATA!B147&lt;=60)</f>
        <v>1</v>
      </c>
      <c r="C147" s="3" t="b">
        <f>RAW_DATA!C147&gt;=300000</f>
        <v>1</v>
      </c>
      <c r="D147" s="3" t="b">
        <f>RAW_DATA!F147&gt;=650</f>
        <v>0</v>
      </c>
      <c r="E147" s="3" t="b">
        <f>RAW_DATA!E147&gt;=1</f>
        <v>1</v>
      </c>
      <c r="F147" s="3" t="b">
        <f>RAW_DATA!L147="No"</f>
        <v>1</v>
      </c>
      <c r="G147" s="3" t="b">
        <f t="shared" si="12"/>
        <v>0</v>
      </c>
      <c r="H147" s="3" t="str">
        <f t="shared" si="13"/>
        <v>INELIGIBLE</v>
      </c>
      <c r="I147" s="3" t="str">
        <f t="shared" si="14"/>
        <v>Credit Score</v>
      </c>
      <c r="K147" s="3" cm="1">
        <f t="array" ref="K1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47" s="5">
        <f>IF(RAW_DATA!C147&lt;300000,0,IF(RAW_DATA!C147&lt;600000,5,IF(RAW_DATA!C147&lt;1200000,15,IF(RAW_DATA!C147&lt;2000000,20,25))))</f>
        <v>15</v>
      </c>
      <c r="M147" s="3">
        <f>IF(RAW_DATA!E147&lt;1,0,IF(RAW_DATA!E147&lt;3,3,IF(RAW_DATA!E147&lt;5,5,IF(RAW_DATA!E147&lt;10,8,10))))</f>
        <v>10</v>
      </c>
      <c r="N147" s="3">
        <f>IF(RAW_DATA!F147&lt;650,0,IF(RAW_DATA!F147&lt;700,8,IF(RAW_DATA!F147&lt;750,15,IF(RAW_DATA!F147&lt;800,20,25))))</f>
        <v>0</v>
      </c>
      <c r="O147" s="3">
        <f>IF(RAW_DATA!G147=0,5,IF(RAW_DATA!G147=1,4,IF(RAW_DATA!G147=2,3,IF(RAW_DATA!G147=3,2,IF(RAW_DATA!G147=4,1,0)))))</f>
        <v>4</v>
      </c>
      <c r="P147" s="3">
        <f>IF(RAW_DATA!K147&gt;=RAW_DATA!H147,20,ROUND((RAW_DATA!K147/RAW_DATA!H147)*20,0))</f>
        <v>15</v>
      </c>
      <c r="Q147" s="3">
        <f>IF(RAW_DATA!L147="No",5,0)</f>
        <v>5</v>
      </c>
      <c r="R147" s="3">
        <f t="shared" si="15"/>
        <v>59</v>
      </c>
      <c r="S147" s="3">
        <f t="shared" si="16"/>
        <v>59</v>
      </c>
      <c r="T147" s="3" t="str">
        <f t="shared" si="17"/>
        <v>Not Scored - Ineligible</v>
      </c>
    </row>
    <row r="148" spans="1:20" x14ac:dyDescent="0.25">
      <c r="A148" s="3" t="str">
        <f>RAW_DATA!A148</f>
        <v>APP147</v>
      </c>
      <c r="B148" s="3" t="b">
        <f>AND(RAW_DATA!B148&gt;=21,RAW_DATA!B148&lt;=60)</f>
        <v>1</v>
      </c>
      <c r="C148" s="3" t="b">
        <f>RAW_DATA!C148&gt;=300000</f>
        <v>1</v>
      </c>
      <c r="D148" s="3" t="b">
        <f>RAW_DATA!F148&gt;=650</f>
        <v>1</v>
      </c>
      <c r="E148" s="3" t="b">
        <f>RAW_DATA!E148&gt;=1</f>
        <v>1</v>
      </c>
      <c r="F148" s="3" t="b">
        <f>RAW_DATA!L148="No"</f>
        <v>1</v>
      </c>
      <c r="G148" s="3" t="b">
        <f t="shared" si="12"/>
        <v>1</v>
      </c>
      <c r="H148" s="3" t="str">
        <f t="shared" si="13"/>
        <v>ELIGIBLE</v>
      </c>
      <c r="I148" s="3" t="str">
        <f t="shared" si="14"/>
        <v/>
      </c>
      <c r="K148" s="3" cm="1">
        <f t="array" ref="K1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48" s="5">
        <f>IF(RAW_DATA!C148&lt;300000,0,IF(RAW_DATA!C148&lt;600000,5,IF(RAW_DATA!C148&lt;1200000,15,IF(RAW_DATA!C148&lt;2000000,20,25))))</f>
        <v>25</v>
      </c>
      <c r="M148" s="3">
        <f>IF(RAW_DATA!E148&lt;1,0,IF(RAW_DATA!E148&lt;3,3,IF(RAW_DATA!E148&lt;5,5,IF(RAW_DATA!E148&lt;10,8,10))))</f>
        <v>10</v>
      </c>
      <c r="N148" s="3">
        <f>IF(RAW_DATA!F148&lt;650,0,IF(RAW_DATA!F148&lt;700,8,IF(RAW_DATA!F148&lt;750,15,IF(RAW_DATA!F148&lt;800,20,25))))</f>
        <v>25</v>
      </c>
      <c r="O148" s="3">
        <f>IF(RAW_DATA!G148=0,5,IF(RAW_DATA!G148=1,4,IF(RAW_DATA!G148=2,3,IF(RAW_DATA!G148=3,2,IF(RAW_DATA!G148=4,1,0)))))</f>
        <v>0</v>
      </c>
      <c r="P148" s="3">
        <f>IF(RAW_DATA!K148&gt;=RAW_DATA!H148,20,ROUND((RAW_DATA!K148/RAW_DATA!H148)*20,0))</f>
        <v>20</v>
      </c>
      <c r="Q148" s="3">
        <f>IF(RAW_DATA!L148="No",5,0)</f>
        <v>5</v>
      </c>
      <c r="R148" s="3">
        <f t="shared" si="15"/>
        <v>91</v>
      </c>
      <c r="S148" s="3">
        <f t="shared" si="16"/>
        <v>91</v>
      </c>
      <c r="T148" s="3" t="str">
        <f t="shared" si="17"/>
        <v>Strong</v>
      </c>
    </row>
    <row r="149" spans="1:20" x14ac:dyDescent="0.25">
      <c r="A149" s="3" t="str">
        <f>RAW_DATA!A149</f>
        <v>APP148</v>
      </c>
      <c r="B149" s="3" t="b">
        <f>AND(RAW_DATA!B149&gt;=21,RAW_DATA!B149&lt;=60)</f>
        <v>1</v>
      </c>
      <c r="C149" s="3" t="b">
        <f>RAW_DATA!C149&gt;=300000</f>
        <v>1</v>
      </c>
      <c r="D149" s="3" t="b">
        <f>RAW_DATA!F149&gt;=650</f>
        <v>0</v>
      </c>
      <c r="E149" s="3" t="b">
        <f>RAW_DATA!E149&gt;=1</f>
        <v>1</v>
      </c>
      <c r="F149" s="3" t="b">
        <f>RAW_DATA!L149="No"</f>
        <v>1</v>
      </c>
      <c r="G149" s="3" t="b">
        <f t="shared" si="12"/>
        <v>0</v>
      </c>
      <c r="H149" s="3" t="str">
        <f t="shared" si="13"/>
        <v>INELIGIBLE</v>
      </c>
      <c r="I149" s="3" t="str">
        <f t="shared" si="14"/>
        <v>Credit Score</v>
      </c>
      <c r="K149" s="3" cm="1">
        <f t="array" ref="K1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9" s="5">
        <f>IF(RAW_DATA!C149&lt;300000,0,IF(RAW_DATA!C149&lt;600000,5,IF(RAW_DATA!C149&lt;1200000,15,IF(RAW_DATA!C149&lt;2000000,20,25))))</f>
        <v>15</v>
      </c>
      <c r="M149" s="3">
        <f>IF(RAW_DATA!E149&lt;1,0,IF(RAW_DATA!E149&lt;3,3,IF(RAW_DATA!E149&lt;5,5,IF(RAW_DATA!E149&lt;10,8,10))))</f>
        <v>10</v>
      </c>
      <c r="N149" s="3">
        <f>IF(RAW_DATA!F149&lt;650,0,IF(RAW_DATA!F149&lt;700,8,IF(RAW_DATA!F149&lt;750,15,IF(RAW_DATA!F149&lt;800,20,25))))</f>
        <v>0</v>
      </c>
      <c r="O149" s="3">
        <f>IF(RAW_DATA!G149=0,5,IF(RAW_DATA!G149=1,4,IF(RAW_DATA!G149=2,3,IF(RAW_DATA!G149=3,2,IF(RAW_DATA!G149=4,1,0)))))</f>
        <v>4</v>
      </c>
      <c r="P149" s="3">
        <f>IF(RAW_DATA!K149&gt;=RAW_DATA!H149,20,ROUND((RAW_DATA!K149/RAW_DATA!H149)*20,0))</f>
        <v>20</v>
      </c>
      <c r="Q149" s="3">
        <f>IF(RAW_DATA!L149="No",5,0)</f>
        <v>5</v>
      </c>
      <c r="R149" s="3">
        <f t="shared" si="15"/>
        <v>62</v>
      </c>
      <c r="S149" s="3">
        <f t="shared" si="16"/>
        <v>62</v>
      </c>
      <c r="T149" s="3" t="str">
        <f t="shared" si="17"/>
        <v>Not Scored - Ineligible</v>
      </c>
    </row>
    <row r="150" spans="1:20" x14ac:dyDescent="0.25">
      <c r="A150" s="3" t="str">
        <f>RAW_DATA!A150</f>
        <v>APP149</v>
      </c>
      <c r="B150" s="3" t="b">
        <f>AND(RAW_DATA!B150&gt;=21,RAW_DATA!B150&lt;=60)</f>
        <v>1</v>
      </c>
      <c r="C150" s="3" t="b">
        <f>RAW_DATA!C150&gt;=300000</f>
        <v>1</v>
      </c>
      <c r="D150" s="3" t="b">
        <f>RAW_DATA!F150&gt;=650</f>
        <v>1</v>
      </c>
      <c r="E150" s="3" t="b">
        <f>RAW_DATA!E150&gt;=1</f>
        <v>1</v>
      </c>
      <c r="F150" s="3" t="b">
        <f>RAW_DATA!L150="No"</f>
        <v>1</v>
      </c>
      <c r="G150" s="3" t="b">
        <f t="shared" si="12"/>
        <v>1</v>
      </c>
      <c r="H150" s="3" t="str">
        <f t="shared" si="13"/>
        <v>ELIGIBLE</v>
      </c>
      <c r="I150" s="3" t="str">
        <f t="shared" si="14"/>
        <v/>
      </c>
      <c r="K150" s="3" cm="1">
        <f t="array" ref="K1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0" s="5">
        <f>IF(RAW_DATA!C150&lt;300000,0,IF(RAW_DATA!C150&lt;600000,5,IF(RAW_DATA!C150&lt;1200000,15,IF(RAW_DATA!C150&lt;2000000,20,25))))</f>
        <v>20</v>
      </c>
      <c r="M150" s="3">
        <f>IF(RAW_DATA!E150&lt;1,0,IF(RAW_DATA!E150&lt;3,3,IF(RAW_DATA!E150&lt;5,5,IF(RAW_DATA!E150&lt;10,8,10))))</f>
        <v>10</v>
      </c>
      <c r="N150" s="3">
        <f>IF(RAW_DATA!F150&lt;650,0,IF(RAW_DATA!F150&lt;700,8,IF(RAW_DATA!F150&lt;750,15,IF(RAW_DATA!F150&lt;800,20,25))))</f>
        <v>25</v>
      </c>
      <c r="O150" s="3">
        <f>IF(RAW_DATA!G150=0,5,IF(RAW_DATA!G150=1,4,IF(RAW_DATA!G150=2,3,IF(RAW_DATA!G150=3,2,IF(RAW_DATA!G150=4,1,0)))))</f>
        <v>1</v>
      </c>
      <c r="P150" s="3">
        <f>IF(RAW_DATA!K150&gt;=RAW_DATA!H150,20,ROUND((RAW_DATA!K150/RAW_DATA!H150)*20,0))</f>
        <v>7</v>
      </c>
      <c r="Q150" s="3">
        <f>IF(RAW_DATA!L150="No",5,0)</f>
        <v>5</v>
      </c>
      <c r="R150" s="3">
        <f t="shared" si="15"/>
        <v>72</v>
      </c>
      <c r="S150" s="3">
        <f t="shared" si="16"/>
        <v>72</v>
      </c>
      <c r="T150" s="3" t="str">
        <f t="shared" si="17"/>
        <v>Strong</v>
      </c>
    </row>
    <row r="151" spans="1:20" x14ac:dyDescent="0.25">
      <c r="A151" s="3" t="str">
        <f>RAW_DATA!A151</f>
        <v>APP150</v>
      </c>
      <c r="B151" s="3" t="b">
        <f>AND(RAW_DATA!B151&gt;=21,RAW_DATA!B151&lt;=60)</f>
        <v>0</v>
      </c>
      <c r="C151" s="3" t="b">
        <f>RAW_DATA!C151&gt;=300000</f>
        <v>1</v>
      </c>
      <c r="D151" s="3" t="b">
        <f>RAW_DATA!F151&gt;=650</f>
        <v>0</v>
      </c>
      <c r="E151" s="3" t="b">
        <f>RAW_DATA!E151&gt;=1</f>
        <v>1</v>
      </c>
      <c r="F151" s="3" t="b">
        <f>RAW_DATA!L151="No"</f>
        <v>0</v>
      </c>
      <c r="G151" s="3" t="b">
        <f t="shared" si="12"/>
        <v>0</v>
      </c>
      <c r="H151" s="3" t="str">
        <f t="shared" si="13"/>
        <v>INELIGIBLE</v>
      </c>
      <c r="I151" s="3" t="str">
        <f t="shared" si="14"/>
        <v>Age, Credit Score, Defaulter History</v>
      </c>
      <c r="K151" s="3" cm="1">
        <f t="array" ref="K1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51" s="5">
        <f>IF(RAW_DATA!C151&lt;300000,0,IF(RAW_DATA!C151&lt;600000,5,IF(RAW_DATA!C151&lt;1200000,15,IF(RAW_DATA!C151&lt;2000000,20,25))))</f>
        <v>5</v>
      </c>
      <c r="M151" s="3">
        <f>IF(RAW_DATA!E151&lt;1,0,IF(RAW_DATA!E151&lt;3,3,IF(RAW_DATA!E151&lt;5,5,IF(RAW_DATA!E151&lt;10,8,10))))</f>
        <v>10</v>
      </c>
      <c r="N151" s="3">
        <f>IF(RAW_DATA!F151&lt;650,0,IF(RAW_DATA!F151&lt;700,8,IF(RAW_DATA!F151&lt;750,15,IF(RAW_DATA!F151&lt;800,20,25))))</f>
        <v>0</v>
      </c>
      <c r="O151" s="3">
        <f>IF(RAW_DATA!G151=0,5,IF(RAW_DATA!G151=1,4,IF(RAW_DATA!G151=2,3,IF(RAW_DATA!G151=3,2,IF(RAW_DATA!G151=4,1,0)))))</f>
        <v>3</v>
      </c>
      <c r="P151" s="3">
        <f>IF(RAW_DATA!K151&gt;=RAW_DATA!H151,20,ROUND((RAW_DATA!K151/RAW_DATA!H151)*20,0))</f>
        <v>20</v>
      </c>
      <c r="Q151" s="3">
        <f>IF(RAW_DATA!L151="No",5,0)</f>
        <v>0</v>
      </c>
      <c r="R151" s="3">
        <f t="shared" si="15"/>
        <v>38</v>
      </c>
      <c r="S151" s="3">
        <f t="shared" si="16"/>
        <v>38</v>
      </c>
      <c r="T151" s="3" t="str">
        <f t="shared" si="17"/>
        <v>Not Scored - Ineligible</v>
      </c>
    </row>
    <row r="152" spans="1:20" x14ac:dyDescent="0.25">
      <c r="A152" s="3" t="str">
        <f>RAW_DATA!A152</f>
        <v>APP151</v>
      </c>
      <c r="B152" s="3" t="b">
        <f>AND(RAW_DATA!B152&gt;=21,RAW_DATA!B152&lt;=60)</f>
        <v>1</v>
      </c>
      <c r="C152" s="3" t="b">
        <f>RAW_DATA!C152&gt;=300000</f>
        <v>1</v>
      </c>
      <c r="D152" s="3" t="b">
        <f>RAW_DATA!F152&gt;=650</f>
        <v>0</v>
      </c>
      <c r="E152" s="3" t="b">
        <f>RAW_DATA!E152&gt;=1</f>
        <v>1</v>
      </c>
      <c r="F152" s="3" t="b">
        <f>RAW_DATA!L152="No"</f>
        <v>1</v>
      </c>
      <c r="G152" s="3" t="b">
        <f t="shared" si="12"/>
        <v>0</v>
      </c>
      <c r="H152" s="3" t="str">
        <f t="shared" si="13"/>
        <v>INELIGIBLE</v>
      </c>
      <c r="I152" s="3" t="str">
        <f t="shared" si="14"/>
        <v>Credit Score</v>
      </c>
      <c r="K152" s="3" cm="1">
        <f t="array" ref="K1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2" s="5">
        <f>IF(RAW_DATA!C152&lt;300000,0,IF(RAW_DATA!C152&lt;600000,5,IF(RAW_DATA!C152&lt;1200000,15,IF(RAW_DATA!C152&lt;2000000,20,25))))</f>
        <v>15</v>
      </c>
      <c r="M152" s="3">
        <f>IF(RAW_DATA!E152&lt;1,0,IF(RAW_DATA!E152&lt;3,3,IF(RAW_DATA!E152&lt;5,5,IF(RAW_DATA!E152&lt;10,8,10))))</f>
        <v>10</v>
      </c>
      <c r="N152" s="3">
        <f>IF(RAW_DATA!F152&lt;650,0,IF(RAW_DATA!F152&lt;700,8,IF(RAW_DATA!F152&lt;750,15,IF(RAW_DATA!F152&lt;800,20,25))))</f>
        <v>0</v>
      </c>
      <c r="O152" s="3">
        <f>IF(RAW_DATA!G152=0,5,IF(RAW_DATA!G152=1,4,IF(RAW_DATA!G152=2,3,IF(RAW_DATA!G152=3,2,IF(RAW_DATA!G152=4,1,0)))))</f>
        <v>0</v>
      </c>
      <c r="P152" s="3">
        <f>IF(RAW_DATA!K152&gt;=RAW_DATA!H152,20,ROUND((RAW_DATA!K152/RAW_DATA!H152)*20,0))</f>
        <v>20</v>
      </c>
      <c r="Q152" s="3">
        <f>IF(RAW_DATA!L152="No",5,0)</f>
        <v>5</v>
      </c>
      <c r="R152" s="3">
        <f t="shared" si="15"/>
        <v>54</v>
      </c>
      <c r="S152" s="3">
        <f t="shared" si="16"/>
        <v>54</v>
      </c>
      <c r="T152" s="3" t="str">
        <f t="shared" si="17"/>
        <v>Not Scored - Ineligible</v>
      </c>
    </row>
    <row r="153" spans="1:20" x14ac:dyDescent="0.25">
      <c r="A153" s="3" t="str">
        <f>RAW_DATA!A153</f>
        <v>APP152</v>
      </c>
      <c r="B153" s="3" t="b">
        <f>AND(RAW_DATA!B153&gt;=21,RAW_DATA!B153&lt;=60)</f>
        <v>1</v>
      </c>
      <c r="C153" s="3" t="b">
        <f>RAW_DATA!C153&gt;=300000</f>
        <v>1</v>
      </c>
      <c r="D153" s="3" t="b">
        <f>RAW_DATA!F153&gt;=650</f>
        <v>0</v>
      </c>
      <c r="E153" s="3" t="b">
        <f>RAW_DATA!E153&gt;=1</f>
        <v>1</v>
      </c>
      <c r="F153" s="3" t="b">
        <f>RAW_DATA!L153="No"</f>
        <v>1</v>
      </c>
      <c r="G153" s="3" t="b">
        <f t="shared" si="12"/>
        <v>0</v>
      </c>
      <c r="H153" s="3" t="str">
        <f t="shared" si="13"/>
        <v>INELIGIBLE</v>
      </c>
      <c r="I153" s="3" t="str">
        <f t="shared" si="14"/>
        <v>Credit Score</v>
      </c>
      <c r="K153" s="3" cm="1">
        <f t="array" ref="K1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3" s="5">
        <f>IF(RAW_DATA!C153&lt;300000,0,IF(RAW_DATA!C153&lt;600000,5,IF(RAW_DATA!C153&lt;1200000,15,IF(RAW_DATA!C153&lt;2000000,20,25))))</f>
        <v>15</v>
      </c>
      <c r="M153" s="3">
        <f>IF(RAW_DATA!E153&lt;1,0,IF(RAW_DATA!E153&lt;3,3,IF(RAW_DATA!E153&lt;5,5,IF(RAW_DATA!E153&lt;10,8,10))))</f>
        <v>10</v>
      </c>
      <c r="N153" s="3">
        <f>IF(RAW_DATA!F153&lt;650,0,IF(RAW_DATA!F153&lt;700,8,IF(RAW_DATA!F153&lt;750,15,IF(RAW_DATA!F153&lt;800,20,25))))</f>
        <v>0</v>
      </c>
      <c r="O153" s="3">
        <f>IF(RAW_DATA!G153=0,5,IF(RAW_DATA!G153=1,4,IF(RAW_DATA!G153=2,3,IF(RAW_DATA!G153=3,2,IF(RAW_DATA!G153=4,1,0)))))</f>
        <v>4</v>
      </c>
      <c r="P153" s="3">
        <f>IF(RAW_DATA!K153&gt;=RAW_DATA!H153,20,ROUND((RAW_DATA!K153/RAW_DATA!H153)*20,0))</f>
        <v>20</v>
      </c>
      <c r="Q153" s="3">
        <f>IF(RAW_DATA!L153="No",5,0)</f>
        <v>5</v>
      </c>
      <c r="R153" s="3">
        <f t="shared" si="15"/>
        <v>62</v>
      </c>
      <c r="S153" s="3">
        <f t="shared" si="16"/>
        <v>62</v>
      </c>
      <c r="T153" s="3" t="str">
        <f t="shared" si="17"/>
        <v>Not Scored - Ineligible</v>
      </c>
    </row>
    <row r="154" spans="1:20" x14ac:dyDescent="0.25">
      <c r="A154" s="3" t="str">
        <f>RAW_DATA!A154</f>
        <v>APP153</v>
      </c>
      <c r="B154" s="3" t="b">
        <f>AND(RAW_DATA!B154&gt;=21,RAW_DATA!B154&lt;=60)</f>
        <v>1</v>
      </c>
      <c r="C154" s="3" t="b">
        <f>RAW_DATA!C154&gt;=300000</f>
        <v>1</v>
      </c>
      <c r="D154" s="3" t="b">
        <f>RAW_DATA!F154&gt;=650</f>
        <v>0</v>
      </c>
      <c r="E154" s="3" t="b">
        <f>RAW_DATA!E154&gt;=1</f>
        <v>1</v>
      </c>
      <c r="F154" s="3" t="b">
        <f>RAW_DATA!L154="No"</f>
        <v>1</v>
      </c>
      <c r="G154" s="3" t="b">
        <f t="shared" si="12"/>
        <v>0</v>
      </c>
      <c r="H154" s="3" t="str">
        <f t="shared" si="13"/>
        <v>INELIGIBLE</v>
      </c>
      <c r="I154" s="3" t="str">
        <f t="shared" si="14"/>
        <v>Credit Score</v>
      </c>
      <c r="K154" s="3" cm="1">
        <f t="array" ref="K1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4" s="5">
        <f>IF(RAW_DATA!C154&lt;300000,0,IF(RAW_DATA!C154&lt;600000,5,IF(RAW_DATA!C154&lt;1200000,15,IF(RAW_DATA!C154&lt;2000000,20,25))))</f>
        <v>15</v>
      </c>
      <c r="M154" s="3">
        <f>IF(RAW_DATA!E154&lt;1,0,IF(RAW_DATA!E154&lt;3,3,IF(RAW_DATA!E154&lt;5,5,IF(RAW_DATA!E154&lt;10,8,10))))</f>
        <v>10</v>
      </c>
      <c r="N154" s="3">
        <f>IF(RAW_DATA!F154&lt;650,0,IF(RAW_DATA!F154&lt;700,8,IF(RAW_DATA!F154&lt;750,15,IF(RAW_DATA!F154&lt;800,20,25))))</f>
        <v>0</v>
      </c>
      <c r="O154" s="3">
        <f>IF(RAW_DATA!G154=0,5,IF(RAW_DATA!G154=1,4,IF(RAW_DATA!G154=2,3,IF(RAW_DATA!G154=3,2,IF(RAW_DATA!G154=4,1,0)))))</f>
        <v>1</v>
      </c>
      <c r="P154" s="3">
        <f>IF(RAW_DATA!K154&gt;=RAW_DATA!H154,20,ROUND((RAW_DATA!K154/RAW_DATA!H154)*20,0))</f>
        <v>15</v>
      </c>
      <c r="Q154" s="3">
        <f>IF(RAW_DATA!L154="No",5,0)</f>
        <v>5</v>
      </c>
      <c r="R154" s="3">
        <f t="shared" si="15"/>
        <v>53</v>
      </c>
      <c r="S154" s="3">
        <f t="shared" si="16"/>
        <v>53</v>
      </c>
      <c r="T154" s="3" t="str">
        <f t="shared" si="17"/>
        <v>Not Scored - Ineligible</v>
      </c>
    </row>
    <row r="155" spans="1:20" x14ac:dyDescent="0.25">
      <c r="A155" s="3" t="str">
        <f>RAW_DATA!A155</f>
        <v>APP154</v>
      </c>
      <c r="B155" s="3" t="b">
        <f>AND(RAW_DATA!B155&gt;=21,RAW_DATA!B155&lt;=60)</f>
        <v>1</v>
      </c>
      <c r="C155" s="3" t="b">
        <f>RAW_DATA!C155&gt;=300000</f>
        <v>1</v>
      </c>
      <c r="D155" s="3" t="b">
        <f>RAW_DATA!F155&gt;=650</f>
        <v>1</v>
      </c>
      <c r="E155" s="3" t="b">
        <f>RAW_DATA!E155&gt;=1</f>
        <v>1</v>
      </c>
      <c r="F155" s="3" t="b">
        <f>RAW_DATA!L155="No"</f>
        <v>1</v>
      </c>
      <c r="G155" s="3" t="b">
        <f t="shared" si="12"/>
        <v>1</v>
      </c>
      <c r="H155" s="3" t="str">
        <f t="shared" si="13"/>
        <v>ELIGIBLE</v>
      </c>
      <c r="I155" s="3" t="str">
        <f t="shared" si="14"/>
        <v/>
      </c>
      <c r="K155" s="3" cm="1">
        <f t="array" ref="K1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5" s="5">
        <f>IF(RAW_DATA!C155&lt;300000,0,IF(RAW_DATA!C155&lt;600000,5,IF(RAW_DATA!C155&lt;1200000,15,IF(RAW_DATA!C155&lt;2000000,20,25))))</f>
        <v>20</v>
      </c>
      <c r="M155" s="3">
        <f>IF(RAW_DATA!E155&lt;1,0,IF(RAW_DATA!E155&lt;3,3,IF(RAW_DATA!E155&lt;5,5,IF(RAW_DATA!E155&lt;10,8,10))))</f>
        <v>10</v>
      </c>
      <c r="N155" s="3">
        <f>IF(RAW_DATA!F155&lt;650,0,IF(RAW_DATA!F155&lt;700,8,IF(RAW_DATA!F155&lt;750,15,IF(RAW_DATA!F155&lt;800,20,25))))</f>
        <v>20</v>
      </c>
      <c r="O155" s="3">
        <f>IF(RAW_DATA!G155=0,5,IF(RAW_DATA!G155=1,4,IF(RAW_DATA!G155=2,3,IF(RAW_DATA!G155=3,2,IF(RAW_DATA!G155=4,1,0)))))</f>
        <v>0</v>
      </c>
      <c r="P155" s="3">
        <f>IF(RAW_DATA!K155&gt;=RAW_DATA!H155,20,ROUND((RAW_DATA!K155/RAW_DATA!H155)*20,0))</f>
        <v>20</v>
      </c>
      <c r="Q155" s="3">
        <f>IF(RAW_DATA!L155="No",5,0)</f>
        <v>5</v>
      </c>
      <c r="R155" s="3">
        <f t="shared" si="15"/>
        <v>82</v>
      </c>
      <c r="S155" s="3">
        <f t="shared" si="16"/>
        <v>82</v>
      </c>
      <c r="T155" s="3" t="str">
        <f t="shared" si="17"/>
        <v>Strong</v>
      </c>
    </row>
    <row r="156" spans="1:20" x14ac:dyDescent="0.25">
      <c r="A156" s="3" t="str">
        <f>RAW_DATA!A156</f>
        <v>APP155</v>
      </c>
      <c r="B156" s="3" t="b">
        <f>AND(RAW_DATA!B156&gt;=21,RAW_DATA!B156&lt;=60)</f>
        <v>1</v>
      </c>
      <c r="C156" s="3" t="b">
        <f>RAW_DATA!C156&gt;=300000</f>
        <v>1</v>
      </c>
      <c r="D156" s="3" t="b">
        <f>RAW_DATA!F156&gt;=650</f>
        <v>1</v>
      </c>
      <c r="E156" s="3" t="b">
        <f>RAW_DATA!E156&gt;=1</f>
        <v>1</v>
      </c>
      <c r="F156" s="3" t="b">
        <f>RAW_DATA!L156="No"</f>
        <v>1</v>
      </c>
      <c r="G156" s="3" t="b">
        <f t="shared" si="12"/>
        <v>1</v>
      </c>
      <c r="H156" s="3" t="str">
        <f t="shared" si="13"/>
        <v>ELIGIBLE</v>
      </c>
      <c r="I156" s="3" t="str">
        <f t="shared" si="14"/>
        <v/>
      </c>
      <c r="K156" s="3" cm="1">
        <f t="array" ref="K1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6" s="5">
        <f>IF(RAW_DATA!C156&lt;300000,0,IF(RAW_DATA!C156&lt;600000,5,IF(RAW_DATA!C156&lt;1200000,15,IF(RAW_DATA!C156&lt;2000000,20,25))))</f>
        <v>5</v>
      </c>
      <c r="M156" s="3">
        <f>IF(RAW_DATA!E156&lt;1,0,IF(RAW_DATA!E156&lt;3,3,IF(RAW_DATA!E156&lt;5,5,IF(RAW_DATA!E156&lt;10,8,10))))</f>
        <v>10</v>
      </c>
      <c r="N156" s="3">
        <f>IF(RAW_DATA!F156&lt;650,0,IF(RAW_DATA!F156&lt;700,8,IF(RAW_DATA!F156&lt;750,15,IF(RAW_DATA!F156&lt;800,20,25))))</f>
        <v>25</v>
      </c>
      <c r="O156" s="3">
        <f>IF(RAW_DATA!G156=0,5,IF(RAW_DATA!G156=1,4,IF(RAW_DATA!G156=2,3,IF(RAW_DATA!G156=3,2,IF(RAW_DATA!G156=4,1,0)))))</f>
        <v>1</v>
      </c>
      <c r="P156" s="3">
        <f>IF(RAW_DATA!K156&gt;=RAW_DATA!H156,20,ROUND((RAW_DATA!K156/RAW_DATA!H156)*20,0))</f>
        <v>20</v>
      </c>
      <c r="Q156" s="3">
        <f>IF(RAW_DATA!L156="No",5,0)</f>
        <v>5</v>
      </c>
      <c r="R156" s="3">
        <f t="shared" si="15"/>
        <v>74</v>
      </c>
      <c r="S156" s="3">
        <f t="shared" si="16"/>
        <v>74</v>
      </c>
      <c r="T156" s="3" t="str">
        <f t="shared" si="17"/>
        <v>Strong</v>
      </c>
    </row>
    <row r="157" spans="1:20" x14ac:dyDescent="0.25">
      <c r="A157" s="3" t="str">
        <f>RAW_DATA!A157</f>
        <v>APP156</v>
      </c>
      <c r="B157" s="3" t="b">
        <f>AND(RAW_DATA!B157&gt;=21,RAW_DATA!B157&lt;=60)</f>
        <v>1</v>
      </c>
      <c r="C157" s="3" t="b">
        <f>RAW_DATA!C157&gt;=300000</f>
        <v>1</v>
      </c>
      <c r="D157" s="3" t="b">
        <f>RAW_DATA!F157&gt;=650</f>
        <v>0</v>
      </c>
      <c r="E157" s="3" t="b">
        <f>RAW_DATA!E157&gt;=1</f>
        <v>1</v>
      </c>
      <c r="F157" s="3" t="b">
        <f>RAW_DATA!L157="No"</f>
        <v>1</v>
      </c>
      <c r="G157" s="3" t="b">
        <f t="shared" si="12"/>
        <v>0</v>
      </c>
      <c r="H157" s="3" t="str">
        <f t="shared" si="13"/>
        <v>INELIGIBLE</v>
      </c>
      <c r="I157" s="3" t="str">
        <f t="shared" si="14"/>
        <v>Credit Score</v>
      </c>
      <c r="K157" s="3" cm="1">
        <f t="array" ref="K1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7" s="5">
        <f>IF(RAW_DATA!C157&lt;300000,0,IF(RAW_DATA!C157&lt;600000,5,IF(RAW_DATA!C157&lt;1200000,15,IF(RAW_DATA!C157&lt;2000000,20,25))))</f>
        <v>20</v>
      </c>
      <c r="M157" s="3">
        <f>IF(RAW_DATA!E157&lt;1,0,IF(RAW_DATA!E157&lt;3,3,IF(RAW_DATA!E157&lt;5,5,IF(RAW_DATA!E157&lt;10,8,10))))</f>
        <v>10</v>
      </c>
      <c r="N157" s="3">
        <f>IF(RAW_DATA!F157&lt;650,0,IF(RAW_DATA!F157&lt;700,8,IF(RAW_DATA!F157&lt;750,15,IF(RAW_DATA!F157&lt;800,20,25))))</f>
        <v>0</v>
      </c>
      <c r="O157" s="3">
        <f>IF(RAW_DATA!G157=0,5,IF(RAW_DATA!G157=1,4,IF(RAW_DATA!G157=2,3,IF(RAW_DATA!G157=3,2,IF(RAW_DATA!G157=4,1,0)))))</f>
        <v>1</v>
      </c>
      <c r="P157" s="3">
        <f>IF(RAW_DATA!K157&gt;=RAW_DATA!H157,20,ROUND((RAW_DATA!K157/RAW_DATA!H157)*20,0))</f>
        <v>20</v>
      </c>
      <c r="Q157" s="3">
        <f>IF(RAW_DATA!L157="No",5,0)</f>
        <v>5</v>
      </c>
      <c r="R157" s="3">
        <f t="shared" si="15"/>
        <v>63</v>
      </c>
      <c r="S157" s="3">
        <f t="shared" si="16"/>
        <v>63</v>
      </c>
      <c r="T157" s="3" t="str">
        <f t="shared" si="17"/>
        <v>Not Scored - Ineligible</v>
      </c>
    </row>
    <row r="158" spans="1:20" x14ac:dyDescent="0.25">
      <c r="A158" s="3" t="str">
        <f>RAW_DATA!A158</f>
        <v>APP157</v>
      </c>
      <c r="B158" s="3" t="b">
        <f>AND(RAW_DATA!B158&gt;=21,RAW_DATA!B158&lt;=60)</f>
        <v>1</v>
      </c>
      <c r="C158" s="3" t="b">
        <f>RAW_DATA!C158&gt;=300000</f>
        <v>0</v>
      </c>
      <c r="D158" s="3" t="b">
        <f>RAW_DATA!F158&gt;=650</f>
        <v>1</v>
      </c>
      <c r="E158" s="3" t="b">
        <f>RAW_DATA!E158&gt;=1</f>
        <v>1</v>
      </c>
      <c r="F158" s="3" t="b">
        <f>RAW_DATA!L158="No"</f>
        <v>0</v>
      </c>
      <c r="G158" s="3" t="b">
        <f t="shared" si="12"/>
        <v>0</v>
      </c>
      <c r="H158" s="3" t="str">
        <f t="shared" si="13"/>
        <v>INELIGIBLE</v>
      </c>
      <c r="I158" s="3" t="str">
        <f t="shared" si="14"/>
        <v>Income, Defaulter History</v>
      </c>
      <c r="K158" s="3" cm="1">
        <f t="array" ref="K1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8" s="5">
        <f>IF(RAW_DATA!C158&lt;300000,0,IF(RAW_DATA!C158&lt;600000,5,IF(RAW_DATA!C158&lt;1200000,15,IF(RAW_DATA!C158&lt;2000000,20,25))))</f>
        <v>0</v>
      </c>
      <c r="M158" s="3">
        <f>IF(RAW_DATA!E158&lt;1,0,IF(RAW_DATA!E158&lt;3,3,IF(RAW_DATA!E158&lt;5,5,IF(RAW_DATA!E158&lt;10,8,10))))</f>
        <v>10</v>
      </c>
      <c r="N158" s="3">
        <f>IF(RAW_DATA!F158&lt;650,0,IF(RAW_DATA!F158&lt;700,8,IF(RAW_DATA!F158&lt;750,15,IF(RAW_DATA!F158&lt;800,20,25))))</f>
        <v>15</v>
      </c>
      <c r="O158" s="3">
        <f>IF(RAW_DATA!G158=0,5,IF(RAW_DATA!G158=1,4,IF(RAW_DATA!G158=2,3,IF(RAW_DATA!G158=3,2,IF(RAW_DATA!G158=4,1,0)))))</f>
        <v>0</v>
      </c>
      <c r="P158" s="3">
        <f>IF(RAW_DATA!K158&gt;=RAW_DATA!H158,20,ROUND((RAW_DATA!K158/RAW_DATA!H158)*20,0))</f>
        <v>20</v>
      </c>
      <c r="Q158" s="3">
        <f>IF(RAW_DATA!L158="No",5,0)</f>
        <v>0</v>
      </c>
      <c r="R158" s="3">
        <f t="shared" si="15"/>
        <v>53</v>
      </c>
      <c r="S158" s="3">
        <f t="shared" si="16"/>
        <v>53</v>
      </c>
      <c r="T158" s="3" t="str">
        <f t="shared" si="17"/>
        <v>Not Scored - Ineligible</v>
      </c>
    </row>
    <row r="159" spans="1:20" x14ac:dyDescent="0.25">
      <c r="A159" s="3" t="str">
        <f>RAW_DATA!A159</f>
        <v>APP158</v>
      </c>
      <c r="B159" s="3" t="b">
        <f>AND(RAW_DATA!B159&gt;=21,RAW_DATA!B159&lt;=60)</f>
        <v>1</v>
      </c>
      <c r="C159" s="3" t="b">
        <f>RAW_DATA!C159&gt;=300000</f>
        <v>1</v>
      </c>
      <c r="D159" s="3" t="b">
        <f>RAW_DATA!F159&gt;=650</f>
        <v>0</v>
      </c>
      <c r="E159" s="3" t="b">
        <f>RAW_DATA!E159&gt;=1</f>
        <v>1</v>
      </c>
      <c r="F159" s="3" t="b">
        <f>RAW_DATA!L159="No"</f>
        <v>1</v>
      </c>
      <c r="G159" s="3" t="b">
        <f t="shared" si="12"/>
        <v>0</v>
      </c>
      <c r="H159" s="3" t="str">
        <f t="shared" si="13"/>
        <v>INELIGIBLE</v>
      </c>
      <c r="I159" s="3" t="str">
        <f t="shared" si="14"/>
        <v>Credit Score</v>
      </c>
      <c r="K159" s="3" cm="1">
        <f t="array" ref="K1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9" s="5">
        <f>IF(RAW_DATA!C159&lt;300000,0,IF(RAW_DATA!C159&lt;600000,5,IF(RAW_DATA!C159&lt;1200000,15,IF(RAW_DATA!C159&lt;2000000,20,25))))</f>
        <v>20</v>
      </c>
      <c r="M159" s="3">
        <f>IF(RAW_DATA!E159&lt;1,0,IF(RAW_DATA!E159&lt;3,3,IF(RAW_DATA!E159&lt;5,5,IF(RAW_DATA!E159&lt;10,8,10))))</f>
        <v>10</v>
      </c>
      <c r="N159" s="3">
        <f>IF(RAW_DATA!F159&lt;650,0,IF(RAW_DATA!F159&lt;700,8,IF(RAW_DATA!F159&lt;750,15,IF(RAW_DATA!F159&lt;800,20,25))))</f>
        <v>0</v>
      </c>
      <c r="O159" s="3">
        <f>IF(RAW_DATA!G159=0,5,IF(RAW_DATA!G159=1,4,IF(RAW_DATA!G159=2,3,IF(RAW_DATA!G159=3,2,IF(RAW_DATA!G159=4,1,0)))))</f>
        <v>5</v>
      </c>
      <c r="P159" s="3">
        <f>IF(RAW_DATA!K159&gt;=RAW_DATA!H159,20,ROUND((RAW_DATA!K159/RAW_DATA!H159)*20,0))</f>
        <v>9</v>
      </c>
      <c r="Q159" s="3">
        <f>IF(RAW_DATA!L159="No",5,0)</f>
        <v>5</v>
      </c>
      <c r="R159" s="3">
        <f t="shared" si="15"/>
        <v>56</v>
      </c>
      <c r="S159" s="3">
        <f t="shared" si="16"/>
        <v>56</v>
      </c>
      <c r="T159" s="3" t="str">
        <f t="shared" si="17"/>
        <v>Not Scored - Ineligible</v>
      </c>
    </row>
    <row r="160" spans="1:20" x14ac:dyDescent="0.25">
      <c r="A160" s="3" t="str">
        <f>RAW_DATA!A160</f>
        <v>APP159</v>
      </c>
      <c r="B160" s="3" t="b">
        <f>AND(RAW_DATA!B160&gt;=21,RAW_DATA!B160&lt;=60)</f>
        <v>1</v>
      </c>
      <c r="C160" s="3" t="b">
        <f>RAW_DATA!C160&gt;=300000</f>
        <v>1</v>
      </c>
      <c r="D160" s="3" t="b">
        <f>RAW_DATA!F160&gt;=650</f>
        <v>0</v>
      </c>
      <c r="E160" s="3" t="b">
        <f>RAW_DATA!E160&gt;=1</f>
        <v>0</v>
      </c>
      <c r="F160" s="3" t="b">
        <f>RAW_DATA!L160="No"</f>
        <v>1</v>
      </c>
      <c r="G160" s="3" t="b">
        <f t="shared" si="12"/>
        <v>0</v>
      </c>
      <c r="H160" s="3" t="str">
        <f t="shared" si="13"/>
        <v>INELIGIBLE</v>
      </c>
      <c r="I160" s="3" t="str">
        <f t="shared" si="14"/>
        <v>Credit Score, Employment</v>
      </c>
      <c r="K160" s="3" cm="1">
        <f t="array" ref="K1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0" s="5">
        <f>IF(RAW_DATA!C160&lt;300000,0,IF(RAW_DATA!C160&lt;600000,5,IF(RAW_DATA!C160&lt;1200000,15,IF(RAW_DATA!C160&lt;2000000,20,25))))</f>
        <v>25</v>
      </c>
      <c r="M160" s="3">
        <f>IF(RAW_DATA!E160&lt;1,0,IF(RAW_DATA!E160&lt;3,3,IF(RAW_DATA!E160&lt;5,5,IF(RAW_DATA!E160&lt;10,8,10))))</f>
        <v>0</v>
      </c>
      <c r="N160" s="3">
        <f>IF(RAW_DATA!F160&lt;650,0,IF(RAW_DATA!F160&lt;700,8,IF(RAW_DATA!F160&lt;750,15,IF(RAW_DATA!F160&lt;800,20,25))))</f>
        <v>0</v>
      </c>
      <c r="O160" s="3">
        <f>IF(RAW_DATA!G160=0,5,IF(RAW_DATA!G160=1,4,IF(RAW_DATA!G160=2,3,IF(RAW_DATA!G160=3,2,IF(RAW_DATA!G160=4,1,0)))))</f>
        <v>2</v>
      </c>
      <c r="P160" s="3">
        <f>IF(RAW_DATA!K160&gt;=RAW_DATA!H160,20,ROUND((RAW_DATA!K160/RAW_DATA!H160)*20,0))</f>
        <v>20</v>
      </c>
      <c r="Q160" s="3">
        <f>IF(RAW_DATA!L160="No",5,0)</f>
        <v>5</v>
      </c>
      <c r="R160" s="3">
        <f t="shared" si="15"/>
        <v>59</v>
      </c>
      <c r="S160" s="3">
        <f t="shared" si="16"/>
        <v>59</v>
      </c>
      <c r="T160" s="3" t="str">
        <f t="shared" si="17"/>
        <v>Not Scored - Ineligible</v>
      </c>
    </row>
    <row r="161" spans="1:20" x14ac:dyDescent="0.25">
      <c r="A161" s="3" t="str">
        <f>RAW_DATA!A161</f>
        <v>APP160</v>
      </c>
      <c r="B161" s="3" t="b">
        <f>AND(RAW_DATA!B161&gt;=21,RAW_DATA!B161&lt;=60)</f>
        <v>1</v>
      </c>
      <c r="C161" s="3" t="b">
        <f>RAW_DATA!C161&gt;=300000</f>
        <v>1</v>
      </c>
      <c r="D161" s="3" t="b">
        <f>RAW_DATA!F161&gt;=650</f>
        <v>0</v>
      </c>
      <c r="E161" s="3" t="b">
        <f>RAW_DATA!E161&gt;=1</f>
        <v>1</v>
      </c>
      <c r="F161" s="3" t="b">
        <f>RAW_DATA!L161="No"</f>
        <v>1</v>
      </c>
      <c r="G161" s="3" t="b">
        <f t="shared" si="12"/>
        <v>0</v>
      </c>
      <c r="H161" s="3" t="str">
        <f t="shared" si="13"/>
        <v>INELIGIBLE</v>
      </c>
      <c r="I161" s="3" t="str">
        <f t="shared" si="14"/>
        <v>Credit Score</v>
      </c>
      <c r="K161" s="3" cm="1">
        <f t="array" ref="K1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1" s="5">
        <f>IF(RAW_DATA!C161&lt;300000,0,IF(RAW_DATA!C161&lt;600000,5,IF(RAW_DATA!C161&lt;1200000,15,IF(RAW_DATA!C161&lt;2000000,20,25))))</f>
        <v>20</v>
      </c>
      <c r="M161" s="3">
        <f>IF(RAW_DATA!E161&lt;1,0,IF(RAW_DATA!E161&lt;3,3,IF(RAW_DATA!E161&lt;5,5,IF(RAW_DATA!E161&lt;10,8,10))))</f>
        <v>10</v>
      </c>
      <c r="N161" s="3">
        <f>IF(RAW_DATA!F161&lt;650,0,IF(RAW_DATA!F161&lt;700,8,IF(RAW_DATA!F161&lt;750,15,IF(RAW_DATA!F161&lt;800,20,25))))</f>
        <v>0</v>
      </c>
      <c r="O161" s="3">
        <f>IF(RAW_DATA!G161=0,5,IF(RAW_DATA!G161=1,4,IF(RAW_DATA!G161=2,3,IF(RAW_DATA!G161=3,2,IF(RAW_DATA!G161=4,1,0)))))</f>
        <v>3</v>
      </c>
      <c r="P161" s="3">
        <f>IF(RAW_DATA!K161&gt;=RAW_DATA!H161,20,ROUND((RAW_DATA!K161/RAW_DATA!H161)*20,0))</f>
        <v>20</v>
      </c>
      <c r="Q161" s="3">
        <f>IF(RAW_DATA!L161="No",5,0)</f>
        <v>5</v>
      </c>
      <c r="R161" s="3">
        <f t="shared" si="15"/>
        <v>68</v>
      </c>
      <c r="S161" s="3">
        <f t="shared" si="16"/>
        <v>68</v>
      </c>
      <c r="T161" s="3" t="str">
        <f t="shared" si="17"/>
        <v>Not Scored - Ineligible</v>
      </c>
    </row>
    <row r="162" spans="1:20" x14ac:dyDescent="0.25">
      <c r="A162" s="3" t="str">
        <f>RAW_DATA!A162</f>
        <v>APP161</v>
      </c>
      <c r="B162" s="3" t="b">
        <f>AND(RAW_DATA!B162&gt;=21,RAW_DATA!B162&lt;=60)</f>
        <v>1</v>
      </c>
      <c r="C162" s="3" t="b">
        <f>RAW_DATA!C162&gt;=300000</f>
        <v>1</v>
      </c>
      <c r="D162" s="3" t="b">
        <f>RAW_DATA!F162&gt;=650</f>
        <v>0</v>
      </c>
      <c r="E162" s="3" t="b">
        <f>RAW_DATA!E162&gt;=1</f>
        <v>1</v>
      </c>
      <c r="F162" s="3" t="b">
        <f>RAW_DATA!L162="No"</f>
        <v>0</v>
      </c>
      <c r="G162" s="3" t="b">
        <f t="shared" si="12"/>
        <v>0</v>
      </c>
      <c r="H162" s="3" t="str">
        <f t="shared" si="13"/>
        <v>INELIGIBLE</v>
      </c>
      <c r="I162" s="3" t="str">
        <f t="shared" si="14"/>
        <v>Credit Score, Defaulter History</v>
      </c>
      <c r="K162" s="3" cm="1">
        <f t="array" ref="K1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2" s="5">
        <f>IF(RAW_DATA!C162&lt;300000,0,IF(RAW_DATA!C162&lt;600000,5,IF(RAW_DATA!C162&lt;1200000,15,IF(RAW_DATA!C162&lt;2000000,20,25))))</f>
        <v>20</v>
      </c>
      <c r="M162" s="3">
        <f>IF(RAW_DATA!E162&lt;1,0,IF(RAW_DATA!E162&lt;3,3,IF(RAW_DATA!E162&lt;5,5,IF(RAW_DATA!E162&lt;10,8,10))))</f>
        <v>10</v>
      </c>
      <c r="N162" s="3">
        <f>IF(RAW_DATA!F162&lt;650,0,IF(RAW_DATA!F162&lt;700,8,IF(RAW_DATA!F162&lt;750,15,IF(RAW_DATA!F162&lt;800,20,25))))</f>
        <v>0</v>
      </c>
      <c r="O162" s="3">
        <f>IF(RAW_DATA!G162=0,5,IF(RAW_DATA!G162=1,4,IF(RAW_DATA!G162=2,3,IF(RAW_DATA!G162=3,2,IF(RAW_DATA!G162=4,1,0)))))</f>
        <v>4</v>
      </c>
      <c r="P162" s="3">
        <f>IF(RAW_DATA!K162&gt;=RAW_DATA!H162,20,ROUND((RAW_DATA!K162/RAW_DATA!H162)*20,0))</f>
        <v>20</v>
      </c>
      <c r="Q162" s="3">
        <f>IF(RAW_DATA!L162="No",5,0)</f>
        <v>0</v>
      </c>
      <c r="R162" s="3">
        <f t="shared" si="15"/>
        <v>62</v>
      </c>
      <c r="S162" s="3">
        <f t="shared" si="16"/>
        <v>62</v>
      </c>
      <c r="T162" s="3" t="str">
        <f t="shared" si="17"/>
        <v>Not Scored - Ineligible</v>
      </c>
    </row>
    <row r="163" spans="1:20" x14ac:dyDescent="0.25">
      <c r="A163" s="3" t="str">
        <f>RAW_DATA!A163</f>
        <v>APP162</v>
      </c>
      <c r="B163" s="3" t="b">
        <f>AND(RAW_DATA!B163&gt;=21,RAW_DATA!B163&lt;=60)</f>
        <v>1</v>
      </c>
      <c r="C163" s="3" t="b">
        <f>RAW_DATA!C163&gt;=300000</f>
        <v>1</v>
      </c>
      <c r="D163" s="3" t="b">
        <f>RAW_DATA!F163&gt;=650</f>
        <v>1</v>
      </c>
      <c r="E163" s="3" t="b">
        <f>RAW_DATA!E163&gt;=1</f>
        <v>1</v>
      </c>
      <c r="F163" s="3" t="b">
        <f>RAW_DATA!L163="No"</f>
        <v>1</v>
      </c>
      <c r="G163" s="3" t="b">
        <f t="shared" si="12"/>
        <v>1</v>
      </c>
      <c r="H163" s="3" t="str">
        <f t="shared" si="13"/>
        <v>ELIGIBLE</v>
      </c>
      <c r="I163" s="3" t="str">
        <f t="shared" si="14"/>
        <v/>
      </c>
      <c r="K163" s="3" cm="1">
        <f t="array" ref="K1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3" s="5">
        <f>IF(RAW_DATA!C163&lt;300000,0,IF(RAW_DATA!C163&lt;600000,5,IF(RAW_DATA!C163&lt;1200000,15,IF(RAW_DATA!C163&lt;2000000,20,25))))</f>
        <v>20</v>
      </c>
      <c r="M163" s="3">
        <f>IF(RAW_DATA!E163&lt;1,0,IF(RAW_DATA!E163&lt;3,3,IF(RAW_DATA!E163&lt;5,5,IF(RAW_DATA!E163&lt;10,8,10))))</f>
        <v>10</v>
      </c>
      <c r="N163" s="3">
        <f>IF(RAW_DATA!F163&lt;650,0,IF(RAW_DATA!F163&lt;700,8,IF(RAW_DATA!F163&lt;750,15,IF(RAW_DATA!F163&lt;800,20,25))))</f>
        <v>8</v>
      </c>
      <c r="O163" s="3">
        <f>IF(RAW_DATA!G163=0,5,IF(RAW_DATA!G163=1,4,IF(RAW_DATA!G163=2,3,IF(RAW_DATA!G163=3,2,IF(RAW_DATA!G163=4,1,0)))))</f>
        <v>3</v>
      </c>
      <c r="P163" s="3">
        <f>IF(RAW_DATA!K163&gt;=RAW_DATA!H163,20,ROUND((RAW_DATA!K163/RAW_DATA!H163)*20,0))</f>
        <v>20</v>
      </c>
      <c r="Q163" s="3">
        <f>IF(RAW_DATA!L163="No",5,0)</f>
        <v>5</v>
      </c>
      <c r="R163" s="3">
        <f t="shared" si="15"/>
        <v>74</v>
      </c>
      <c r="S163" s="3">
        <f t="shared" si="16"/>
        <v>74</v>
      </c>
      <c r="T163" s="3" t="str">
        <f t="shared" si="17"/>
        <v>Strong</v>
      </c>
    </row>
    <row r="164" spans="1:20" x14ac:dyDescent="0.25">
      <c r="A164" s="3" t="str">
        <f>RAW_DATA!A164</f>
        <v>APP163</v>
      </c>
      <c r="B164" s="3" t="b">
        <f>AND(RAW_DATA!B164&gt;=21,RAW_DATA!B164&lt;=60)</f>
        <v>1</v>
      </c>
      <c r="C164" s="3" t="b">
        <f>RAW_DATA!C164&gt;=300000</f>
        <v>0</v>
      </c>
      <c r="D164" s="3" t="b">
        <f>RAW_DATA!F164&gt;=650</f>
        <v>1</v>
      </c>
      <c r="E164" s="3" t="b">
        <f>RAW_DATA!E164&gt;=1</f>
        <v>1</v>
      </c>
      <c r="F164" s="3" t="b">
        <f>RAW_DATA!L164="No"</f>
        <v>1</v>
      </c>
      <c r="G164" s="3" t="b">
        <f t="shared" si="12"/>
        <v>0</v>
      </c>
      <c r="H164" s="3" t="str">
        <f t="shared" si="13"/>
        <v>INELIGIBLE</v>
      </c>
      <c r="I164" s="3" t="str">
        <f t="shared" si="14"/>
        <v>Income</v>
      </c>
      <c r="K164" s="3" cm="1">
        <f t="array" ref="K1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4" s="5">
        <f>IF(RAW_DATA!C164&lt;300000,0,IF(RAW_DATA!C164&lt;600000,5,IF(RAW_DATA!C164&lt;1200000,15,IF(RAW_DATA!C164&lt;2000000,20,25))))</f>
        <v>0</v>
      </c>
      <c r="M164" s="3">
        <f>IF(RAW_DATA!E164&lt;1,0,IF(RAW_DATA!E164&lt;3,3,IF(RAW_DATA!E164&lt;5,5,IF(RAW_DATA!E164&lt;10,8,10))))</f>
        <v>10</v>
      </c>
      <c r="N164" s="3">
        <f>IF(RAW_DATA!F164&lt;650,0,IF(RAW_DATA!F164&lt;700,8,IF(RAW_DATA!F164&lt;750,15,IF(RAW_DATA!F164&lt;800,20,25))))</f>
        <v>20</v>
      </c>
      <c r="O164" s="3">
        <f>IF(RAW_DATA!G164=0,5,IF(RAW_DATA!G164=1,4,IF(RAW_DATA!G164=2,3,IF(RAW_DATA!G164=3,2,IF(RAW_DATA!G164=4,1,0)))))</f>
        <v>4</v>
      </c>
      <c r="P164" s="3">
        <f>IF(RAW_DATA!K164&gt;=RAW_DATA!H164,20,ROUND((RAW_DATA!K164/RAW_DATA!H164)*20,0))</f>
        <v>1</v>
      </c>
      <c r="Q164" s="3">
        <f>IF(RAW_DATA!L164="No",5,0)</f>
        <v>5</v>
      </c>
      <c r="R164" s="3">
        <f t="shared" si="15"/>
        <v>50</v>
      </c>
      <c r="S164" s="3">
        <f t="shared" si="16"/>
        <v>50</v>
      </c>
      <c r="T164" s="3" t="str">
        <f t="shared" si="17"/>
        <v>Not Scored - Ineligible</v>
      </c>
    </row>
    <row r="165" spans="1:20" x14ac:dyDescent="0.25">
      <c r="A165" s="3" t="str">
        <f>RAW_DATA!A165</f>
        <v>APP164</v>
      </c>
      <c r="B165" s="3" t="b">
        <f>AND(RAW_DATA!B165&gt;=21,RAW_DATA!B165&lt;=60)</f>
        <v>1</v>
      </c>
      <c r="C165" s="3" t="b">
        <f>RAW_DATA!C165&gt;=300000</f>
        <v>1</v>
      </c>
      <c r="D165" s="3" t="b">
        <f>RAW_DATA!F165&gt;=650</f>
        <v>0</v>
      </c>
      <c r="E165" s="3" t="b">
        <f>RAW_DATA!E165&gt;=1</f>
        <v>1</v>
      </c>
      <c r="F165" s="3" t="b">
        <f>RAW_DATA!L165="No"</f>
        <v>1</v>
      </c>
      <c r="G165" s="3" t="b">
        <f t="shared" si="12"/>
        <v>0</v>
      </c>
      <c r="H165" s="3" t="str">
        <f t="shared" si="13"/>
        <v>INELIGIBLE</v>
      </c>
      <c r="I165" s="3" t="str">
        <f t="shared" si="14"/>
        <v>Credit Score</v>
      </c>
      <c r="K165" s="3" cm="1">
        <f t="array" ref="K1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5" s="5">
        <f>IF(RAW_DATA!C165&lt;300000,0,IF(RAW_DATA!C165&lt;600000,5,IF(RAW_DATA!C165&lt;1200000,15,IF(RAW_DATA!C165&lt;2000000,20,25))))</f>
        <v>25</v>
      </c>
      <c r="M165" s="3">
        <f>IF(RAW_DATA!E165&lt;1,0,IF(RAW_DATA!E165&lt;3,3,IF(RAW_DATA!E165&lt;5,5,IF(RAW_DATA!E165&lt;10,8,10))))</f>
        <v>10</v>
      </c>
      <c r="N165" s="3">
        <f>IF(RAW_DATA!F165&lt;650,0,IF(RAW_DATA!F165&lt;700,8,IF(RAW_DATA!F165&lt;750,15,IF(RAW_DATA!F165&lt;800,20,25))))</f>
        <v>0</v>
      </c>
      <c r="O165" s="3">
        <f>IF(RAW_DATA!G165=0,5,IF(RAW_DATA!G165=1,4,IF(RAW_DATA!G165=2,3,IF(RAW_DATA!G165=3,2,IF(RAW_DATA!G165=4,1,0)))))</f>
        <v>0</v>
      </c>
      <c r="P165" s="3">
        <f>IF(RAW_DATA!K165&gt;=RAW_DATA!H165,20,ROUND((RAW_DATA!K165/RAW_DATA!H165)*20,0))</f>
        <v>20</v>
      </c>
      <c r="Q165" s="3">
        <f>IF(RAW_DATA!L165="No",5,0)</f>
        <v>5</v>
      </c>
      <c r="R165" s="3">
        <f t="shared" si="15"/>
        <v>67</v>
      </c>
      <c r="S165" s="3">
        <f t="shared" si="16"/>
        <v>67</v>
      </c>
      <c r="T165" s="3" t="str">
        <f t="shared" si="17"/>
        <v>Not Scored - Ineligible</v>
      </c>
    </row>
    <row r="166" spans="1:20" x14ac:dyDescent="0.25">
      <c r="A166" s="3" t="str">
        <f>RAW_DATA!A166</f>
        <v>APP165</v>
      </c>
      <c r="B166" s="3" t="b">
        <f>AND(RAW_DATA!B166&gt;=21,RAW_DATA!B166&lt;=60)</f>
        <v>1</v>
      </c>
      <c r="C166" s="3" t="b">
        <f>RAW_DATA!C166&gt;=300000</f>
        <v>1</v>
      </c>
      <c r="D166" s="3" t="b">
        <f>RAW_DATA!F166&gt;=650</f>
        <v>1</v>
      </c>
      <c r="E166" s="3" t="b">
        <f>RAW_DATA!E166&gt;=1</f>
        <v>1</v>
      </c>
      <c r="F166" s="3" t="b">
        <f>RAW_DATA!L166="No"</f>
        <v>0</v>
      </c>
      <c r="G166" s="3" t="b">
        <f t="shared" si="12"/>
        <v>0</v>
      </c>
      <c r="H166" s="3" t="str">
        <f t="shared" si="13"/>
        <v>INELIGIBLE</v>
      </c>
      <c r="I166" s="3" t="str">
        <f t="shared" si="14"/>
        <v>Defaulter History</v>
      </c>
      <c r="K166" s="3" cm="1">
        <f t="array" ref="K1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6" s="5">
        <f>IF(RAW_DATA!C166&lt;300000,0,IF(RAW_DATA!C166&lt;600000,5,IF(RAW_DATA!C166&lt;1200000,15,IF(RAW_DATA!C166&lt;2000000,20,25))))</f>
        <v>5</v>
      </c>
      <c r="M166" s="3">
        <f>IF(RAW_DATA!E166&lt;1,0,IF(RAW_DATA!E166&lt;3,3,IF(RAW_DATA!E166&lt;5,5,IF(RAW_DATA!E166&lt;10,8,10))))</f>
        <v>10</v>
      </c>
      <c r="N166" s="3">
        <f>IF(RAW_DATA!F166&lt;650,0,IF(RAW_DATA!F166&lt;700,8,IF(RAW_DATA!F166&lt;750,15,IF(RAW_DATA!F166&lt;800,20,25))))</f>
        <v>25</v>
      </c>
      <c r="O166" s="3">
        <f>IF(RAW_DATA!G166=0,5,IF(RAW_DATA!G166=1,4,IF(RAW_DATA!G166=2,3,IF(RAW_DATA!G166=3,2,IF(RAW_DATA!G166=4,1,0)))))</f>
        <v>3</v>
      </c>
      <c r="P166" s="3">
        <f>IF(RAW_DATA!K166&gt;=RAW_DATA!H166,20,ROUND((RAW_DATA!K166/RAW_DATA!H166)*20,0))</f>
        <v>20</v>
      </c>
      <c r="Q166" s="3">
        <f>IF(RAW_DATA!L166="No",5,0)</f>
        <v>0</v>
      </c>
      <c r="R166" s="3">
        <f t="shared" si="15"/>
        <v>70</v>
      </c>
      <c r="S166" s="3">
        <f t="shared" si="16"/>
        <v>70</v>
      </c>
      <c r="T166" s="3" t="str">
        <f t="shared" si="17"/>
        <v>Not Scored - Ineligible</v>
      </c>
    </row>
    <row r="167" spans="1:20" x14ac:dyDescent="0.25">
      <c r="A167" s="3" t="str">
        <f>RAW_DATA!A167</f>
        <v>APP166</v>
      </c>
      <c r="B167" s="3" t="b">
        <f>AND(RAW_DATA!B167&gt;=21,RAW_DATA!B167&lt;=60)</f>
        <v>1</v>
      </c>
      <c r="C167" s="3" t="b">
        <f>RAW_DATA!C167&gt;=300000</f>
        <v>1</v>
      </c>
      <c r="D167" s="3" t="b">
        <f>RAW_DATA!F167&gt;=650</f>
        <v>0</v>
      </c>
      <c r="E167" s="3" t="b">
        <f>RAW_DATA!E167&gt;=1</f>
        <v>1</v>
      </c>
      <c r="F167" s="3" t="b">
        <f>RAW_DATA!L167="No"</f>
        <v>1</v>
      </c>
      <c r="G167" s="3" t="b">
        <f t="shared" si="12"/>
        <v>0</v>
      </c>
      <c r="H167" s="3" t="str">
        <f t="shared" si="13"/>
        <v>INELIGIBLE</v>
      </c>
      <c r="I167" s="3" t="str">
        <f t="shared" si="14"/>
        <v>Credit Score</v>
      </c>
      <c r="K167" s="3" cm="1">
        <f t="array" ref="K1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7" s="5">
        <f>IF(RAW_DATA!C167&lt;300000,0,IF(RAW_DATA!C167&lt;600000,5,IF(RAW_DATA!C167&lt;1200000,15,IF(RAW_DATA!C167&lt;2000000,20,25))))</f>
        <v>15</v>
      </c>
      <c r="M167" s="3">
        <f>IF(RAW_DATA!E167&lt;1,0,IF(RAW_DATA!E167&lt;3,3,IF(RAW_DATA!E167&lt;5,5,IF(RAW_DATA!E167&lt;10,8,10))))</f>
        <v>10</v>
      </c>
      <c r="N167" s="3">
        <f>IF(RAW_DATA!F167&lt;650,0,IF(RAW_DATA!F167&lt;700,8,IF(RAW_DATA!F167&lt;750,15,IF(RAW_DATA!F167&lt;800,20,25))))</f>
        <v>0</v>
      </c>
      <c r="O167" s="3">
        <f>IF(RAW_DATA!G167=0,5,IF(RAW_DATA!G167=1,4,IF(RAW_DATA!G167=2,3,IF(RAW_DATA!G167=3,2,IF(RAW_DATA!G167=4,1,0)))))</f>
        <v>3</v>
      </c>
      <c r="P167" s="3">
        <f>IF(RAW_DATA!K167&gt;=RAW_DATA!H167,20,ROUND((RAW_DATA!K167/RAW_DATA!H167)*20,0))</f>
        <v>20</v>
      </c>
      <c r="Q167" s="3">
        <f>IF(RAW_DATA!L167="No",5,0)</f>
        <v>5</v>
      </c>
      <c r="R167" s="3">
        <f t="shared" si="15"/>
        <v>61</v>
      </c>
      <c r="S167" s="3">
        <f t="shared" si="16"/>
        <v>61</v>
      </c>
      <c r="T167" s="3" t="str">
        <f t="shared" si="17"/>
        <v>Not Scored - Ineligible</v>
      </c>
    </row>
    <row r="168" spans="1:20" x14ac:dyDescent="0.25">
      <c r="A168" s="3" t="str">
        <f>RAW_DATA!A168</f>
        <v>APP167</v>
      </c>
      <c r="B168" s="3" t="b">
        <f>AND(RAW_DATA!B168&gt;=21,RAW_DATA!B168&lt;=60)</f>
        <v>1</v>
      </c>
      <c r="C168" s="3" t="b">
        <f>RAW_DATA!C168&gt;=300000</f>
        <v>1</v>
      </c>
      <c r="D168" s="3" t="b">
        <f>RAW_DATA!F168&gt;=650</f>
        <v>0</v>
      </c>
      <c r="E168" s="3" t="b">
        <f>RAW_DATA!E168&gt;=1</f>
        <v>1</v>
      </c>
      <c r="F168" s="3" t="b">
        <f>RAW_DATA!L168="No"</f>
        <v>1</v>
      </c>
      <c r="G168" s="3" t="b">
        <f t="shared" si="12"/>
        <v>0</v>
      </c>
      <c r="H168" s="3" t="str">
        <f t="shared" si="13"/>
        <v>INELIGIBLE</v>
      </c>
      <c r="I168" s="3" t="str">
        <f t="shared" si="14"/>
        <v>Credit Score</v>
      </c>
      <c r="K168" s="3" cm="1">
        <f t="array" ref="K1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8" s="5">
        <f>IF(RAW_DATA!C168&lt;300000,0,IF(RAW_DATA!C168&lt;600000,5,IF(RAW_DATA!C168&lt;1200000,15,IF(RAW_DATA!C168&lt;2000000,20,25))))</f>
        <v>5</v>
      </c>
      <c r="M168" s="3">
        <f>IF(RAW_DATA!E168&lt;1,0,IF(RAW_DATA!E168&lt;3,3,IF(RAW_DATA!E168&lt;5,5,IF(RAW_DATA!E168&lt;10,8,10))))</f>
        <v>10</v>
      </c>
      <c r="N168" s="3">
        <f>IF(RAW_DATA!F168&lt;650,0,IF(RAW_DATA!F168&lt;700,8,IF(RAW_DATA!F168&lt;750,15,IF(RAW_DATA!F168&lt;800,20,25))))</f>
        <v>0</v>
      </c>
      <c r="O168" s="3">
        <f>IF(RAW_DATA!G168=0,5,IF(RAW_DATA!G168=1,4,IF(RAW_DATA!G168=2,3,IF(RAW_DATA!G168=3,2,IF(RAW_DATA!G168=4,1,0)))))</f>
        <v>0</v>
      </c>
      <c r="P168" s="3">
        <f>IF(RAW_DATA!K168&gt;=RAW_DATA!H168,20,ROUND((RAW_DATA!K168/RAW_DATA!H168)*20,0))</f>
        <v>20</v>
      </c>
      <c r="Q168" s="3">
        <f>IF(RAW_DATA!L168="No",5,0)</f>
        <v>5</v>
      </c>
      <c r="R168" s="3">
        <f t="shared" si="15"/>
        <v>47</v>
      </c>
      <c r="S168" s="3">
        <f t="shared" si="16"/>
        <v>47</v>
      </c>
      <c r="T168" s="3" t="str">
        <f t="shared" si="17"/>
        <v>Not Scored - Ineligible</v>
      </c>
    </row>
    <row r="169" spans="1:20" x14ac:dyDescent="0.25">
      <c r="A169" s="3" t="str">
        <f>RAW_DATA!A169</f>
        <v>APP168</v>
      </c>
      <c r="B169" s="3" t="b">
        <f>AND(RAW_DATA!B169&gt;=21,RAW_DATA!B169&lt;=60)</f>
        <v>1</v>
      </c>
      <c r="C169" s="3" t="b">
        <f>RAW_DATA!C169&gt;=300000</f>
        <v>1</v>
      </c>
      <c r="D169" s="3" t="b">
        <f>RAW_DATA!F169&gt;=650</f>
        <v>0</v>
      </c>
      <c r="E169" s="3" t="b">
        <f>RAW_DATA!E169&gt;=1</f>
        <v>1</v>
      </c>
      <c r="F169" s="3" t="b">
        <f>RAW_DATA!L169="No"</f>
        <v>1</v>
      </c>
      <c r="G169" s="3" t="b">
        <f t="shared" si="12"/>
        <v>0</v>
      </c>
      <c r="H169" s="3" t="str">
        <f t="shared" si="13"/>
        <v>INELIGIBLE</v>
      </c>
      <c r="I169" s="3" t="str">
        <f t="shared" si="14"/>
        <v>Credit Score</v>
      </c>
      <c r="K169" s="3" cm="1">
        <f t="array" ref="K1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9" s="5">
        <f>IF(RAW_DATA!C169&lt;300000,0,IF(RAW_DATA!C169&lt;600000,5,IF(RAW_DATA!C169&lt;1200000,15,IF(RAW_DATA!C169&lt;2000000,20,25))))</f>
        <v>5</v>
      </c>
      <c r="M169" s="3">
        <f>IF(RAW_DATA!E169&lt;1,0,IF(RAW_DATA!E169&lt;3,3,IF(RAW_DATA!E169&lt;5,5,IF(RAW_DATA!E169&lt;10,8,10))))</f>
        <v>10</v>
      </c>
      <c r="N169" s="3">
        <f>IF(RAW_DATA!F169&lt;650,0,IF(RAW_DATA!F169&lt;700,8,IF(RAW_DATA!F169&lt;750,15,IF(RAW_DATA!F169&lt;800,20,25))))</f>
        <v>0</v>
      </c>
      <c r="O169" s="3">
        <f>IF(RAW_DATA!G169=0,5,IF(RAW_DATA!G169=1,4,IF(RAW_DATA!G169=2,3,IF(RAW_DATA!G169=3,2,IF(RAW_DATA!G169=4,1,0)))))</f>
        <v>3</v>
      </c>
      <c r="P169" s="3">
        <f>IF(RAW_DATA!K169&gt;=RAW_DATA!H169,20,ROUND((RAW_DATA!K169/RAW_DATA!H169)*20,0))</f>
        <v>20</v>
      </c>
      <c r="Q169" s="3">
        <f>IF(RAW_DATA!L169="No",5,0)</f>
        <v>5</v>
      </c>
      <c r="R169" s="3">
        <f t="shared" si="15"/>
        <v>53</v>
      </c>
      <c r="S169" s="3">
        <f t="shared" si="16"/>
        <v>53</v>
      </c>
      <c r="T169" s="3" t="str">
        <f t="shared" si="17"/>
        <v>Not Scored - Ineligible</v>
      </c>
    </row>
    <row r="170" spans="1:20" x14ac:dyDescent="0.25">
      <c r="A170" s="3" t="str">
        <f>RAW_DATA!A170</f>
        <v>APP169</v>
      </c>
      <c r="B170" s="3" t="b">
        <f>AND(RAW_DATA!B170&gt;=21,RAW_DATA!B170&lt;=60)</f>
        <v>1</v>
      </c>
      <c r="C170" s="3" t="b">
        <f>RAW_DATA!C170&gt;=300000</f>
        <v>1</v>
      </c>
      <c r="D170" s="3" t="b">
        <f>RAW_DATA!F170&gt;=650</f>
        <v>1</v>
      </c>
      <c r="E170" s="3" t="b">
        <f>RAW_DATA!E170&gt;=1</f>
        <v>0</v>
      </c>
      <c r="F170" s="3" t="b">
        <f>RAW_DATA!L170="No"</f>
        <v>0</v>
      </c>
      <c r="G170" s="3" t="b">
        <f t="shared" si="12"/>
        <v>0</v>
      </c>
      <c r="H170" s="3" t="str">
        <f t="shared" si="13"/>
        <v>INELIGIBLE</v>
      </c>
      <c r="I170" s="3" t="str">
        <f t="shared" si="14"/>
        <v>Employment, Defaulter History</v>
      </c>
      <c r="K170" s="3" cm="1">
        <f t="array" ref="K1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0" s="5">
        <f>IF(RAW_DATA!C170&lt;300000,0,IF(RAW_DATA!C170&lt;600000,5,IF(RAW_DATA!C170&lt;1200000,15,IF(RAW_DATA!C170&lt;2000000,20,25))))</f>
        <v>25</v>
      </c>
      <c r="M170" s="3">
        <f>IF(RAW_DATA!E170&lt;1,0,IF(RAW_DATA!E170&lt;3,3,IF(RAW_DATA!E170&lt;5,5,IF(RAW_DATA!E170&lt;10,8,10))))</f>
        <v>0</v>
      </c>
      <c r="N170" s="3">
        <f>IF(RAW_DATA!F170&lt;650,0,IF(RAW_DATA!F170&lt;700,8,IF(RAW_DATA!F170&lt;750,15,IF(RAW_DATA!F170&lt;800,20,25))))</f>
        <v>20</v>
      </c>
      <c r="O170" s="3">
        <f>IF(RAW_DATA!G170=0,5,IF(RAW_DATA!G170=1,4,IF(RAW_DATA!G170=2,3,IF(RAW_DATA!G170=3,2,IF(RAW_DATA!G170=4,1,0)))))</f>
        <v>5</v>
      </c>
      <c r="P170" s="3">
        <f>IF(RAW_DATA!K170&gt;=RAW_DATA!H170,20,ROUND((RAW_DATA!K170/RAW_DATA!H170)*20,0))</f>
        <v>20</v>
      </c>
      <c r="Q170" s="3">
        <f>IF(RAW_DATA!L170="No",5,0)</f>
        <v>0</v>
      </c>
      <c r="R170" s="3">
        <f t="shared" si="15"/>
        <v>78</v>
      </c>
      <c r="S170" s="3">
        <f t="shared" si="16"/>
        <v>78</v>
      </c>
      <c r="T170" s="3" t="str">
        <f t="shared" si="17"/>
        <v>Not Scored - Ineligible</v>
      </c>
    </row>
    <row r="171" spans="1:20" x14ac:dyDescent="0.25">
      <c r="A171" s="3" t="str">
        <f>RAW_DATA!A171</f>
        <v>APP170</v>
      </c>
      <c r="B171" s="3" t="b">
        <f>AND(RAW_DATA!B171&gt;=21,RAW_DATA!B171&lt;=60)</f>
        <v>1</v>
      </c>
      <c r="C171" s="3" t="b">
        <f>RAW_DATA!C171&gt;=300000</f>
        <v>1</v>
      </c>
      <c r="D171" s="3" t="b">
        <f>RAW_DATA!F171&gt;=650</f>
        <v>0</v>
      </c>
      <c r="E171" s="3" t="b">
        <f>RAW_DATA!E171&gt;=1</f>
        <v>1</v>
      </c>
      <c r="F171" s="3" t="b">
        <f>RAW_DATA!L171="No"</f>
        <v>1</v>
      </c>
      <c r="G171" s="3" t="b">
        <f t="shared" si="12"/>
        <v>0</v>
      </c>
      <c r="H171" s="3" t="str">
        <f t="shared" si="13"/>
        <v>INELIGIBLE</v>
      </c>
      <c r="I171" s="3" t="str">
        <f t="shared" si="14"/>
        <v>Credit Score</v>
      </c>
      <c r="K171" s="3" cm="1">
        <f t="array" ref="K1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1" s="5">
        <f>IF(RAW_DATA!C171&lt;300000,0,IF(RAW_DATA!C171&lt;600000,5,IF(RAW_DATA!C171&lt;1200000,15,IF(RAW_DATA!C171&lt;2000000,20,25))))</f>
        <v>25</v>
      </c>
      <c r="M171" s="3">
        <f>IF(RAW_DATA!E171&lt;1,0,IF(RAW_DATA!E171&lt;3,3,IF(RAW_DATA!E171&lt;5,5,IF(RAW_DATA!E171&lt;10,8,10))))</f>
        <v>10</v>
      </c>
      <c r="N171" s="3">
        <f>IF(RAW_DATA!F171&lt;650,0,IF(RAW_DATA!F171&lt;700,8,IF(RAW_DATA!F171&lt;750,15,IF(RAW_DATA!F171&lt;800,20,25))))</f>
        <v>0</v>
      </c>
      <c r="O171" s="3">
        <f>IF(RAW_DATA!G171=0,5,IF(RAW_DATA!G171=1,4,IF(RAW_DATA!G171=2,3,IF(RAW_DATA!G171=3,2,IF(RAW_DATA!G171=4,1,0)))))</f>
        <v>5</v>
      </c>
      <c r="P171" s="3">
        <f>IF(RAW_DATA!K171&gt;=RAW_DATA!H171,20,ROUND((RAW_DATA!K171/RAW_DATA!H171)*20,0))</f>
        <v>20</v>
      </c>
      <c r="Q171" s="3">
        <f>IF(RAW_DATA!L171="No",5,0)</f>
        <v>5</v>
      </c>
      <c r="R171" s="3">
        <f t="shared" si="15"/>
        <v>71</v>
      </c>
      <c r="S171" s="3">
        <f t="shared" si="16"/>
        <v>71</v>
      </c>
      <c r="T171" s="3" t="str">
        <f t="shared" si="17"/>
        <v>Not Scored - Ineligible</v>
      </c>
    </row>
    <row r="172" spans="1:20" x14ac:dyDescent="0.25">
      <c r="A172" s="3" t="str">
        <f>RAW_DATA!A172</f>
        <v>APP171</v>
      </c>
      <c r="B172" s="3" t="b">
        <f>AND(RAW_DATA!B172&gt;=21,RAW_DATA!B172&lt;=60)</f>
        <v>1</v>
      </c>
      <c r="C172" s="3" t="b">
        <f>RAW_DATA!C172&gt;=300000</f>
        <v>1</v>
      </c>
      <c r="D172" s="3" t="b">
        <f>RAW_DATA!F172&gt;=650</f>
        <v>1</v>
      </c>
      <c r="E172" s="3" t="b">
        <f>RAW_DATA!E172&gt;=1</f>
        <v>0</v>
      </c>
      <c r="F172" s="3" t="b">
        <f>RAW_DATA!L172="No"</f>
        <v>1</v>
      </c>
      <c r="G172" s="3" t="b">
        <f t="shared" si="12"/>
        <v>0</v>
      </c>
      <c r="H172" s="3" t="str">
        <f t="shared" si="13"/>
        <v>INELIGIBLE</v>
      </c>
      <c r="I172" s="3" t="str">
        <f t="shared" si="14"/>
        <v>Employment</v>
      </c>
      <c r="K172" s="3" cm="1">
        <f t="array" ref="K1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2" s="5">
        <f>IF(RAW_DATA!C172&lt;300000,0,IF(RAW_DATA!C172&lt;600000,5,IF(RAW_DATA!C172&lt;1200000,15,IF(RAW_DATA!C172&lt;2000000,20,25))))</f>
        <v>5</v>
      </c>
      <c r="M172" s="3">
        <f>IF(RAW_DATA!E172&lt;1,0,IF(RAW_DATA!E172&lt;3,3,IF(RAW_DATA!E172&lt;5,5,IF(RAW_DATA!E172&lt;10,8,10))))</f>
        <v>0</v>
      </c>
      <c r="N172" s="3">
        <f>IF(RAW_DATA!F172&lt;650,0,IF(RAW_DATA!F172&lt;700,8,IF(RAW_DATA!F172&lt;750,15,IF(RAW_DATA!F172&lt;800,20,25))))</f>
        <v>20</v>
      </c>
      <c r="O172" s="3">
        <f>IF(RAW_DATA!G172=0,5,IF(RAW_DATA!G172=1,4,IF(RAW_DATA!G172=2,3,IF(RAW_DATA!G172=3,2,IF(RAW_DATA!G172=4,1,0)))))</f>
        <v>1</v>
      </c>
      <c r="P172" s="3">
        <f>IF(RAW_DATA!K172&gt;=RAW_DATA!H172,20,ROUND((RAW_DATA!K172/RAW_DATA!H172)*20,0))</f>
        <v>2</v>
      </c>
      <c r="Q172" s="3">
        <f>IF(RAW_DATA!L172="No",5,0)</f>
        <v>5</v>
      </c>
      <c r="R172" s="3">
        <f t="shared" si="15"/>
        <v>37</v>
      </c>
      <c r="S172" s="3">
        <f t="shared" si="16"/>
        <v>37</v>
      </c>
      <c r="T172" s="3" t="str">
        <f t="shared" si="17"/>
        <v>Not Scored - Ineligible</v>
      </c>
    </row>
    <row r="173" spans="1:20" x14ac:dyDescent="0.25">
      <c r="A173" s="3" t="str">
        <f>RAW_DATA!A173</f>
        <v>APP172</v>
      </c>
      <c r="B173" s="3" t="b">
        <f>AND(RAW_DATA!B173&gt;=21,RAW_DATA!B173&lt;=60)</f>
        <v>0</v>
      </c>
      <c r="C173" s="3" t="b">
        <f>RAW_DATA!C173&gt;=300000</f>
        <v>1</v>
      </c>
      <c r="D173" s="3" t="b">
        <f>RAW_DATA!F173&gt;=650</f>
        <v>0</v>
      </c>
      <c r="E173" s="3" t="b">
        <f>RAW_DATA!E173&gt;=1</f>
        <v>1</v>
      </c>
      <c r="F173" s="3" t="b">
        <f>RAW_DATA!L173="No"</f>
        <v>1</v>
      </c>
      <c r="G173" s="3" t="b">
        <f t="shared" si="12"/>
        <v>0</v>
      </c>
      <c r="H173" s="3" t="str">
        <f t="shared" si="13"/>
        <v>INELIGIBLE</v>
      </c>
      <c r="I173" s="3" t="str">
        <f t="shared" si="14"/>
        <v>Age, Credit Score</v>
      </c>
      <c r="K173" s="3" cm="1">
        <f t="array" ref="K1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73" s="5">
        <f>IF(RAW_DATA!C173&lt;300000,0,IF(RAW_DATA!C173&lt;600000,5,IF(RAW_DATA!C173&lt;1200000,15,IF(RAW_DATA!C173&lt;2000000,20,25))))</f>
        <v>20</v>
      </c>
      <c r="M173" s="3">
        <f>IF(RAW_DATA!E173&lt;1,0,IF(RAW_DATA!E173&lt;3,3,IF(RAW_DATA!E173&lt;5,5,IF(RAW_DATA!E173&lt;10,8,10))))</f>
        <v>10</v>
      </c>
      <c r="N173" s="3">
        <f>IF(RAW_DATA!F173&lt;650,0,IF(RAW_DATA!F173&lt;700,8,IF(RAW_DATA!F173&lt;750,15,IF(RAW_DATA!F173&lt;800,20,25))))</f>
        <v>0</v>
      </c>
      <c r="O173" s="3">
        <f>IF(RAW_DATA!G173=0,5,IF(RAW_DATA!G173=1,4,IF(RAW_DATA!G173=2,3,IF(RAW_DATA!G173=3,2,IF(RAW_DATA!G173=4,1,0)))))</f>
        <v>3</v>
      </c>
      <c r="P173" s="3">
        <f>IF(RAW_DATA!K173&gt;=RAW_DATA!H173,20,ROUND((RAW_DATA!K173/RAW_DATA!H173)*20,0))</f>
        <v>20</v>
      </c>
      <c r="Q173" s="3">
        <f>IF(RAW_DATA!L173="No",5,0)</f>
        <v>5</v>
      </c>
      <c r="R173" s="3">
        <f t="shared" si="15"/>
        <v>58</v>
      </c>
      <c r="S173" s="3">
        <f t="shared" si="16"/>
        <v>58</v>
      </c>
      <c r="T173" s="3" t="str">
        <f t="shared" si="17"/>
        <v>Not Scored - Ineligible</v>
      </c>
    </row>
    <row r="174" spans="1:20" x14ac:dyDescent="0.25">
      <c r="A174" s="3" t="str">
        <f>RAW_DATA!A174</f>
        <v>APP173</v>
      </c>
      <c r="B174" s="3" t="b">
        <f>AND(RAW_DATA!B174&gt;=21,RAW_DATA!B174&lt;=60)</f>
        <v>1</v>
      </c>
      <c r="C174" s="3" t="b">
        <f>RAW_DATA!C174&gt;=300000</f>
        <v>1</v>
      </c>
      <c r="D174" s="3" t="b">
        <f>RAW_DATA!F174&gt;=650</f>
        <v>0</v>
      </c>
      <c r="E174" s="3" t="b">
        <f>RAW_DATA!E174&gt;=1</f>
        <v>1</v>
      </c>
      <c r="F174" s="3" t="b">
        <f>RAW_DATA!L174="No"</f>
        <v>1</v>
      </c>
      <c r="G174" s="3" t="b">
        <f t="shared" si="12"/>
        <v>0</v>
      </c>
      <c r="H174" s="3" t="str">
        <f t="shared" si="13"/>
        <v>INELIGIBLE</v>
      </c>
      <c r="I174" s="3" t="str">
        <f t="shared" si="14"/>
        <v>Credit Score</v>
      </c>
      <c r="K174" s="3" cm="1">
        <f t="array" ref="K1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4" s="5">
        <f>IF(RAW_DATA!C174&lt;300000,0,IF(RAW_DATA!C174&lt;600000,5,IF(RAW_DATA!C174&lt;1200000,15,IF(RAW_DATA!C174&lt;2000000,20,25))))</f>
        <v>20</v>
      </c>
      <c r="M174" s="3">
        <f>IF(RAW_DATA!E174&lt;1,0,IF(RAW_DATA!E174&lt;3,3,IF(RAW_DATA!E174&lt;5,5,IF(RAW_DATA!E174&lt;10,8,10))))</f>
        <v>10</v>
      </c>
      <c r="N174" s="3">
        <f>IF(RAW_DATA!F174&lt;650,0,IF(RAW_DATA!F174&lt;700,8,IF(RAW_DATA!F174&lt;750,15,IF(RAW_DATA!F174&lt;800,20,25))))</f>
        <v>0</v>
      </c>
      <c r="O174" s="3">
        <f>IF(RAW_DATA!G174=0,5,IF(RAW_DATA!G174=1,4,IF(RAW_DATA!G174=2,3,IF(RAW_DATA!G174=3,2,IF(RAW_DATA!G174=4,1,0)))))</f>
        <v>4</v>
      </c>
      <c r="P174" s="3">
        <f>IF(RAW_DATA!K174&gt;=RAW_DATA!H174,20,ROUND((RAW_DATA!K174/RAW_DATA!H174)*20,0))</f>
        <v>20</v>
      </c>
      <c r="Q174" s="3">
        <f>IF(RAW_DATA!L174="No",5,0)</f>
        <v>5</v>
      </c>
      <c r="R174" s="3">
        <f t="shared" si="15"/>
        <v>65</v>
      </c>
      <c r="S174" s="3">
        <f t="shared" si="16"/>
        <v>65</v>
      </c>
      <c r="T174" s="3" t="str">
        <f t="shared" si="17"/>
        <v>Not Scored - Ineligible</v>
      </c>
    </row>
    <row r="175" spans="1:20" x14ac:dyDescent="0.25">
      <c r="A175" s="3" t="str">
        <f>RAW_DATA!A175</f>
        <v>APP174</v>
      </c>
      <c r="B175" s="3" t="b">
        <f>AND(RAW_DATA!B175&gt;=21,RAW_DATA!B175&lt;=60)</f>
        <v>1</v>
      </c>
      <c r="C175" s="3" t="b">
        <f>RAW_DATA!C175&gt;=300000</f>
        <v>0</v>
      </c>
      <c r="D175" s="3" t="b">
        <f>RAW_DATA!F175&gt;=650</f>
        <v>0</v>
      </c>
      <c r="E175" s="3" t="b">
        <f>RAW_DATA!E175&gt;=1</f>
        <v>1</v>
      </c>
      <c r="F175" s="3" t="b">
        <f>RAW_DATA!L175="No"</f>
        <v>0</v>
      </c>
      <c r="G175" s="3" t="b">
        <f t="shared" si="12"/>
        <v>0</v>
      </c>
      <c r="H175" s="3" t="str">
        <f t="shared" si="13"/>
        <v>INELIGIBLE</v>
      </c>
      <c r="I175" s="3" t="str">
        <f t="shared" si="14"/>
        <v>Income, Credit Score, Defaulter History</v>
      </c>
      <c r="K175" s="3" cm="1">
        <f t="array" ref="K1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5" s="5">
        <f>IF(RAW_DATA!C175&lt;300000,0,IF(RAW_DATA!C175&lt;600000,5,IF(RAW_DATA!C175&lt;1200000,15,IF(RAW_DATA!C175&lt;2000000,20,25))))</f>
        <v>0</v>
      </c>
      <c r="M175" s="3">
        <f>IF(RAW_DATA!E175&lt;1,0,IF(RAW_DATA!E175&lt;3,3,IF(RAW_DATA!E175&lt;5,5,IF(RAW_DATA!E175&lt;10,8,10))))</f>
        <v>10</v>
      </c>
      <c r="N175" s="3">
        <f>IF(RAW_DATA!F175&lt;650,0,IF(RAW_DATA!F175&lt;700,8,IF(RAW_DATA!F175&lt;750,15,IF(RAW_DATA!F175&lt;800,20,25))))</f>
        <v>0</v>
      </c>
      <c r="O175" s="3">
        <f>IF(RAW_DATA!G175=0,5,IF(RAW_DATA!G175=1,4,IF(RAW_DATA!G175=2,3,IF(RAW_DATA!G175=3,2,IF(RAW_DATA!G175=4,1,0)))))</f>
        <v>1</v>
      </c>
      <c r="P175" s="3">
        <f>IF(RAW_DATA!K175&gt;=RAW_DATA!H175,20,ROUND((RAW_DATA!K175/RAW_DATA!H175)*20,0))</f>
        <v>13</v>
      </c>
      <c r="Q175" s="3">
        <f>IF(RAW_DATA!L175="No",5,0)</f>
        <v>0</v>
      </c>
      <c r="R175" s="3">
        <f t="shared" si="15"/>
        <v>32</v>
      </c>
      <c r="S175" s="3">
        <f t="shared" si="16"/>
        <v>32</v>
      </c>
      <c r="T175" s="3" t="str">
        <f t="shared" si="17"/>
        <v>Not Scored - Ineligible</v>
      </c>
    </row>
    <row r="176" spans="1:20" x14ac:dyDescent="0.25">
      <c r="A176" s="3" t="str">
        <f>RAW_DATA!A176</f>
        <v>APP175</v>
      </c>
      <c r="B176" s="3" t="b">
        <f>AND(RAW_DATA!B176&gt;=21,RAW_DATA!B176&lt;=60)</f>
        <v>1</v>
      </c>
      <c r="C176" s="3" t="b">
        <f>RAW_DATA!C176&gt;=300000</f>
        <v>1</v>
      </c>
      <c r="D176" s="3" t="b">
        <f>RAW_DATA!F176&gt;=650</f>
        <v>0</v>
      </c>
      <c r="E176" s="3" t="b">
        <f>RAW_DATA!E176&gt;=1</f>
        <v>1</v>
      </c>
      <c r="F176" s="3" t="b">
        <f>RAW_DATA!L176="No"</f>
        <v>1</v>
      </c>
      <c r="G176" s="3" t="b">
        <f t="shared" si="12"/>
        <v>0</v>
      </c>
      <c r="H176" s="3" t="str">
        <f t="shared" si="13"/>
        <v>INELIGIBLE</v>
      </c>
      <c r="I176" s="3" t="str">
        <f t="shared" si="14"/>
        <v>Credit Score</v>
      </c>
      <c r="K176" s="3" cm="1">
        <f t="array" ref="K1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6" s="5">
        <f>IF(RAW_DATA!C176&lt;300000,0,IF(RAW_DATA!C176&lt;600000,5,IF(RAW_DATA!C176&lt;1200000,15,IF(RAW_DATA!C176&lt;2000000,20,25))))</f>
        <v>5</v>
      </c>
      <c r="M176" s="3">
        <f>IF(RAW_DATA!E176&lt;1,0,IF(RAW_DATA!E176&lt;3,3,IF(RAW_DATA!E176&lt;5,5,IF(RAW_DATA!E176&lt;10,8,10))))</f>
        <v>10</v>
      </c>
      <c r="N176" s="3">
        <f>IF(RAW_DATA!F176&lt;650,0,IF(RAW_DATA!F176&lt;700,8,IF(RAW_DATA!F176&lt;750,15,IF(RAW_DATA!F176&lt;800,20,25))))</f>
        <v>0</v>
      </c>
      <c r="O176" s="3">
        <f>IF(RAW_DATA!G176=0,5,IF(RAW_DATA!G176=1,4,IF(RAW_DATA!G176=2,3,IF(RAW_DATA!G176=3,2,IF(RAW_DATA!G176=4,1,0)))))</f>
        <v>5</v>
      </c>
      <c r="P176" s="3">
        <f>IF(RAW_DATA!K176&gt;=RAW_DATA!H176,20,ROUND((RAW_DATA!K176/RAW_DATA!H176)*20,0))</f>
        <v>8</v>
      </c>
      <c r="Q176" s="3">
        <f>IF(RAW_DATA!L176="No",5,0)</f>
        <v>5</v>
      </c>
      <c r="R176" s="3">
        <f t="shared" si="15"/>
        <v>37</v>
      </c>
      <c r="S176" s="3">
        <f t="shared" si="16"/>
        <v>37</v>
      </c>
      <c r="T176" s="3" t="str">
        <f t="shared" si="17"/>
        <v>Not Scored - Ineligible</v>
      </c>
    </row>
    <row r="177" spans="1:20" x14ac:dyDescent="0.25">
      <c r="A177" s="3" t="str">
        <f>RAW_DATA!A177</f>
        <v>APP176</v>
      </c>
      <c r="B177" s="3" t="b">
        <f>AND(RAW_DATA!B177&gt;=21,RAW_DATA!B177&lt;=60)</f>
        <v>1</v>
      </c>
      <c r="C177" s="3" t="b">
        <f>RAW_DATA!C177&gt;=300000</f>
        <v>1</v>
      </c>
      <c r="D177" s="3" t="b">
        <f>RAW_DATA!F177&gt;=650</f>
        <v>0</v>
      </c>
      <c r="E177" s="3" t="b">
        <f>RAW_DATA!E177&gt;=1</f>
        <v>1</v>
      </c>
      <c r="F177" s="3" t="b">
        <f>RAW_DATA!L177="No"</f>
        <v>1</v>
      </c>
      <c r="G177" s="3" t="b">
        <f t="shared" si="12"/>
        <v>0</v>
      </c>
      <c r="H177" s="3" t="str">
        <f t="shared" si="13"/>
        <v>INELIGIBLE</v>
      </c>
      <c r="I177" s="3" t="str">
        <f t="shared" si="14"/>
        <v>Credit Score</v>
      </c>
      <c r="K177" s="3" cm="1">
        <f t="array" ref="K1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77" s="5">
        <f>IF(RAW_DATA!C177&lt;300000,0,IF(RAW_DATA!C177&lt;600000,5,IF(RAW_DATA!C177&lt;1200000,15,IF(RAW_DATA!C177&lt;2000000,20,25))))</f>
        <v>15</v>
      </c>
      <c r="M177" s="3">
        <f>IF(RAW_DATA!E177&lt;1,0,IF(RAW_DATA!E177&lt;3,3,IF(RAW_DATA!E177&lt;5,5,IF(RAW_DATA!E177&lt;10,8,10))))</f>
        <v>10</v>
      </c>
      <c r="N177" s="3">
        <f>IF(RAW_DATA!F177&lt;650,0,IF(RAW_DATA!F177&lt;700,8,IF(RAW_DATA!F177&lt;750,15,IF(RAW_DATA!F177&lt;800,20,25))))</f>
        <v>0</v>
      </c>
      <c r="O177" s="3">
        <f>IF(RAW_DATA!G177=0,5,IF(RAW_DATA!G177=1,4,IF(RAW_DATA!G177=2,3,IF(RAW_DATA!G177=3,2,IF(RAW_DATA!G177=4,1,0)))))</f>
        <v>3</v>
      </c>
      <c r="P177" s="3">
        <f>IF(RAW_DATA!K177&gt;=RAW_DATA!H177,20,ROUND((RAW_DATA!K177/RAW_DATA!H177)*20,0))</f>
        <v>8</v>
      </c>
      <c r="Q177" s="3">
        <f>IF(RAW_DATA!L177="No",5,0)</f>
        <v>5</v>
      </c>
      <c r="R177" s="3">
        <f t="shared" si="15"/>
        <v>51</v>
      </c>
      <c r="S177" s="3">
        <f t="shared" si="16"/>
        <v>51</v>
      </c>
      <c r="T177" s="3" t="str">
        <f t="shared" si="17"/>
        <v>Not Scored - Ineligible</v>
      </c>
    </row>
    <row r="178" spans="1:20" x14ac:dyDescent="0.25">
      <c r="A178" s="3" t="str">
        <f>RAW_DATA!A178</f>
        <v>APP177</v>
      </c>
      <c r="B178" s="3" t="b">
        <f>AND(RAW_DATA!B178&gt;=21,RAW_DATA!B178&lt;=60)</f>
        <v>1</v>
      </c>
      <c r="C178" s="3" t="b">
        <f>RAW_DATA!C178&gt;=300000</f>
        <v>1</v>
      </c>
      <c r="D178" s="3" t="b">
        <f>RAW_DATA!F178&gt;=650</f>
        <v>0</v>
      </c>
      <c r="E178" s="3" t="b">
        <f>RAW_DATA!E178&gt;=1</f>
        <v>1</v>
      </c>
      <c r="F178" s="3" t="b">
        <f>RAW_DATA!L178="No"</f>
        <v>0</v>
      </c>
      <c r="G178" s="3" t="b">
        <f t="shared" si="12"/>
        <v>0</v>
      </c>
      <c r="H178" s="3" t="str">
        <f t="shared" si="13"/>
        <v>INELIGIBLE</v>
      </c>
      <c r="I178" s="3" t="str">
        <f t="shared" si="14"/>
        <v>Credit Score, Defaulter History</v>
      </c>
      <c r="K178" s="3" cm="1">
        <f t="array" ref="K1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78" s="5">
        <f>IF(RAW_DATA!C178&lt;300000,0,IF(RAW_DATA!C178&lt;600000,5,IF(RAW_DATA!C178&lt;1200000,15,IF(RAW_DATA!C178&lt;2000000,20,25))))</f>
        <v>20</v>
      </c>
      <c r="M178" s="3">
        <f>IF(RAW_DATA!E178&lt;1,0,IF(RAW_DATA!E178&lt;3,3,IF(RAW_DATA!E178&lt;5,5,IF(RAW_DATA!E178&lt;10,8,10))))</f>
        <v>3</v>
      </c>
      <c r="N178" s="3">
        <f>IF(RAW_DATA!F178&lt;650,0,IF(RAW_DATA!F178&lt;700,8,IF(RAW_DATA!F178&lt;750,15,IF(RAW_DATA!F178&lt;800,20,25))))</f>
        <v>0</v>
      </c>
      <c r="O178" s="3">
        <f>IF(RAW_DATA!G178=0,5,IF(RAW_DATA!G178=1,4,IF(RAW_DATA!G178=2,3,IF(RAW_DATA!G178=3,2,IF(RAW_DATA!G178=4,1,0)))))</f>
        <v>1</v>
      </c>
      <c r="P178" s="3">
        <f>IF(RAW_DATA!K178&gt;=RAW_DATA!H178,20,ROUND((RAW_DATA!K178/RAW_DATA!H178)*20,0))</f>
        <v>20</v>
      </c>
      <c r="Q178" s="3">
        <f>IF(RAW_DATA!L178="No",5,0)</f>
        <v>0</v>
      </c>
      <c r="R178" s="3">
        <f t="shared" si="15"/>
        <v>51</v>
      </c>
      <c r="S178" s="3">
        <f t="shared" si="16"/>
        <v>51</v>
      </c>
      <c r="T178" s="3" t="str">
        <f t="shared" si="17"/>
        <v>Not Scored - Ineligible</v>
      </c>
    </row>
    <row r="179" spans="1:20" x14ac:dyDescent="0.25">
      <c r="A179" s="3" t="str">
        <f>RAW_DATA!A179</f>
        <v>APP178</v>
      </c>
      <c r="B179" s="3" t="b">
        <f>AND(RAW_DATA!B179&gt;=21,RAW_DATA!B179&lt;=60)</f>
        <v>1</v>
      </c>
      <c r="C179" s="3" t="b">
        <f>RAW_DATA!C179&gt;=300000</f>
        <v>1</v>
      </c>
      <c r="D179" s="3" t="b">
        <f>RAW_DATA!F179&gt;=650</f>
        <v>1</v>
      </c>
      <c r="E179" s="3" t="b">
        <f>RAW_DATA!E179&gt;=1</f>
        <v>1</v>
      </c>
      <c r="F179" s="3" t="b">
        <f>RAW_DATA!L179="No"</f>
        <v>1</v>
      </c>
      <c r="G179" s="3" t="b">
        <f t="shared" si="12"/>
        <v>1</v>
      </c>
      <c r="H179" s="3" t="str">
        <f t="shared" si="13"/>
        <v>ELIGIBLE</v>
      </c>
      <c r="I179" s="3" t="str">
        <f t="shared" si="14"/>
        <v/>
      </c>
      <c r="K179" s="3" cm="1">
        <f t="array" ref="K1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9" s="5">
        <f>IF(RAW_DATA!C179&lt;300000,0,IF(RAW_DATA!C179&lt;600000,5,IF(RAW_DATA!C179&lt;1200000,15,IF(RAW_DATA!C179&lt;2000000,20,25))))</f>
        <v>25</v>
      </c>
      <c r="M179" s="3">
        <f>IF(RAW_DATA!E179&lt;1,0,IF(RAW_DATA!E179&lt;3,3,IF(RAW_DATA!E179&lt;5,5,IF(RAW_DATA!E179&lt;10,8,10))))</f>
        <v>10</v>
      </c>
      <c r="N179" s="3">
        <f>IF(RAW_DATA!F179&lt;650,0,IF(RAW_DATA!F179&lt;700,8,IF(RAW_DATA!F179&lt;750,15,IF(RAW_DATA!F179&lt;800,20,25))))</f>
        <v>15</v>
      </c>
      <c r="O179" s="3">
        <f>IF(RAW_DATA!G179=0,5,IF(RAW_DATA!G179=1,4,IF(RAW_DATA!G179=2,3,IF(RAW_DATA!G179=3,2,IF(RAW_DATA!G179=4,1,0)))))</f>
        <v>1</v>
      </c>
      <c r="P179" s="3">
        <f>IF(RAW_DATA!K179&gt;=RAW_DATA!H179,20,ROUND((RAW_DATA!K179/RAW_DATA!H179)*20,0))</f>
        <v>20</v>
      </c>
      <c r="Q179" s="3">
        <f>IF(RAW_DATA!L179="No",5,0)</f>
        <v>5</v>
      </c>
      <c r="R179" s="3">
        <f t="shared" si="15"/>
        <v>82</v>
      </c>
      <c r="S179" s="3">
        <f t="shared" si="16"/>
        <v>82</v>
      </c>
      <c r="T179" s="3" t="str">
        <f t="shared" si="17"/>
        <v>Strong</v>
      </c>
    </row>
    <row r="180" spans="1:20" x14ac:dyDescent="0.25">
      <c r="A180" s="3" t="str">
        <f>RAW_DATA!A180</f>
        <v>APP179</v>
      </c>
      <c r="B180" s="3" t="b">
        <f>AND(RAW_DATA!B180&gt;=21,RAW_DATA!B180&lt;=60)</f>
        <v>1</v>
      </c>
      <c r="C180" s="3" t="b">
        <f>RAW_DATA!C180&gt;=300000</f>
        <v>0</v>
      </c>
      <c r="D180" s="3" t="b">
        <f>RAW_DATA!F180&gt;=650</f>
        <v>0</v>
      </c>
      <c r="E180" s="3" t="b">
        <f>RAW_DATA!E180&gt;=1</f>
        <v>1</v>
      </c>
      <c r="F180" s="3" t="b">
        <f>RAW_DATA!L180="No"</f>
        <v>1</v>
      </c>
      <c r="G180" s="3" t="b">
        <f t="shared" si="12"/>
        <v>0</v>
      </c>
      <c r="H180" s="3" t="str">
        <f t="shared" si="13"/>
        <v>INELIGIBLE</v>
      </c>
      <c r="I180" s="3" t="str">
        <f t="shared" si="14"/>
        <v>Income, Credit Score</v>
      </c>
      <c r="K180" s="3" cm="1">
        <f t="array" ref="K1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0" s="5">
        <f>IF(RAW_DATA!C180&lt;300000,0,IF(RAW_DATA!C180&lt;600000,5,IF(RAW_DATA!C180&lt;1200000,15,IF(RAW_DATA!C180&lt;2000000,20,25))))</f>
        <v>0</v>
      </c>
      <c r="M180" s="3">
        <f>IF(RAW_DATA!E180&lt;1,0,IF(RAW_DATA!E180&lt;3,3,IF(RAW_DATA!E180&lt;5,5,IF(RAW_DATA!E180&lt;10,8,10))))</f>
        <v>10</v>
      </c>
      <c r="N180" s="3">
        <f>IF(RAW_DATA!F180&lt;650,0,IF(RAW_DATA!F180&lt;700,8,IF(RAW_DATA!F180&lt;750,15,IF(RAW_DATA!F180&lt;800,20,25))))</f>
        <v>0</v>
      </c>
      <c r="O180" s="3">
        <f>IF(RAW_DATA!G180=0,5,IF(RAW_DATA!G180=1,4,IF(RAW_DATA!G180=2,3,IF(RAW_DATA!G180=3,2,IF(RAW_DATA!G180=4,1,0)))))</f>
        <v>5</v>
      </c>
      <c r="P180" s="3">
        <f>IF(RAW_DATA!K180&gt;=RAW_DATA!H180,20,ROUND((RAW_DATA!K180/RAW_DATA!H180)*20,0))</f>
        <v>12</v>
      </c>
      <c r="Q180" s="3">
        <f>IF(RAW_DATA!L180="No",5,0)</f>
        <v>5</v>
      </c>
      <c r="R180" s="3">
        <f t="shared" si="15"/>
        <v>40</v>
      </c>
      <c r="S180" s="3">
        <f t="shared" si="16"/>
        <v>40</v>
      </c>
      <c r="T180" s="3" t="str">
        <f t="shared" si="17"/>
        <v>Not Scored - Ineligible</v>
      </c>
    </row>
    <row r="181" spans="1:20" x14ac:dyDescent="0.25">
      <c r="A181" s="3" t="str">
        <f>RAW_DATA!A181</f>
        <v>APP180</v>
      </c>
      <c r="B181" s="3" t="b">
        <f>AND(RAW_DATA!B181&gt;=21,RAW_DATA!B181&lt;=60)</f>
        <v>1</v>
      </c>
      <c r="C181" s="3" t="b">
        <f>RAW_DATA!C181&gt;=300000</f>
        <v>1</v>
      </c>
      <c r="D181" s="3" t="b">
        <f>RAW_DATA!F181&gt;=650</f>
        <v>0</v>
      </c>
      <c r="E181" s="3" t="b">
        <f>RAW_DATA!E181&gt;=1</f>
        <v>1</v>
      </c>
      <c r="F181" s="3" t="b">
        <f>RAW_DATA!L181="No"</f>
        <v>1</v>
      </c>
      <c r="G181" s="3" t="b">
        <f t="shared" si="12"/>
        <v>0</v>
      </c>
      <c r="H181" s="3" t="str">
        <f t="shared" si="13"/>
        <v>INELIGIBLE</v>
      </c>
      <c r="I181" s="3" t="str">
        <f t="shared" si="14"/>
        <v>Credit Score</v>
      </c>
      <c r="K181" s="3" cm="1">
        <f t="array" ref="K1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81" s="5">
        <f>IF(RAW_DATA!C181&lt;300000,0,IF(RAW_DATA!C181&lt;600000,5,IF(RAW_DATA!C181&lt;1200000,15,IF(RAW_DATA!C181&lt;2000000,20,25))))</f>
        <v>25</v>
      </c>
      <c r="M181" s="3">
        <f>IF(RAW_DATA!E181&lt;1,0,IF(RAW_DATA!E181&lt;3,3,IF(RAW_DATA!E181&lt;5,5,IF(RAW_DATA!E181&lt;10,8,10))))</f>
        <v>10</v>
      </c>
      <c r="N181" s="3">
        <f>IF(RAW_DATA!F181&lt;650,0,IF(RAW_DATA!F181&lt;700,8,IF(RAW_DATA!F181&lt;750,15,IF(RAW_DATA!F181&lt;800,20,25))))</f>
        <v>0</v>
      </c>
      <c r="O181" s="3">
        <f>IF(RAW_DATA!G181=0,5,IF(RAW_DATA!G181=1,4,IF(RAW_DATA!G181=2,3,IF(RAW_DATA!G181=3,2,IF(RAW_DATA!G181=4,1,0)))))</f>
        <v>1</v>
      </c>
      <c r="P181" s="3">
        <f>IF(RAW_DATA!K181&gt;=RAW_DATA!H181,20,ROUND((RAW_DATA!K181/RAW_DATA!H181)*20,0))</f>
        <v>18</v>
      </c>
      <c r="Q181" s="3">
        <f>IF(RAW_DATA!L181="No",5,0)</f>
        <v>5</v>
      </c>
      <c r="R181" s="3">
        <f t="shared" si="15"/>
        <v>69</v>
      </c>
      <c r="S181" s="3">
        <f t="shared" si="16"/>
        <v>69</v>
      </c>
      <c r="T181" s="3" t="str">
        <f t="shared" si="17"/>
        <v>Not Scored - Ineligible</v>
      </c>
    </row>
    <row r="182" spans="1:20" x14ac:dyDescent="0.25">
      <c r="A182" s="3" t="str">
        <f>RAW_DATA!A182</f>
        <v>APP181</v>
      </c>
      <c r="B182" s="3" t="b">
        <f>AND(RAW_DATA!B182&gt;=21,RAW_DATA!B182&lt;=60)</f>
        <v>0</v>
      </c>
      <c r="C182" s="3" t="b">
        <f>RAW_DATA!C182&gt;=300000</f>
        <v>1</v>
      </c>
      <c r="D182" s="3" t="b">
        <f>RAW_DATA!F182&gt;=650</f>
        <v>1</v>
      </c>
      <c r="E182" s="3" t="b">
        <f>RAW_DATA!E182&gt;=1</f>
        <v>1</v>
      </c>
      <c r="F182" s="3" t="b">
        <f>RAW_DATA!L182="No"</f>
        <v>1</v>
      </c>
      <c r="G182" s="3" t="b">
        <f t="shared" si="12"/>
        <v>0</v>
      </c>
      <c r="H182" s="3" t="str">
        <f t="shared" si="13"/>
        <v>INELIGIBLE</v>
      </c>
      <c r="I182" s="3" t="str">
        <f t="shared" si="14"/>
        <v>Age</v>
      </c>
      <c r="K182" s="3" cm="1">
        <f t="array" ref="K1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2" s="5">
        <f>IF(RAW_DATA!C182&lt;300000,0,IF(RAW_DATA!C182&lt;600000,5,IF(RAW_DATA!C182&lt;1200000,15,IF(RAW_DATA!C182&lt;2000000,20,25))))</f>
        <v>15</v>
      </c>
      <c r="M182" s="3">
        <f>IF(RAW_DATA!E182&lt;1,0,IF(RAW_DATA!E182&lt;3,3,IF(RAW_DATA!E182&lt;5,5,IF(RAW_DATA!E182&lt;10,8,10))))</f>
        <v>10</v>
      </c>
      <c r="N182" s="3">
        <f>IF(RAW_DATA!F182&lt;650,0,IF(RAW_DATA!F182&lt;700,8,IF(RAW_DATA!F182&lt;750,15,IF(RAW_DATA!F182&lt;800,20,25))))</f>
        <v>25</v>
      </c>
      <c r="O182" s="3">
        <f>IF(RAW_DATA!G182=0,5,IF(RAW_DATA!G182=1,4,IF(RAW_DATA!G182=2,3,IF(RAW_DATA!G182=3,2,IF(RAW_DATA!G182=4,1,0)))))</f>
        <v>0</v>
      </c>
      <c r="P182" s="3">
        <f>IF(RAW_DATA!K182&gt;=RAW_DATA!H182,20,ROUND((RAW_DATA!K182/RAW_DATA!H182)*20,0))</f>
        <v>20</v>
      </c>
      <c r="Q182" s="3">
        <f>IF(RAW_DATA!L182="No",5,0)</f>
        <v>5</v>
      </c>
      <c r="R182" s="3">
        <f t="shared" si="15"/>
        <v>75</v>
      </c>
      <c r="S182" s="3">
        <f t="shared" si="16"/>
        <v>75</v>
      </c>
      <c r="T182" s="3" t="str">
        <f t="shared" si="17"/>
        <v>Not Scored - Ineligible</v>
      </c>
    </row>
    <row r="183" spans="1:20" x14ac:dyDescent="0.25">
      <c r="A183" s="3" t="str">
        <f>RAW_DATA!A183</f>
        <v>APP182</v>
      </c>
      <c r="B183" s="3" t="b">
        <f>AND(RAW_DATA!B183&gt;=21,RAW_DATA!B183&lt;=60)</f>
        <v>1</v>
      </c>
      <c r="C183" s="3" t="b">
        <f>RAW_DATA!C183&gt;=300000</f>
        <v>1</v>
      </c>
      <c r="D183" s="3" t="b">
        <f>RAW_DATA!F183&gt;=650</f>
        <v>0</v>
      </c>
      <c r="E183" s="3" t="b">
        <f>RAW_DATA!E183&gt;=1</f>
        <v>1</v>
      </c>
      <c r="F183" s="3" t="b">
        <f>RAW_DATA!L183="No"</f>
        <v>1</v>
      </c>
      <c r="G183" s="3" t="b">
        <f t="shared" si="12"/>
        <v>0</v>
      </c>
      <c r="H183" s="3" t="str">
        <f t="shared" si="13"/>
        <v>INELIGIBLE</v>
      </c>
      <c r="I183" s="3" t="str">
        <f t="shared" si="14"/>
        <v>Credit Score</v>
      </c>
      <c r="K183" s="3" cm="1">
        <f t="array" ref="K1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3" s="5">
        <f>IF(RAW_DATA!C183&lt;300000,0,IF(RAW_DATA!C183&lt;600000,5,IF(RAW_DATA!C183&lt;1200000,15,IF(RAW_DATA!C183&lt;2000000,20,25))))</f>
        <v>15</v>
      </c>
      <c r="M183" s="3">
        <f>IF(RAW_DATA!E183&lt;1,0,IF(RAW_DATA!E183&lt;3,3,IF(RAW_DATA!E183&lt;5,5,IF(RAW_DATA!E183&lt;10,8,10))))</f>
        <v>10</v>
      </c>
      <c r="N183" s="3">
        <f>IF(RAW_DATA!F183&lt;650,0,IF(RAW_DATA!F183&lt;700,8,IF(RAW_DATA!F183&lt;750,15,IF(RAW_DATA!F183&lt;800,20,25))))</f>
        <v>0</v>
      </c>
      <c r="O183" s="3">
        <f>IF(RAW_DATA!G183=0,5,IF(RAW_DATA!G183=1,4,IF(RAW_DATA!G183=2,3,IF(RAW_DATA!G183=3,2,IF(RAW_DATA!G183=4,1,0)))))</f>
        <v>1</v>
      </c>
      <c r="P183" s="3">
        <f>IF(RAW_DATA!K183&gt;=RAW_DATA!H183,20,ROUND((RAW_DATA!K183/RAW_DATA!H183)*20,0))</f>
        <v>20</v>
      </c>
      <c r="Q183" s="3">
        <f>IF(RAW_DATA!L183="No",5,0)</f>
        <v>5</v>
      </c>
      <c r="R183" s="3">
        <f t="shared" si="15"/>
        <v>59</v>
      </c>
      <c r="S183" s="3">
        <f t="shared" si="16"/>
        <v>59</v>
      </c>
      <c r="T183" s="3" t="str">
        <f t="shared" si="17"/>
        <v>Not Scored - Ineligible</v>
      </c>
    </row>
    <row r="184" spans="1:20" x14ac:dyDescent="0.25">
      <c r="A184" s="3" t="str">
        <f>RAW_DATA!A184</f>
        <v>APP183</v>
      </c>
      <c r="B184" s="3" t="b">
        <f>AND(RAW_DATA!B184&gt;=21,RAW_DATA!B184&lt;=60)</f>
        <v>0</v>
      </c>
      <c r="C184" s="3" t="b">
        <f>RAW_DATA!C184&gt;=300000</f>
        <v>1</v>
      </c>
      <c r="D184" s="3" t="b">
        <f>RAW_DATA!F184&gt;=650</f>
        <v>1</v>
      </c>
      <c r="E184" s="3" t="b">
        <f>RAW_DATA!E184&gt;=1</f>
        <v>1</v>
      </c>
      <c r="F184" s="3" t="b">
        <f>RAW_DATA!L184="No"</f>
        <v>1</v>
      </c>
      <c r="G184" s="3" t="b">
        <f t="shared" si="12"/>
        <v>0</v>
      </c>
      <c r="H184" s="3" t="str">
        <f t="shared" si="13"/>
        <v>INELIGIBLE</v>
      </c>
      <c r="I184" s="3" t="str">
        <f t="shared" si="14"/>
        <v>Age</v>
      </c>
      <c r="K184" s="3" cm="1">
        <f t="array" ref="K1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4" s="5">
        <f>IF(RAW_DATA!C184&lt;300000,0,IF(RAW_DATA!C184&lt;600000,5,IF(RAW_DATA!C184&lt;1200000,15,IF(RAW_DATA!C184&lt;2000000,20,25))))</f>
        <v>15</v>
      </c>
      <c r="M184" s="3">
        <f>IF(RAW_DATA!E184&lt;1,0,IF(RAW_DATA!E184&lt;3,3,IF(RAW_DATA!E184&lt;5,5,IF(RAW_DATA!E184&lt;10,8,10))))</f>
        <v>3</v>
      </c>
      <c r="N184" s="3">
        <f>IF(RAW_DATA!F184&lt;650,0,IF(RAW_DATA!F184&lt;700,8,IF(RAW_DATA!F184&lt;750,15,IF(RAW_DATA!F184&lt;800,20,25))))</f>
        <v>8</v>
      </c>
      <c r="O184" s="3">
        <f>IF(RAW_DATA!G184=0,5,IF(RAW_DATA!G184=1,4,IF(RAW_DATA!G184=2,3,IF(RAW_DATA!G184=3,2,IF(RAW_DATA!G184=4,1,0)))))</f>
        <v>2</v>
      </c>
      <c r="P184" s="3">
        <f>IF(RAW_DATA!K184&gt;=RAW_DATA!H184,20,ROUND((RAW_DATA!K184/RAW_DATA!H184)*20,0))</f>
        <v>20</v>
      </c>
      <c r="Q184" s="3">
        <f>IF(RAW_DATA!L184="No",5,0)</f>
        <v>5</v>
      </c>
      <c r="R184" s="3">
        <f t="shared" si="15"/>
        <v>53</v>
      </c>
      <c r="S184" s="3">
        <f t="shared" si="16"/>
        <v>53</v>
      </c>
      <c r="T184" s="3" t="str">
        <f t="shared" si="17"/>
        <v>Not Scored - Ineligible</v>
      </c>
    </row>
    <row r="185" spans="1:20" x14ac:dyDescent="0.25">
      <c r="A185" s="3" t="str">
        <f>RAW_DATA!A185</f>
        <v>APP184</v>
      </c>
      <c r="B185" s="3" t="b">
        <f>AND(RAW_DATA!B185&gt;=21,RAW_DATA!B185&lt;=60)</f>
        <v>0</v>
      </c>
      <c r="C185" s="3" t="b">
        <f>RAW_DATA!C185&gt;=300000</f>
        <v>1</v>
      </c>
      <c r="D185" s="3" t="b">
        <f>RAW_DATA!F185&gt;=650</f>
        <v>0</v>
      </c>
      <c r="E185" s="3" t="b">
        <f>RAW_DATA!E185&gt;=1</f>
        <v>1</v>
      </c>
      <c r="F185" s="3" t="b">
        <f>RAW_DATA!L185="No"</f>
        <v>1</v>
      </c>
      <c r="G185" s="3" t="b">
        <f t="shared" si="12"/>
        <v>0</v>
      </c>
      <c r="H185" s="3" t="str">
        <f t="shared" si="13"/>
        <v>INELIGIBLE</v>
      </c>
      <c r="I185" s="3" t="str">
        <f t="shared" si="14"/>
        <v>Age, Credit Score</v>
      </c>
      <c r="K185" s="3" cm="1">
        <f t="array" ref="K1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5" s="5">
        <f>IF(RAW_DATA!C185&lt;300000,0,IF(RAW_DATA!C185&lt;600000,5,IF(RAW_DATA!C185&lt;1200000,15,IF(RAW_DATA!C185&lt;2000000,20,25))))</f>
        <v>20</v>
      </c>
      <c r="M185" s="3">
        <f>IF(RAW_DATA!E185&lt;1,0,IF(RAW_DATA!E185&lt;3,3,IF(RAW_DATA!E185&lt;5,5,IF(RAW_DATA!E185&lt;10,8,10))))</f>
        <v>10</v>
      </c>
      <c r="N185" s="3">
        <f>IF(RAW_DATA!F185&lt;650,0,IF(RAW_DATA!F185&lt;700,8,IF(RAW_DATA!F185&lt;750,15,IF(RAW_DATA!F185&lt;800,20,25))))</f>
        <v>0</v>
      </c>
      <c r="O185" s="3">
        <f>IF(RAW_DATA!G185=0,5,IF(RAW_DATA!G185=1,4,IF(RAW_DATA!G185=2,3,IF(RAW_DATA!G185=3,2,IF(RAW_DATA!G185=4,1,0)))))</f>
        <v>4</v>
      </c>
      <c r="P185" s="3">
        <f>IF(RAW_DATA!K185&gt;=RAW_DATA!H185,20,ROUND((RAW_DATA!K185/RAW_DATA!H185)*20,0))</f>
        <v>20</v>
      </c>
      <c r="Q185" s="3">
        <f>IF(RAW_DATA!L185="No",5,0)</f>
        <v>5</v>
      </c>
      <c r="R185" s="3">
        <f t="shared" si="15"/>
        <v>59</v>
      </c>
      <c r="S185" s="3">
        <f t="shared" si="16"/>
        <v>59</v>
      </c>
      <c r="T185" s="3" t="str">
        <f t="shared" si="17"/>
        <v>Not Scored - Ineligible</v>
      </c>
    </row>
    <row r="186" spans="1:20" x14ac:dyDescent="0.25">
      <c r="A186" s="3" t="str">
        <f>RAW_DATA!A186</f>
        <v>APP185</v>
      </c>
      <c r="B186" s="3" t="b">
        <f>AND(RAW_DATA!B186&gt;=21,RAW_DATA!B186&lt;=60)</f>
        <v>1</v>
      </c>
      <c r="C186" s="3" t="b">
        <f>RAW_DATA!C186&gt;=300000</f>
        <v>1</v>
      </c>
      <c r="D186" s="3" t="b">
        <f>RAW_DATA!F186&gt;=650</f>
        <v>0</v>
      </c>
      <c r="E186" s="3" t="b">
        <f>RAW_DATA!E186&gt;=1</f>
        <v>1</v>
      </c>
      <c r="F186" s="3" t="b">
        <f>RAW_DATA!L186="No"</f>
        <v>1</v>
      </c>
      <c r="G186" s="3" t="b">
        <f t="shared" si="12"/>
        <v>0</v>
      </c>
      <c r="H186" s="3" t="str">
        <f t="shared" si="13"/>
        <v>INELIGIBLE</v>
      </c>
      <c r="I186" s="3" t="str">
        <f t="shared" si="14"/>
        <v>Credit Score</v>
      </c>
      <c r="K186" s="3" cm="1">
        <f t="array" ref="K1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6" s="5">
        <f>IF(RAW_DATA!C186&lt;300000,0,IF(RAW_DATA!C186&lt;600000,5,IF(RAW_DATA!C186&lt;1200000,15,IF(RAW_DATA!C186&lt;2000000,20,25))))</f>
        <v>25</v>
      </c>
      <c r="M186" s="3">
        <f>IF(RAW_DATA!E186&lt;1,0,IF(RAW_DATA!E186&lt;3,3,IF(RAW_DATA!E186&lt;5,5,IF(RAW_DATA!E186&lt;10,8,10))))</f>
        <v>8</v>
      </c>
      <c r="N186" s="3">
        <f>IF(RAW_DATA!F186&lt;650,0,IF(RAW_DATA!F186&lt;700,8,IF(RAW_DATA!F186&lt;750,15,IF(RAW_DATA!F186&lt;800,20,25))))</f>
        <v>0</v>
      </c>
      <c r="O186" s="3">
        <f>IF(RAW_DATA!G186=0,5,IF(RAW_DATA!G186=1,4,IF(RAW_DATA!G186=2,3,IF(RAW_DATA!G186=3,2,IF(RAW_DATA!G186=4,1,0)))))</f>
        <v>2</v>
      </c>
      <c r="P186" s="3">
        <f>IF(RAW_DATA!K186&gt;=RAW_DATA!H186,20,ROUND((RAW_DATA!K186/RAW_DATA!H186)*20,0))</f>
        <v>20</v>
      </c>
      <c r="Q186" s="3">
        <f>IF(RAW_DATA!L186="No",5,0)</f>
        <v>5</v>
      </c>
      <c r="R186" s="3">
        <f t="shared" si="15"/>
        <v>68</v>
      </c>
      <c r="S186" s="3">
        <f t="shared" si="16"/>
        <v>68</v>
      </c>
      <c r="T186" s="3" t="str">
        <f t="shared" si="17"/>
        <v>Not Scored - Ineligible</v>
      </c>
    </row>
    <row r="187" spans="1:20" x14ac:dyDescent="0.25">
      <c r="A187" s="3" t="str">
        <f>RAW_DATA!A187</f>
        <v>APP186</v>
      </c>
      <c r="B187" s="3" t="b">
        <f>AND(RAW_DATA!B187&gt;=21,RAW_DATA!B187&lt;=60)</f>
        <v>1</v>
      </c>
      <c r="C187" s="3" t="b">
        <f>RAW_DATA!C187&gt;=300000</f>
        <v>1</v>
      </c>
      <c r="D187" s="3" t="b">
        <f>RAW_DATA!F187&gt;=650</f>
        <v>1</v>
      </c>
      <c r="E187" s="3" t="b">
        <f>RAW_DATA!E187&gt;=1</f>
        <v>1</v>
      </c>
      <c r="F187" s="3" t="b">
        <f>RAW_DATA!L187="No"</f>
        <v>1</v>
      </c>
      <c r="G187" s="3" t="b">
        <f t="shared" si="12"/>
        <v>1</v>
      </c>
      <c r="H187" s="3" t="str">
        <f t="shared" si="13"/>
        <v>ELIGIBLE</v>
      </c>
      <c r="I187" s="3" t="str">
        <f t="shared" si="14"/>
        <v/>
      </c>
      <c r="K187" s="3" cm="1">
        <f t="array" ref="K1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7" s="5">
        <f>IF(RAW_DATA!C187&lt;300000,0,IF(RAW_DATA!C187&lt;600000,5,IF(RAW_DATA!C187&lt;1200000,15,IF(RAW_DATA!C187&lt;2000000,20,25))))</f>
        <v>15</v>
      </c>
      <c r="M187" s="3">
        <f>IF(RAW_DATA!E187&lt;1,0,IF(RAW_DATA!E187&lt;3,3,IF(RAW_DATA!E187&lt;5,5,IF(RAW_DATA!E187&lt;10,8,10))))</f>
        <v>10</v>
      </c>
      <c r="N187" s="3">
        <f>IF(RAW_DATA!F187&lt;650,0,IF(RAW_DATA!F187&lt;700,8,IF(RAW_DATA!F187&lt;750,15,IF(RAW_DATA!F187&lt;800,20,25))))</f>
        <v>20</v>
      </c>
      <c r="O187" s="3">
        <f>IF(RAW_DATA!G187=0,5,IF(RAW_DATA!G187=1,4,IF(RAW_DATA!G187=2,3,IF(RAW_DATA!G187=3,2,IF(RAW_DATA!G187=4,1,0)))))</f>
        <v>4</v>
      </c>
      <c r="P187" s="3">
        <f>IF(RAW_DATA!K187&gt;=RAW_DATA!H187,20,ROUND((RAW_DATA!K187/RAW_DATA!H187)*20,0))</f>
        <v>12</v>
      </c>
      <c r="Q187" s="3">
        <f>IF(RAW_DATA!L187="No",5,0)</f>
        <v>5</v>
      </c>
      <c r="R187" s="3">
        <f t="shared" si="15"/>
        <v>73</v>
      </c>
      <c r="S187" s="3">
        <f t="shared" si="16"/>
        <v>73</v>
      </c>
      <c r="T187" s="3" t="str">
        <f t="shared" si="17"/>
        <v>Strong</v>
      </c>
    </row>
    <row r="188" spans="1:20" x14ac:dyDescent="0.25">
      <c r="A188" s="3" t="str">
        <f>RAW_DATA!A188</f>
        <v>APP187</v>
      </c>
      <c r="B188" s="3" t="b">
        <f>AND(RAW_DATA!B188&gt;=21,RAW_DATA!B188&lt;=60)</f>
        <v>1</v>
      </c>
      <c r="C188" s="3" t="b">
        <f>RAW_DATA!C188&gt;=300000</f>
        <v>1</v>
      </c>
      <c r="D188" s="3" t="b">
        <f>RAW_DATA!F188&gt;=650</f>
        <v>1</v>
      </c>
      <c r="E188" s="3" t="b">
        <f>RAW_DATA!E188&gt;=1</f>
        <v>1</v>
      </c>
      <c r="F188" s="3" t="b">
        <f>RAW_DATA!L188="No"</f>
        <v>1</v>
      </c>
      <c r="G188" s="3" t="b">
        <f t="shared" si="12"/>
        <v>1</v>
      </c>
      <c r="H188" s="3" t="str">
        <f t="shared" si="13"/>
        <v>ELIGIBLE</v>
      </c>
      <c r="I188" s="3" t="str">
        <f t="shared" si="14"/>
        <v/>
      </c>
      <c r="K188" s="3" cm="1">
        <f t="array" ref="K1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8" s="5">
        <f>IF(RAW_DATA!C188&lt;300000,0,IF(RAW_DATA!C188&lt;600000,5,IF(RAW_DATA!C188&lt;1200000,15,IF(RAW_DATA!C188&lt;2000000,20,25))))</f>
        <v>15</v>
      </c>
      <c r="M188" s="3">
        <f>IF(RAW_DATA!E188&lt;1,0,IF(RAW_DATA!E188&lt;3,3,IF(RAW_DATA!E188&lt;5,5,IF(RAW_DATA!E188&lt;10,8,10))))</f>
        <v>8</v>
      </c>
      <c r="N188" s="3">
        <f>IF(RAW_DATA!F188&lt;650,0,IF(RAW_DATA!F188&lt;700,8,IF(RAW_DATA!F188&lt;750,15,IF(RAW_DATA!F188&lt;800,20,25))))</f>
        <v>25</v>
      </c>
      <c r="O188" s="3">
        <f>IF(RAW_DATA!G188=0,5,IF(RAW_DATA!G188=1,4,IF(RAW_DATA!G188=2,3,IF(RAW_DATA!G188=3,2,IF(RAW_DATA!G188=4,1,0)))))</f>
        <v>0</v>
      </c>
      <c r="P188" s="3">
        <f>IF(RAW_DATA!K188&gt;=RAW_DATA!H188,20,ROUND((RAW_DATA!K188/RAW_DATA!H188)*20,0))</f>
        <v>15</v>
      </c>
      <c r="Q188" s="3">
        <f>IF(RAW_DATA!L188="No",5,0)</f>
        <v>5</v>
      </c>
      <c r="R188" s="3">
        <f t="shared" si="15"/>
        <v>76</v>
      </c>
      <c r="S188" s="3">
        <f t="shared" si="16"/>
        <v>76</v>
      </c>
      <c r="T188" s="3" t="str">
        <f t="shared" si="17"/>
        <v>Strong</v>
      </c>
    </row>
    <row r="189" spans="1:20" x14ac:dyDescent="0.25">
      <c r="A189" s="3" t="str">
        <f>RAW_DATA!A189</f>
        <v>APP188</v>
      </c>
      <c r="B189" s="3" t="b">
        <f>AND(RAW_DATA!B189&gt;=21,RAW_DATA!B189&lt;=60)</f>
        <v>1</v>
      </c>
      <c r="C189" s="3" t="b">
        <f>RAW_DATA!C189&gt;=300000</f>
        <v>1</v>
      </c>
      <c r="D189" s="3" t="b">
        <f>RAW_DATA!F189&gt;=650</f>
        <v>1</v>
      </c>
      <c r="E189" s="3" t="b">
        <f>RAW_DATA!E189&gt;=1</f>
        <v>1</v>
      </c>
      <c r="F189" s="3" t="b">
        <f>RAW_DATA!L189="No"</f>
        <v>1</v>
      </c>
      <c r="G189" s="3" t="b">
        <f t="shared" si="12"/>
        <v>1</v>
      </c>
      <c r="H189" s="3" t="str">
        <f t="shared" si="13"/>
        <v>ELIGIBLE</v>
      </c>
      <c r="I189" s="3" t="str">
        <f t="shared" si="14"/>
        <v/>
      </c>
      <c r="K189" s="3" cm="1">
        <f t="array" ref="K1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9" s="5">
        <f>IF(RAW_DATA!C189&lt;300000,0,IF(RAW_DATA!C189&lt;600000,5,IF(RAW_DATA!C189&lt;1200000,15,IF(RAW_DATA!C189&lt;2000000,20,25))))</f>
        <v>25</v>
      </c>
      <c r="M189" s="3">
        <f>IF(RAW_DATA!E189&lt;1,0,IF(RAW_DATA!E189&lt;3,3,IF(RAW_DATA!E189&lt;5,5,IF(RAW_DATA!E189&lt;10,8,10))))</f>
        <v>10</v>
      </c>
      <c r="N189" s="3">
        <f>IF(RAW_DATA!F189&lt;650,0,IF(RAW_DATA!F189&lt;700,8,IF(RAW_DATA!F189&lt;750,15,IF(RAW_DATA!F189&lt;800,20,25))))</f>
        <v>15</v>
      </c>
      <c r="O189" s="3">
        <f>IF(RAW_DATA!G189=0,5,IF(RAW_DATA!G189=1,4,IF(RAW_DATA!G189=2,3,IF(RAW_DATA!G189=3,2,IF(RAW_DATA!G189=4,1,0)))))</f>
        <v>3</v>
      </c>
      <c r="P189" s="3">
        <f>IF(RAW_DATA!K189&gt;=RAW_DATA!H189,20,ROUND((RAW_DATA!K189/RAW_DATA!H189)*20,0))</f>
        <v>20</v>
      </c>
      <c r="Q189" s="3">
        <f>IF(RAW_DATA!L189="No",5,0)</f>
        <v>5</v>
      </c>
      <c r="R189" s="3">
        <f t="shared" si="15"/>
        <v>85</v>
      </c>
      <c r="S189" s="3">
        <f t="shared" si="16"/>
        <v>85</v>
      </c>
      <c r="T189" s="3" t="str">
        <f t="shared" si="17"/>
        <v>Strong</v>
      </c>
    </row>
    <row r="190" spans="1:20" x14ac:dyDescent="0.25">
      <c r="A190" s="3" t="str">
        <f>RAW_DATA!A190</f>
        <v>APP189</v>
      </c>
      <c r="B190" s="3" t="b">
        <f>AND(RAW_DATA!B190&gt;=21,RAW_DATA!B190&lt;=60)</f>
        <v>0</v>
      </c>
      <c r="C190" s="3" t="b">
        <f>RAW_DATA!C190&gt;=300000</f>
        <v>1</v>
      </c>
      <c r="D190" s="3" t="b">
        <f>RAW_DATA!F190&gt;=650</f>
        <v>0</v>
      </c>
      <c r="E190" s="3" t="b">
        <f>RAW_DATA!E190&gt;=1</f>
        <v>1</v>
      </c>
      <c r="F190" s="3" t="b">
        <f>RAW_DATA!L190="No"</f>
        <v>0</v>
      </c>
      <c r="G190" s="3" t="b">
        <f t="shared" si="12"/>
        <v>0</v>
      </c>
      <c r="H190" s="3" t="str">
        <f t="shared" si="13"/>
        <v>INELIGIBLE</v>
      </c>
      <c r="I190" s="3" t="str">
        <f t="shared" si="14"/>
        <v>Age, Credit Score, Defaulter History</v>
      </c>
      <c r="K190" s="3" cm="1">
        <f t="array" ref="K1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0" s="5">
        <f>IF(RAW_DATA!C190&lt;300000,0,IF(RAW_DATA!C190&lt;600000,5,IF(RAW_DATA!C190&lt;1200000,15,IF(RAW_DATA!C190&lt;2000000,20,25))))</f>
        <v>20</v>
      </c>
      <c r="M190" s="3">
        <f>IF(RAW_DATA!E190&lt;1,0,IF(RAW_DATA!E190&lt;3,3,IF(RAW_DATA!E190&lt;5,5,IF(RAW_DATA!E190&lt;10,8,10))))</f>
        <v>3</v>
      </c>
      <c r="N190" s="3">
        <f>IF(RAW_DATA!F190&lt;650,0,IF(RAW_DATA!F190&lt;700,8,IF(RAW_DATA!F190&lt;750,15,IF(RAW_DATA!F190&lt;800,20,25))))</f>
        <v>0</v>
      </c>
      <c r="O190" s="3">
        <f>IF(RAW_DATA!G190=0,5,IF(RAW_DATA!G190=1,4,IF(RAW_DATA!G190=2,3,IF(RAW_DATA!G190=3,2,IF(RAW_DATA!G190=4,1,0)))))</f>
        <v>1</v>
      </c>
      <c r="P190" s="3">
        <f>IF(RAW_DATA!K190&gt;=RAW_DATA!H190,20,ROUND((RAW_DATA!K190/RAW_DATA!H190)*20,0))</f>
        <v>20</v>
      </c>
      <c r="Q190" s="3">
        <f>IF(RAW_DATA!L190="No",5,0)</f>
        <v>0</v>
      </c>
      <c r="R190" s="3">
        <f t="shared" si="15"/>
        <v>44</v>
      </c>
      <c r="S190" s="3">
        <f t="shared" si="16"/>
        <v>44</v>
      </c>
      <c r="T190" s="3" t="str">
        <f t="shared" si="17"/>
        <v>Not Scored - Ineligible</v>
      </c>
    </row>
    <row r="191" spans="1:20" x14ac:dyDescent="0.25">
      <c r="A191" s="3" t="str">
        <f>RAW_DATA!A191</f>
        <v>APP190</v>
      </c>
      <c r="B191" s="3" t="b">
        <f>AND(RAW_DATA!B191&gt;=21,RAW_DATA!B191&lt;=60)</f>
        <v>1</v>
      </c>
      <c r="C191" s="3" t="b">
        <f>RAW_DATA!C191&gt;=300000</f>
        <v>1</v>
      </c>
      <c r="D191" s="3" t="b">
        <f>RAW_DATA!F191&gt;=650</f>
        <v>0</v>
      </c>
      <c r="E191" s="3" t="b">
        <f>RAW_DATA!E191&gt;=1</f>
        <v>1</v>
      </c>
      <c r="F191" s="3" t="b">
        <f>RAW_DATA!L191="No"</f>
        <v>1</v>
      </c>
      <c r="G191" s="3" t="b">
        <f t="shared" si="12"/>
        <v>0</v>
      </c>
      <c r="H191" s="3" t="str">
        <f t="shared" si="13"/>
        <v>INELIGIBLE</v>
      </c>
      <c r="I191" s="3" t="str">
        <f t="shared" si="14"/>
        <v>Credit Score</v>
      </c>
      <c r="K191" s="3" cm="1">
        <f t="array" ref="K1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91" s="5">
        <f>IF(RAW_DATA!C191&lt;300000,0,IF(RAW_DATA!C191&lt;600000,5,IF(RAW_DATA!C191&lt;1200000,15,IF(RAW_DATA!C191&lt;2000000,20,25))))</f>
        <v>15</v>
      </c>
      <c r="M191" s="3">
        <f>IF(RAW_DATA!E191&lt;1,0,IF(RAW_DATA!E191&lt;3,3,IF(RAW_DATA!E191&lt;5,5,IF(RAW_DATA!E191&lt;10,8,10))))</f>
        <v>3</v>
      </c>
      <c r="N191" s="3">
        <f>IF(RAW_DATA!F191&lt;650,0,IF(RAW_DATA!F191&lt;700,8,IF(RAW_DATA!F191&lt;750,15,IF(RAW_DATA!F191&lt;800,20,25))))</f>
        <v>0</v>
      </c>
      <c r="O191" s="3">
        <f>IF(RAW_DATA!G191=0,5,IF(RAW_DATA!G191=1,4,IF(RAW_DATA!G191=2,3,IF(RAW_DATA!G191=3,2,IF(RAW_DATA!G191=4,1,0)))))</f>
        <v>2</v>
      </c>
      <c r="P191" s="3">
        <f>IF(RAW_DATA!K191&gt;=RAW_DATA!H191,20,ROUND((RAW_DATA!K191/RAW_DATA!H191)*20,0))</f>
        <v>6</v>
      </c>
      <c r="Q191" s="3">
        <f>IF(RAW_DATA!L191="No",5,0)</f>
        <v>5</v>
      </c>
      <c r="R191" s="3">
        <f t="shared" si="15"/>
        <v>37</v>
      </c>
      <c r="S191" s="3">
        <f t="shared" si="16"/>
        <v>37</v>
      </c>
      <c r="T191" s="3" t="str">
        <f t="shared" si="17"/>
        <v>Not Scored - Ineligible</v>
      </c>
    </row>
    <row r="192" spans="1:20" x14ac:dyDescent="0.25">
      <c r="A192" s="3" t="str">
        <f>RAW_DATA!A192</f>
        <v>APP191</v>
      </c>
      <c r="B192" s="3" t="b">
        <f>AND(RAW_DATA!B192&gt;=21,RAW_DATA!B192&lt;=60)</f>
        <v>1</v>
      </c>
      <c r="C192" s="3" t="b">
        <f>RAW_DATA!C192&gt;=300000</f>
        <v>1</v>
      </c>
      <c r="D192" s="3" t="b">
        <f>RAW_DATA!F192&gt;=650</f>
        <v>1</v>
      </c>
      <c r="E192" s="3" t="b">
        <f>RAW_DATA!E192&gt;=1</f>
        <v>1</v>
      </c>
      <c r="F192" s="3" t="b">
        <f>RAW_DATA!L192="No"</f>
        <v>1</v>
      </c>
      <c r="G192" s="3" t="b">
        <f t="shared" si="12"/>
        <v>1</v>
      </c>
      <c r="H192" s="3" t="str">
        <f t="shared" si="13"/>
        <v>ELIGIBLE</v>
      </c>
      <c r="I192" s="3" t="str">
        <f t="shared" si="14"/>
        <v/>
      </c>
      <c r="K192" s="3" cm="1">
        <f t="array" ref="K1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92" s="5">
        <f>IF(RAW_DATA!C192&lt;300000,0,IF(RAW_DATA!C192&lt;600000,5,IF(RAW_DATA!C192&lt;1200000,15,IF(RAW_DATA!C192&lt;2000000,20,25))))</f>
        <v>25</v>
      </c>
      <c r="M192" s="3">
        <f>IF(RAW_DATA!E192&lt;1,0,IF(RAW_DATA!E192&lt;3,3,IF(RAW_DATA!E192&lt;5,5,IF(RAW_DATA!E192&lt;10,8,10))))</f>
        <v>10</v>
      </c>
      <c r="N192" s="3">
        <f>IF(RAW_DATA!F192&lt;650,0,IF(RAW_DATA!F192&lt;700,8,IF(RAW_DATA!F192&lt;750,15,IF(RAW_DATA!F192&lt;800,20,25))))</f>
        <v>25</v>
      </c>
      <c r="O192" s="3">
        <f>IF(RAW_DATA!G192=0,5,IF(RAW_DATA!G192=1,4,IF(RAW_DATA!G192=2,3,IF(RAW_DATA!G192=3,2,IF(RAW_DATA!G192=4,1,0)))))</f>
        <v>0</v>
      </c>
      <c r="P192" s="3">
        <f>IF(RAW_DATA!K192&gt;=RAW_DATA!H192,20,ROUND((RAW_DATA!K192/RAW_DATA!H192)*20,0))</f>
        <v>20</v>
      </c>
      <c r="Q192" s="3">
        <f>IF(RAW_DATA!L192="No",5,0)</f>
        <v>5</v>
      </c>
      <c r="R192" s="3">
        <f t="shared" si="15"/>
        <v>89</v>
      </c>
      <c r="S192" s="3">
        <f t="shared" si="16"/>
        <v>89</v>
      </c>
      <c r="T192" s="3" t="str">
        <f t="shared" si="17"/>
        <v>Strong</v>
      </c>
    </row>
    <row r="193" spans="1:20" x14ac:dyDescent="0.25">
      <c r="A193" s="3" t="str">
        <f>RAW_DATA!A193</f>
        <v>APP192</v>
      </c>
      <c r="B193" s="3" t="b">
        <f>AND(RAW_DATA!B193&gt;=21,RAW_DATA!B193&lt;=60)</f>
        <v>1</v>
      </c>
      <c r="C193" s="3" t="b">
        <f>RAW_DATA!C193&gt;=300000</f>
        <v>1</v>
      </c>
      <c r="D193" s="3" t="b">
        <f>RAW_DATA!F193&gt;=650</f>
        <v>0</v>
      </c>
      <c r="E193" s="3" t="b">
        <f>RAW_DATA!E193&gt;=1</f>
        <v>1</v>
      </c>
      <c r="F193" s="3" t="b">
        <f>RAW_DATA!L193="No"</f>
        <v>1</v>
      </c>
      <c r="G193" s="3" t="b">
        <f t="shared" si="12"/>
        <v>0</v>
      </c>
      <c r="H193" s="3" t="str">
        <f t="shared" si="13"/>
        <v>INELIGIBLE</v>
      </c>
      <c r="I193" s="3" t="str">
        <f t="shared" si="14"/>
        <v>Credit Score</v>
      </c>
      <c r="K193" s="3" cm="1">
        <f t="array" ref="K1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3" s="5">
        <f>IF(RAW_DATA!C193&lt;300000,0,IF(RAW_DATA!C193&lt;600000,5,IF(RAW_DATA!C193&lt;1200000,15,IF(RAW_DATA!C193&lt;2000000,20,25))))</f>
        <v>15</v>
      </c>
      <c r="M193" s="3">
        <f>IF(RAW_DATA!E193&lt;1,0,IF(RAW_DATA!E193&lt;3,3,IF(RAW_DATA!E193&lt;5,5,IF(RAW_DATA!E193&lt;10,8,10))))</f>
        <v>10</v>
      </c>
      <c r="N193" s="3">
        <f>IF(RAW_DATA!F193&lt;650,0,IF(RAW_DATA!F193&lt;700,8,IF(RAW_DATA!F193&lt;750,15,IF(RAW_DATA!F193&lt;800,20,25))))</f>
        <v>0</v>
      </c>
      <c r="O193" s="3">
        <f>IF(RAW_DATA!G193=0,5,IF(RAW_DATA!G193=1,4,IF(RAW_DATA!G193=2,3,IF(RAW_DATA!G193=3,2,IF(RAW_DATA!G193=4,1,0)))))</f>
        <v>4</v>
      </c>
      <c r="P193" s="3">
        <f>IF(RAW_DATA!K193&gt;=RAW_DATA!H193,20,ROUND((RAW_DATA!K193/RAW_DATA!H193)*20,0))</f>
        <v>20</v>
      </c>
      <c r="Q193" s="3">
        <f>IF(RAW_DATA!L193="No",5,0)</f>
        <v>5</v>
      </c>
      <c r="R193" s="3">
        <f t="shared" si="15"/>
        <v>62</v>
      </c>
      <c r="S193" s="3">
        <f t="shared" si="16"/>
        <v>62</v>
      </c>
      <c r="T193" s="3" t="str">
        <f t="shared" si="17"/>
        <v>Not Scored - Ineligible</v>
      </c>
    </row>
    <row r="194" spans="1:20" x14ac:dyDescent="0.25">
      <c r="A194" s="3" t="str">
        <f>RAW_DATA!A194</f>
        <v>APP193</v>
      </c>
      <c r="B194" s="3" t="b">
        <f>AND(RAW_DATA!B194&gt;=21,RAW_DATA!B194&lt;=60)</f>
        <v>1</v>
      </c>
      <c r="C194" s="3" t="b">
        <f>RAW_DATA!C194&gt;=300000</f>
        <v>1</v>
      </c>
      <c r="D194" s="3" t="b">
        <f>RAW_DATA!F194&gt;=650</f>
        <v>1</v>
      </c>
      <c r="E194" s="3" t="b">
        <f>RAW_DATA!E194&gt;=1</f>
        <v>1</v>
      </c>
      <c r="F194" s="3" t="b">
        <f>RAW_DATA!L194="No"</f>
        <v>1</v>
      </c>
      <c r="G194" s="3" t="b">
        <f t="shared" si="12"/>
        <v>1</v>
      </c>
      <c r="H194" s="3" t="str">
        <f t="shared" si="13"/>
        <v>ELIGIBLE</v>
      </c>
      <c r="I194" s="3" t="str">
        <f t="shared" si="14"/>
        <v/>
      </c>
      <c r="K194" s="3" cm="1">
        <f t="array" ref="K1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4" s="5">
        <f>IF(RAW_DATA!C194&lt;300000,0,IF(RAW_DATA!C194&lt;600000,5,IF(RAW_DATA!C194&lt;1200000,15,IF(RAW_DATA!C194&lt;2000000,20,25))))</f>
        <v>25</v>
      </c>
      <c r="M194" s="3">
        <f>IF(RAW_DATA!E194&lt;1,0,IF(RAW_DATA!E194&lt;3,3,IF(RAW_DATA!E194&lt;5,5,IF(RAW_DATA!E194&lt;10,8,10))))</f>
        <v>10</v>
      </c>
      <c r="N194" s="3">
        <f>IF(RAW_DATA!F194&lt;650,0,IF(RAW_DATA!F194&lt;700,8,IF(RAW_DATA!F194&lt;750,15,IF(RAW_DATA!F194&lt;800,20,25))))</f>
        <v>25</v>
      </c>
      <c r="O194" s="3">
        <f>IF(RAW_DATA!G194=0,5,IF(RAW_DATA!G194=1,4,IF(RAW_DATA!G194=2,3,IF(RAW_DATA!G194=3,2,IF(RAW_DATA!G194=4,1,0)))))</f>
        <v>5</v>
      </c>
      <c r="P194" s="3">
        <f>IF(RAW_DATA!K194&gt;=RAW_DATA!H194,20,ROUND((RAW_DATA!K194/RAW_DATA!H194)*20,0))</f>
        <v>20</v>
      </c>
      <c r="Q194" s="3">
        <f>IF(RAW_DATA!L194="No",5,0)</f>
        <v>5</v>
      </c>
      <c r="R194" s="3">
        <f t="shared" si="15"/>
        <v>98</v>
      </c>
      <c r="S194" s="3">
        <f t="shared" si="16"/>
        <v>98</v>
      </c>
      <c r="T194" s="3" t="str">
        <f t="shared" si="17"/>
        <v>Strong</v>
      </c>
    </row>
    <row r="195" spans="1:20" x14ac:dyDescent="0.25">
      <c r="A195" s="3" t="str">
        <f>RAW_DATA!A195</f>
        <v>APP194</v>
      </c>
      <c r="B195" s="3" t="b">
        <f>AND(RAW_DATA!B195&gt;=21,RAW_DATA!B195&lt;=60)</f>
        <v>1</v>
      </c>
      <c r="C195" s="3" t="b">
        <f>RAW_DATA!C195&gt;=300000</f>
        <v>1</v>
      </c>
      <c r="D195" s="3" t="b">
        <f>RAW_DATA!F195&gt;=650</f>
        <v>1</v>
      </c>
      <c r="E195" s="3" t="b">
        <f>RAW_DATA!E195&gt;=1</f>
        <v>1</v>
      </c>
      <c r="F195" s="3" t="b">
        <f>RAW_DATA!L195="No"</f>
        <v>0</v>
      </c>
      <c r="G195" s="3" t="b">
        <f t="shared" ref="G195:G258" si="18">AND(B195:F195)</f>
        <v>0</v>
      </c>
      <c r="H195" s="3" t="str">
        <f t="shared" ref="H195:H258" si="19">IF(G195,"ELIGIBLE","INELIGIBLE")</f>
        <v>INELIGIBLE</v>
      </c>
      <c r="I195" s="3" t="str">
        <f t="shared" ref="I195:I258" si="20">IF(G195,"",_xlfn.TEXTJOIN(", ",TRUE,IF(B195,"","Age"),IF(C195,"","Income"),IF(D195,"","Credit Score"),IF(E195,"","Employment"),IF(F195,"","Defaulter History")))</f>
        <v>Defaulter History</v>
      </c>
      <c r="K195" s="3" cm="1">
        <f t="array" ref="K1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5" s="5">
        <f>IF(RAW_DATA!C195&lt;300000,0,IF(RAW_DATA!C195&lt;600000,5,IF(RAW_DATA!C195&lt;1200000,15,IF(RAW_DATA!C195&lt;2000000,20,25))))</f>
        <v>5</v>
      </c>
      <c r="M195" s="3">
        <f>IF(RAW_DATA!E195&lt;1,0,IF(RAW_DATA!E195&lt;3,3,IF(RAW_DATA!E195&lt;5,5,IF(RAW_DATA!E195&lt;10,8,10))))</f>
        <v>10</v>
      </c>
      <c r="N195" s="3">
        <f>IF(RAW_DATA!F195&lt;650,0,IF(RAW_DATA!F195&lt;700,8,IF(RAW_DATA!F195&lt;750,15,IF(RAW_DATA!F195&lt;800,20,25))))</f>
        <v>25</v>
      </c>
      <c r="O195" s="3">
        <f>IF(RAW_DATA!G195=0,5,IF(RAW_DATA!G195=1,4,IF(RAW_DATA!G195=2,3,IF(RAW_DATA!G195=3,2,IF(RAW_DATA!G195=4,1,0)))))</f>
        <v>3</v>
      </c>
      <c r="P195" s="3">
        <f>IF(RAW_DATA!K195&gt;=RAW_DATA!H195,20,ROUND((RAW_DATA!K195/RAW_DATA!H195)*20,0))</f>
        <v>20</v>
      </c>
      <c r="Q195" s="3">
        <f>IF(RAW_DATA!L195="No",5,0)</f>
        <v>0</v>
      </c>
      <c r="R195" s="3">
        <f t="shared" ref="R195:R258" si="21">K195+L195+M195+N195+O195+P195+Q195</f>
        <v>71</v>
      </c>
      <c r="S195" s="3">
        <f t="shared" ref="S195:S258" si="22">R195</f>
        <v>71</v>
      </c>
      <c r="T195" s="3" t="str">
        <f t="shared" ref="T195:T258" si="23">IF(H195="INELIGIBLE","Not Scored - Ineligible",IF(S195&gt;=70,"Strong",IF(S195&gt;=50,"Moderate","Weak")))</f>
        <v>Not Scored - Ineligible</v>
      </c>
    </row>
    <row r="196" spans="1:20" x14ac:dyDescent="0.25">
      <c r="A196" s="3" t="str">
        <f>RAW_DATA!A196</f>
        <v>APP195</v>
      </c>
      <c r="B196" s="3" t="b">
        <f>AND(RAW_DATA!B196&gt;=21,RAW_DATA!B196&lt;=60)</f>
        <v>0</v>
      </c>
      <c r="C196" s="3" t="b">
        <f>RAW_DATA!C196&gt;=300000</f>
        <v>1</v>
      </c>
      <c r="D196" s="3" t="b">
        <f>RAW_DATA!F196&gt;=650</f>
        <v>0</v>
      </c>
      <c r="E196" s="3" t="b">
        <f>RAW_DATA!E196&gt;=1</f>
        <v>1</v>
      </c>
      <c r="F196" s="3" t="b">
        <f>RAW_DATA!L196="No"</f>
        <v>1</v>
      </c>
      <c r="G196" s="3" t="b">
        <f t="shared" si="18"/>
        <v>0</v>
      </c>
      <c r="H196" s="3" t="str">
        <f t="shared" si="19"/>
        <v>INELIGIBLE</v>
      </c>
      <c r="I196" s="3" t="str">
        <f t="shared" si="20"/>
        <v>Age, Credit Score</v>
      </c>
      <c r="K196" s="3" cm="1">
        <f t="array" ref="K1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6" s="5">
        <f>IF(RAW_DATA!C196&lt;300000,0,IF(RAW_DATA!C196&lt;600000,5,IF(RAW_DATA!C196&lt;1200000,15,IF(RAW_DATA!C196&lt;2000000,20,25))))</f>
        <v>20</v>
      </c>
      <c r="M196" s="3">
        <f>IF(RAW_DATA!E196&lt;1,0,IF(RAW_DATA!E196&lt;3,3,IF(RAW_DATA!E196&lt;5,5,IF(RAW_DATA!E196&lt;10,8,10))))</f>
        <v>10</v>
      </c>
      <c r="N196" s="3">
        <f>IF(RAW_DATA!F196&lt;650,0,IF(RAW_DATA!F196&lt;700,8,IF(RAW_DATA!F196&lt;750,15,IF(RAW_DATA!F196&lt;800,20,25))))</f>
        <v>0</v>
      </c>
      <c r="O196" s="3">
        <f>IF(RAW_DATA!G196=0,5,IF(RAW_DATA!G196=1,4,IF(RAW_DATA!G196=2,3,IF(RAW_DATA!G196=3,2,IF(RAW_DATA!G196=4,1,0)))))</f>
        <v>3</v>
      </c>
      <c r="P196" s="3">
        <f>IF(RAW_DATA!K196&gt;=RAW_DATA!H196,20,ROUND((RAW_DATA!K196/RAW_DATA!H196)*20,0))</f>
        <v>17</v>
      </c>
      <c r="Q196" s="3">
        <f>IF(RAW_DATA!L196="No",5,0)</f>
        <v>5</v>
      </c>
      <c r="R196" s="3">
        <f t="shared" si="21"/>
        <v>55</v>
      </c>
      <c r="S196" s="3">
        <f t="shared" si="22"/>
        <v>55</v>
      </c>
      <c r="T196" s="3" t="str">
        <f t="shared" si="23"/>
        <v>Not Scored - Ineligible</v>
      </c>
    </row>
    <row r="197" spans="1:20" x14ac:dyDescent="0.25">
      <c r="A197" s="3" t="str">
        <f>RAW_DATA!A197</f>
        <v>APP196</v>
      </c>
      <c r="B197" s="3" t="b">
        <f>AND(RAW_DATA!B197&gt;=21,RAW_DATA!B197&lt;=60)</f>
        <v>1</v>
      </c>
      <c r="C197" s="3" t="b">
        <f>RAW_DATA!C197&gt;=300000</f>
        <v>1</v>
      </c>
      <c r="D197" s="3" t="b">
        <f>RAW_DATA!F197&gt;=650</f>
        <v>0</v>
      </c>
      <c r="E197" s="3" t="b">
        <f>RAW_DATA!E197&gt;=1</f>
        <v>1</v>
      </c>
      <c r="F197" s="3" t="b">
        <f>RAW_DATA!L197="No"</f>
        <v>1</v>
      </c>
      <c r="G197" s="3" t="b">
        <f t="shared" si="18"/>
        <v>0</v>
      </c>
      <c r="H197" s="3" t="str">
        <f t="shared" si="19"/>
        <v>INELIGIBLE</v>
      </c>
      <c r="I197" s="3" t="str">
        <f t="shared" si="20"/>
        <v>Credit Score</v>
      </c>
      <c r="K197" s="3" cm="1">
        <f t="array" ref="K1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7" s="5">
        <f>IF(RAW_DATA!C197&lt;300000,0,IF(RAW_DATA!C197&lt;600000,5,IF(RAW_DATA!C197&lt;1200000,15,IF(RAW_DATA!C197&lt;2000000,20,25))))</f>
        <v>20</v>
      </c>
      <c r="M197" s="3">
        <f>IF(RAW_DATA!E197&lt;1,0,IF(RAW_DATA!E197&lt;3,3,IF(RAW_DATA!E197&lt;5,5,IF(RAW_DATA!E197&lt;10,8,10))))</f>
        <v>10</v>
      </c>
      <c r="N197" s="3">
        <f>IF(RAW_DATA!F197&lt;650,0,IF(RAW_DATA!F197&lt;700,8,IF(RAW_DATA!F197&lt;750,15,IF(RAW_DATA!F197&lt;800,20,25))))</f>
        <v>0</v>
      </c>
      <c r="O197" s="3">
        <f>IF(RAW_DATA!G197=0,5,IF(RAW_DATA!G197=1,4,IF(RAW_DATA!G197=2,3,IF(RAW_DATA!G197=3,2,IF(RAW_DATA!G197=4,1,0)))))</f>
        <v>2</v>
      </c>
      <c r="P197" s="3">
        <f>IF(RAW_DATA!K197&gt;=RAW_DATA!H197,20,ROUND((RAW_DATA!K197/RAW_DATA!H197)*20,0))</f>
        <v>18</v>
      </c>
      <c r="Q197" s="3">
        <f>IF(RAW_DATA!L197="No",5,0)</f>
        <v>5</v>
      </c>
      <c r="R197" s="3">
        <f t="shared" si="21"/>
        <v>63</v>
      </c>
      <c r="S197" s="3">
        <f t="shared" si="22"/>
        <v>63</v>
      </c>
      <c r="T197" s="3" t="str">
        <f t="shared" si="23"/>
        <v>Not Scored - Ineligible</v>
      </c>
    </row>
    <row r="198" spans="1:20" x14ac:dyDescent="0.25">
      <c r="A198" s="3" t="str">
        <f>RAW_DATA!A198</f>
        <v>APP197</v>
      </c>
      <c r="B198" s="3" t="b">
        <f>AND(RAW_DATA!B198&gt;=21,RAW_DATA!B198&lt;=60)</f>
        <v>1</v>
      </c>
      <c r="C198" s="3" t="b">
        <f>RAW_DATA!C198&gt;=300000</f>
        <v>1</v>
      </c>
      <c r="D198" s="3" t="b">
        <f>RAW_DATA!F198&gt;=650</f>
        <v>1</v>
      </c>
      <c r="E198" s="3" t="b">
        <f>RAW_DATA!E198&gt;=1</f>
        <v>1</v>
      </c>
      <c r="F198" s="3" t="b">
        <f>RAW_DATA!L198="No"</f>
        <v>1</v>
      </c>
      <c r="G198" s="3" t="b">
        <f t="shared" si="18"/>
        <v>1</v>
      </c>
      <c r="H198" s="3" t="str">
        <f t="shared" si="19"/>
        <v>ELIGIBLE</v>
      </c>
      <c r="I198" s="3" t="str">
        <f t="shared" si="20"/>
        <v/>
      </c>
      <c r="K198" s="3" cm="1">
        <f t="array" ref="K1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8" s="5">
        <f>IF(RAW_DATA!C198&lt;300000,0,IF(RAW_DATA!C198&lt;600000,5,IF(RAW_DATA!C198&lt;1200000,15,IF(RAW_DATA!C198&lt;2000000,20,25))))</f>
        <v>15</v>
      </c>
      <c r="M198" s="3">
        <f>IF(RAW_DATA!E198&lt;1,0,IF(RAW_DATA!E198&lt;3,3,IF(RAW_DATA!E198&lt;5,5,IF(RAW_DATA!E198&lt;10,8,10))))</f>
        <v>10</v>
      </c>
      <c r="N198" s="3">
        <f>IF(RAW_DATA!F198&lt;650,0,IF(RAW_DATA!F198&lt;700,8,IF(RAW_DATA!F198&lt;750,15,IF(RAW_DATA!F198&lt;800,20,25))))</f>
        <v>25</v>
      </c>
      <c r="O198" s="3">
        <f>IF(RAW_DATA!G198=0,5,IF(RAW_DATA!G198=1,4,IF(RAW_DATA!G198=2,3,IF(RAW_DATA!G198=3,2,IF(RAW_DATA!G198=4,1,0)))))</f>
        <v>3</v>
      </c>
      <c r="P198" s="3">
        <f>IF(RAW_DATA!K198&gt;=RAW_DATA!H198,20,ROUND((RAW_DATA!K198/RAW_DATA!H198)*20,0))</f>
        <v>20</v>
      </c>
      <c r="Q198" s="3">
        <f>IF(RAW_DATA!L198="No",5,0)</f>
        <v>5</v>
      </c>
      <c r="R198" s="3">
        <f t="shared" si="21"/>
        <v>86</v>
      </c>
      <c r="S198" s="3">
        <f t="shared" si="22"/>
        <v>86</v>
      </c>
      <c r="T198" s="3" t="str">
        <f t="shared" si="23"/>
        <v>Strong</v>
      </c>
    </row>
    <row r="199" spans="1:20" x14ac:dyDescent="0.25">
      <c r="A199" s="3" t="str">
        <f>RAW_DATA!A199</f>
        <v>APP198</v>
      </c>
      <c r="B199" s="3" t="b">
        <f>AND(RAW_DATA!B199&gt;=21,RAW_DATA!B199&lt;=60)</f>
        <v>1</v>
      </c>
      <c r="C199" s="3" t="b">
        <f>RAW_DATA!C199&gt;=300000</f>
        <v>1</v>
      </c>
      <c r="D199" s="3" t="b">
        <f>RAW_DATA!F199&gt;=650</f>
        <v>1</v>
      </c>
      <c r="E199" s="3" t="b">
        <f>RAW_DATA!E199&gt;=1</f>
        <v>1</v>
      </c>
      <c r="F199" s="3" t="b">
        <f>RAW_DATA!L199="No"</f>
        <v>1</v>
      </c>
      <c r="G199" s="3" t="b">
        <f t="shared" si="18"/>
        <v>1</v>
      </c>
      <c r="H199" s="3" t="str">
        <f t="shared" si="19"/>
        <v>ELIGIBLE</v>
      </c>
      <c r="I199" s="3" t="str">
        <f t="shared" si="20"/>
        <v/>
      </c>
      <c r="K199" s="3" cm="1">
        <f t="array" ref="K1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9" s="5">
        <f>IF(RAW_DATA!C199&lt;300000,0,IF(RAW_DATA!C199&lt;600000,5,IF(RAW_DATA!C199&lt;1200000,15,IF(RAW_DATA!C199&lt;2000000,20,25))))</f>
        <v>20</v>
      </c>
      <c r="M199" s="3">
        <f>IF(RAW_DATA!E199&lt;1,0,IF(RAW_DATA!E199&lt;3,3,IF(RAW_DATA!E199&lt;5,5,IF(RAW_DATA!E199&lt;10,8,10))))</f>
        <v>10</v>
      </c>
      <c r="N199" s="3">
        <f>IF(RAW_DATA!F199&lt;650,0,IF(RAW_DATA!F199&lt;700,8,IF(RAW_DATA!F199&lt;750,15,IF(RAW_DATA!F199&lt;800,20,25))))</f>
        <v>15</v>
      </c>
      <c r="O199" s="3">
        <f>IF(RAW_DATA!G199=0,5,IF(RAW_DATA!G199=1,4,IF(RAW_DATA!G199=2,3,IF(RAW_DATA!G199=3,2,IF(RAW_DATA!G199=4,1,0)))))</f>
        <v>1</v>
      </c>
      <c r="P199" s="3">
        <f>IF(RAW_DATA!K199&gt;=RAW_DATA!H199,20,ROUND((RAW_DATA!K199/RAW_DATA!H199)*20,0))</f>
        <v>20</v>
      </c>
      <c r="Q199" s="3">
        <f>IF(RAW_DATA!L199="No",5,0)</f>
        <v>5</v>
      </c>
      <c r="R199" s="3">
        <f t="shared" si="21"/>
        <v>78</v>
      </c>
      <c r="S199" s="3">
        <f t="shared" si="22"/>
        <v>78</v>
      </c>
      <c r="T199" s="3" t="str">
        <f t="shared" si="23"/>
        <v>Strong</v>
      </c>
    </row>
    <row r="200" spans="1:20" x14ac:dyDescent="0.25">
      <c r="A200" s="3" t="str">
        <f>RAW_DATA!A200</f>
        <v>APP199</v>
      </c>
      <c r="B200" s="3" t="b">
        <f>AND(RAW_DATA!B200&gt;=21,RAW_DATA!B200&lt;=60)</f>
        <v>1</v>
      </c>
      <c r="C200" s="3" t="b">
        <f>RAW_DATA!C200&gt;=300000</f>
        <v>1</v>
      </c>
      <c r="D200" s="3" t="b">
        <f>RAW_DATA!F200&gt;=650</f>
        <v>1</v>
      </c>
      <c r="E200" s="3" t="b">
        <f>RAW_DATA!E200&gt;=1</f>
        <v>1</v>
      </c>
      <c r="F200" s="3" t="b">
        <f>RAW_DATA!L200="No"</f>
        <v>0</v>
      </c>
      <c r="G200" s="3" t="b">
        <f t="shared" si="18"/>
        <v>0</v>
      </c>
      <c r="H200" s="3" t="str">
        <f t="shared" si="19"/>
        <v>INELIGIBLE</v>
      </c>
      <c r="I200" s="3" t="str">
        <f t="shared" si="20"/>
        <v>Defaulter History</v>
      </c>
      <c r="K200" s="3" cm="1">
        <f t="array" ref="K2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0" s="5">
        <f>IF(RAW_DATA!C200&lt;300000,0,IF(RAW_DATA!C200&lt;600000,5,IF(RAW_DATA!C200&lt;1200000,15,IF(RAW_DATA!C200&lt;2000000,20,25))))</f>
        <v>5</v>
      </c>
      <c r="M200" s="3">
        <f>IF(RAW_DATA!E200&lt;1,0,IF(RAW_DATA!E200&lt;3,3,IF(RAW_DATA!E200&lt;5,5,IF(RAW_DATA!E200&lt;10,8,10))))</f>
        <v>10</v>
      </c>
      <c r="N200" s="3">
        <f>IF(RAW_DATA!F200&lt;650,0,IF(RAW_DATA!F200&lt;700,8,IF(RAW_DATA!F200&lt;750,15,IF(RAW_DATA!F200&lt;800,20,25))))</f>
        <v>8</v>
      </c>
      <c r="O200" s="3">
        <f>IF(RAW_DATA!G200=0,5,IF(RAW_DATA!G200=1,4,IF(RAW_DATA!G200=2,3,IF(RAW_DATA!G200=3,2,IF(RAW_DATA!G200=4,1,0)))))</f>
        <v>5</v>
      </c>
      <c r="P200" s="3">
        <f>IF(RAW_DATA!K200&gt;=RAW_DATA!H200,20,ROUND((RAW_DATA!K200/RAW_DATA!H200)*20,0))</f>
        <v>7</v>
      </c>
      <c r="Q200" s="3">
        <f>IF(RAW_DATA!L200="No",5,0)</f>
        <v>0</v>
      </c>
      <c r="R200" s="3">
        <f t="shared" si="21"/>
        <v>42</v>
      </c>
      <c r="S200" s="3">
        <f t="shared" si="22"/>
        <v>42</v>
      </c>
      <c r="T200" s="3" t="str">
        <f t="shared" si="23"/>
        <v>Not Scored - Ineligible</v>
      </c>
    </row>
    <row r="201" spans="1:20" x14ac:dyDescent="0.25">
      <c r="A201" s="3" t="str">
        <f>RAW_DATA!A201</f>
        <v>APP200</v>
      </c>
      <c r="B201" s="3" t="b">
        <f>AND(RAW_DATA!B201&gt;=21,RAW_DATA!B201&lt;=60)</f>
        <v>1</v>
      </c>
      <c r="C201" s="3" t="b">
        <f>RAW_DATA!C201&gt;=300000</f>
        <v>1</v>
      </c>
      <c r="D201" s="3" t="b">
        <f>RAW_DATA!F201&gt;=650</f>
        <v>0</v>
      </c>
      <c r="E201" s="3" t="b">
        <f>RAW_DATA!E201&gt;=1</f>
        <v>1</v>
      </c>
      <c r="F201" s="3" t="b">
        <f>RAW_DATA!L201="No"</f>
        <v>0</v>
      </c>
      <c r="G201" s="3" t="b">
        <f t="shared" si="18"/>
        <v>0</v>
      </c>
      <c r="H201" s="3" t="str">
        <f t="shared" si="19"/>
        <v>INELIGIBLE</v>
      </c>
      <c r="I201" s="3" t="str">
        <f t="shared" si="20"/>
        <v>Credit Score, Defaulter History</v>
      </c>
      <c r="K201" s="3" cm="1">
        <f t="array" ref="K2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1" s="5">
        <f>IF(RAW_DATA!C201&lt;300000,0,IF(RAW_DATA!C201&lt;600000,5,IF(RAW_DATA!C201&lt;1200000,15,IF(RAW_DATA!C201&lt;2000000,20,25))))</f>
        <v>5</v>
      </c>
      <c r="M201" s="3">
        <f>IF(RAW_DATA!E201&lt;1,0,IF(RAW_DATA!E201&lt;3,3,IF(RAW_DATA!E201&lt;5,5,IF(RAW_DATA!E201&lt;10,8,10))))</f>
        <v>10</v>
      </c>
      <c r="N201" s="3">
        <f>IF(RAW_DATA!F201&lt;650,0,IF(RAW_DATA!F201&lt;700,8,IF(RAW_DATA!F201&lt;750,15,IF(RAW_DATA!F201&lt;800,20,25))))</f>
        <v>0</v>
      </c>
      <c r="O201" s="3">
        <f>IF(RAW_DATA!G201=0,5,IF(RAW_DATA!G201=1,4,IF(RAW_DATA!G201=2,3,IF(RAW_DATA!G201=3,2,IF(RAW_DATA!G201=4,1,0)))))</f>
        <v>0</v>
      </c>
      <c r="P201" s="3">
        <f>IF(RAW_DATA!K201&gt;=RAW_DATA!H201,20,ROUND((RAW_DATA!K201/RAW_DATA!H201)*20,0))</f>
        <v>13</v>
      </c>
      <c r="Q201" s="3">
        <f>IF(RAW_DATA!L201="No",5,0)</f>
        <v>0</v>
      </c>
      <c r="R201" s="3">
        <f t="shared" si="21"/>
        <v>38</v>
      </c>
      <c r="S201" s="3">
        <f t="shared" si="22"/>
        <v>38</v>
      </c>
      <c r="T201" s="3" t="str">
        <f t="shared" si="23"/>
        <v>Not Scored - Ineligible</v>
      </c>
    </row>
    <row r="202" spans="1:20" x14ac:dyDescent="0.25">
      <c r="A202" s="3" t="str">
        <f>RAW_DATA!A202</f>
        <v>APP201</v>
      </c>
      <c r="B202" s="3" t="b">
        <f>AND(RAW_DATA!B202&gt;=21,RAW_DATA!B202&lt;=60)</f>
        <v>1</v>
      </c>
      <c r="C202" s="3" t="b">
        <f>RAW_DATA!C202&gt;=300000</f>
        <v>1</v>
      </c>
      <c r="D202" s="3" t="b">
        <f>RAW_DATA!F202&gt;=650</f>
        <v>0</v>
      </c>
      <c r="E202" s="3" t="b">
        <f>RAW_DATA!E202&gt;=1</f>
        <v>1</v>
      </c>
      <c r="F202" s="3" t="b">
        <f>RAW_DATA!L202="No"</f>
        <v>1</v>
      </c>
      <c r="G202" s="3" t="b">
        <f t="shared" si="18"/>
        <v>0</v>
      </c>
      <c r="H202" s="3" t="str">
        <f t="shared" si="19"/>
        <v>INELIGIBLE</v>
      </c>
      <c r="I202" s="3" t="str">
        <f t="shared" si="20"/>
        <v>Credit Score</v>
      </c>
      <c r="K202" s="3" cm="1">
        <f t="array" ref="K2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2" s="5">
        <f>IF(RAW_DATA!C202&lt;300000,0,IF(RAW_DATA!C202&lt;600000,5,IF(RAW_DATA!C202&lt;1200000,15,IF(RAW_DATA!C202&lt;2000000,20,25))))</f>
        <v>15</v>
      </c>
      <c r="M202" s="3">
        <f>IF(RAW_DATA!E202&lt;1,0,IF(RAW_DATA!E202&lt;3,3,IF(RAW_DATA!E202&lt;5,5,IF(RAW_DATA!E202&lt;10,8,10))))</f>
        <v>10</v>
      </c>
      <c r="N202" s="3">
        <f>IF(RAW_DATA!F202&lt;650,0,IF(RAW_DATA!F202&lt;700,8,IF(RAW_DATA!F202&lt;750,15,IF(RAW_DATA!F202&lt;800,20,25))))</f>
        <v>0</v>
      </c>
      <c r="O202" s="3">
        <f>IF(RAW_DATA!G202=0,5,IF(RAW_DATA!G202=1,4,IF(RAW_DATA!G202=2,3,IF(RAW_DATA!G202=3,2,IF(RAW_DATA!G202=4,1,0)))))</f>
        <v>1</v>
      </c>
      <c r="P202" s="3">
        <f>IF(RAW_DATA!K202&gt;=RAW_DATA!H202,20,ROUND((RAW_DATA!K202/RAW_DATA!H202)*20,0))</f>
        <v>20</v>
      </c>
      <c r="Q202" s="3">
        <f>IF(RAW_DATA!L202="No",5,0)</f>
        <v>5</v>
      </c>
      <c r="R202" s="3">
        <f t="shared" si="21"/>
        <v>58</v>
      </c>
      <c r="S202" s="3">
        <f t="shared" si="22"/>
        <v>58</v>
      </c>
      <c r="T202" s="3" t="str">
        <f t="shared" si="23"/>
        <v>Not Scored - Ineligible</v>
      </c>
    </row>
    <row r="203" spans="1:20" x14ac:dyDescent="0.25">
      <c r="A203" s="3" t="str">
        <f>RAW_DATA!A203</f>
        <v>APP202</v>
      </c>
      <c r="B203" s="3" t="b">
        <f>AND(RAW_DATA!B203&gt;=21,RAW_DATA!B203&lt;=60)</f>
        <v>0</v>
      </c>
      <c r="C203" s="3" t="b">
        <f>RAW_DATA!C203&gt;=300000</f>
        <v>1</v>
      </c>
      <c r="D203" s="3" t="b">
        <f>RAW_DATA!F203&gt;=650</f>
        <v>0</v>
      </c>
      <c r="E203" s="3" t="b">
        <f>RAW_DATA!E203&gt;=1</f>
        <v>1</v>
      </c>
      <c r="F203" s="3" t="b">
        <f>RAW_DATA!L203="No"</f>
        <v>1</v>
      </c>
      <c r="G203" s="3" t="b">
        <f t="shared" si="18"/>
        <v>0</v>
      </c>
      <c r="H203" s="3" t="str">
        <f t="shared" si="19"/>
        <v>INELIGIBLE</v>
      </c>
      <c r="I203" s="3" t="str">
        <f t="shared" si="20"/>
        <v>Age, Credit Score</v>
      </c>
      <c r="K203" s="3" cm="1">
        <f t="array" ref="K2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3" s="5">
        <f>IF(RAW_DATA!C203&lt;300000,0,IF(RAW_DATA!C203&lt;600000,5,IF(RAW_DATA!C203&lt;1200000,15,IF(RAW_DATA!C203&lt;2000000,20,25))))</f>
        <v>15</v>
      </c>
      <c r="M203" s="3">
        <f>IF(RAW_DATA!E203&lt;1,0,IF(RAW_DATA!E203&lt;3,3,IF(RAW_DATA!E203&lt;5,5,IF(RAW_DATA!E203&lt;10,8,10))))</f>
        <v>10</v>
      </c>
      <c r="N203" s="3">
        <f>IF(RAW_DATA!F203&lt;650,0,IF(RAW_DATA!F203&lt;700,8,IF(RAW_DATA!F203&lt;750,15,IF(RAW_DATA!F203&lt;800,20,25))))</f>
        <v>0</v>
      </c>
      <c r="O203" s="3">
        <f>IF(RAW_DATA!G203=0,5,IF(RAW_DATA!G203=1,4,IF(RAW_DATA!G203=2,3,IF(RAW_DATA!G203=3,2,IF(RAW_DATA!G203=4,1,0)))))</f>
        <v>3</v>
      </c>
      <c r="P203" s="3">
        <f>IF(RAW_DATA!K203&gt;=RAW_DATA!H203,20,ROUND((RAW_DATA!K203/RAW_DATA!H203)*20,0))</f>
        <v>20</v>
      </c>
      <c r="Q203" s="3">
        <f>IF(RAW_DATA!L203="No",5,0)</f>
        <v>5</v>
      </c>
      <c r="R203" s="3">
        <f t="shared" si="21"/>
        <v>53</v>
      </c>
      <c r="S203" s="3">
        <f t="shared" si="22"/>
        <v>53</v>
      </c>
      <c r="T203" s="3" t="str">
        <f t="shared" si="23"/>
        <v>Not Scored - Ineligible</v>
      </c>
    </row>
    <row r="204" spans="1:20" x14ac:dyDescent="0.25">
      <c r="A204" s="3" t="str">
        <f>RAW_DATA!A204</f>
        <v>APP203</v>
      </c>
      <c r="B204" s="3" t="b">
        <f>AND(RAW_DATA!B204&gt;=21,RAW_DATA!B204&lt;=60)</f>
        <v>0</v>
      </c>
      <c r="C204" s="3" t="b">
        <f>RAW_DATA!C204&gt;=300000</f>
        <v>1</v>
      </c>
      <c r="D204" s="3" t="b">
        <f>RAW_DATA!F204&gt;=650</f>
        <v>1</v>
      </c>
      <c r="E204" s="3" t="b">
        <f>RAW_DATA!E204&gt;=1</f>
        <v>1</v>
      </c>
      <c r="F204" s="3" t="b">
        <f>RAW_DATA!L204="No"</f>
        <v>1</v>
      </c>
      <c r="G204" s="3" t="b">
        <f t="shared" si="18"/>
        <v>0</v>
      </c>
      <c r="H204" s="3" t="str">
        <f t="shared" si="19"/>
        <v>INELIGIBLE</v>
      </c>
      <c r="I204" s="3" t="str">
        <f t="shared" si="20"/>
        <v>Age</v>
      </c>
      <c r="K204" s="3" cm="1">
        <f t="array" ref="K2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4" s="5">
        <f>IF(RAW_DATA!C204&lt;300000,0,IF(RAW_DATA!C204&lt;600000,5,IF(RAW_DATA!C204&lt;1200000,15,IF(RAW_DATA!C204&lt;2000000,20,25))))</f>
        <v>5</v>
      </c>
      <c r="M204" s="3">
        <f>IF(RAW_DATA!E204&lt;1,0,IF(RAW_DATA!E204&lt;3,3,IF(RAW_DATA!E204&lt;5,5,IF(RAW_DATA!E204&lt;10,8,10))))</f>
        <v>10</v>
      </c>
      <c r="N204" s="3">
        <f>IF(RAW_DATA!F204&lt;650,0,IF(RAW_DATA!F204&lt;700,8,IF(RAW_DATA!F204&lt;750,15,IF(RAW_DATA!F204&lt;800,20,25))))</f>
        <v>20</v>
      </c>
      <c r="O204" s="3">
        <f>IF(RAW_DATA!G204=0,5,IF(RAW_DATA!G204=1,4,IF(RAW_DATA!G204=2,3,IF(RAW_DATA!G204=3,2,IF(RAW_DATA!G204=4,1,0)))))</f>
        <v>4</v>
      </c>
      <c r="P204" s="3">
        <f>IF(RAW_DATA!K204&gt;=RAW_DATA!H204,20,ROUND((RAW_DATA!K204/RAW_DATA!H204)*20,0))</f>
        <v>20</v>
      </c>
      <c r="Q204" s="3">
        <f>IF(RAW_DATA!L204="No",5,0)</f>
        <v>5</v>
      </c>
      <c r="R204" s="3">
        <f t="shared" si="21"/>
        <v>64</v>
      </c>
      <c r="S204" s="3">
        <f t="shared" si="22"/>
        <v>64</v>
      </c>
      <c r="T204" s="3" t="str">
        <f t="shared" si="23"/>
        <v>Not Scored - Ineligible</v>
      </c>
    </row>
    <row r="205" spans="1:20" x14ac:dyDescent="0.25">
      <c r="A205" s="3" t="str">
        <f>RAW_DATA!A205</f>
        <v>APP204</v>
      </c>
      <c r="B205" s="3" t="b">
        <f>AND(RAW_DATA!B205&gt;=21,RAW_DATA!B205&lt;=60)</f>
        <v>1</v>
      </c>
      <c r="C205" s="3" t="b">
        <f>RAW_DATA!C205&gt;=300000</f>
        <v>1</v>
      </c>
      <c r="D205" s="3" t="b">
        <f>RAW_DATA!F205&gt;=650</f>
        <v>0</v>
      </c>
      <c r="E205" s="3" t="b">
        <f>RAW_DATA!E205&gt;=1</f>
        <v>0</v>
      </c>
      <c r="F205" s="3" t="b">
        <f>RAW_DATA!L205="No"</f>
        <v>0</v>
      </c>
      <c r="G205" s="3" t="b">
        <f t="shared" si="18"/>
        <v>0</v>
      </c>
      <c r="H205" s="3" t="str">
        <f t="shared" si="19"/>
        <v>INELIGIBLE</v>
      </c>
      <c r="I205" s="3" t="str">
        <f t="shared" si="20"/>
        <v>Credit Score, Employment, Defaulter History</v>
      </c>
      <c r="K205" s="3" cm="1">
        <f t="array" ref="K2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05" s="5">
        <f>IF(RAW_DATA!C205&lt;300000,0,IF(RAW_DATA!C205&lt;600000,5,IF(RAW_DATA!C205&lt;1200000,15,IF(RAW_DATA!C205&lt;2000000,20,25))))</f>
        <v>20</v>
      </c>
      <c r="M205" s="3">
        <f>IF(RAW_DATA!E205&lt;1,0,IF(RAW_DATA!E205&lt;3,3,IF(RAW_DATA!E205&lt;5,5,IF(RAW_DATA!E205&lt;10,8,10))))</f>
        <v>0</v>
      </c>
      <c r="N205" s="3">
        <f>IF(RAW_DATA!F205&lt;650,0,IF(RAW_DATA!F205&lt;700,8,IF(RAW_DATA!F205&lt;750,15,IF(RAW_DATA!F205&lt;800,20,25))))</f>
        <v>0</v>
      </c>
      <c r="O205" s="3">
        <f>IF(RAW_DATA!G205=0,5,IF(RAW_DATA!G205=1,4,IF(RAW_DATA!G205=2,3,IF(RAW_DATA!G205=3,2,IF(RAW_DATA!G205=4,1,0)))))</f>
        <v>0</v>
      </c>
      <c r="P205" s="3">
        <f>IF(RAW_DATA!K205&gt;=RAW_DATA!H205,20,ROUND((RAW_DATA!K205/RAW_DATA!H205)*20,0))</f>
        <v>20</v>
      </c>
      <c r="Q205" s="3">
        <f>IF(RAW_DATA!L205="No",5,0)</f>
        <v>0</v>
      </c>
      <c r="R205" s="3">
        <f t="shared" si="21"/>
        <v>48</v>
      </c>
      <c r="S205" s="3">
        <f t="shared" si="22"/>
        <v>48</v>
      </c>
      <c r="T205" s="3" t="str">
        <f t="shared" si="23"/>
        <v>Not Scored - Ineligible</v>
      </c>
    </row>
    <row r="206" spans="1:20" x14ac:dyDescent="0.25">
      <c r="A206" s="3" t="str">
        <f>RAW_DATA!A206</f>
        <v>APP205</v>
      </c>
      <c r="B206" s="3" t="b">
        <f>AND(RAW_DATA!B206&gt;=21,RAW_DATA!B206&lt;=60)</f>
        <v>1</v>
      </c>
      <c r="C206" s="3" t="b">
        <f>RAW_DATA!C206&gt;=300000</f>
        <v>1</v>
      </c>
      <c r="D206" s="3" t="b">
        <f>RAW_DATA!F206&gt;=650</f>
        <v>0</v>
      </c>
      <c r="E206" s="3" t="b">
        <f>RAW_DATA!E206&gt;=1</f>
        <v>1</v>
      </c>
      <c r="F206" s="3" t="b">
        <f>RAW_DATA!L206="No"</f>
        <v>0</v>
      </c>
      <c r="G206" s="3" t="b">
        <f t="shared" si="18"/>
        <v>0</v>
      </c>
      <c r="H206" s="3" t="str">
        <f t="shared" si="19"/>
        <v>INELIGIBLE</v>
      </c>
      <c r="I206" s="3" t="str">
        <f t="shared" si="20"/>
        <v>Credit Score, Defaulter History</v>
      </c>
      <c r="K206" s="3" cm="1">
        <f t="array" ref="K2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6" s="5">
        <f>IF(RAW_DATA!C206&lt;300000,0,IF(RAW_DATA!C206&lt;600000,5,IF(RAW_DATA!C206&lt;1200000,15,IF(RAW_DATA!C206&lt;2000000,20,25))))</f>
        <v>15</v>
      </c>
      <c r="M206" s="3">
        <f>IF(RAW_DATA!E206&lt;1,0,IF(RAW_DATA!E206&lt;3,3,IF(RAW_DATA!E206&lt;5,5,IF(RAW_DATA!E206&lt;10,8,10))))</f>
        <v>10</v>
      </c>
      <c r="N206" s="3">
        <f>IF(RAW_DATA!F206&lt;650,0,IF(RAW_DATA!F206&lt;700,8,IF(RAW_DATA!F206&lt;750,15,IF(RAW_DATA!F206&lt;800,20,25))))</f>
        <v>0</v>
      </c>
      <c r="O206" s="3">
        <f>IF(RAW_DATA!G206=0,5,IF(RAW_DATA!G206=1,4,IF(RAW_DATA!G206=2,3,IF(RAW_DATA!G206=3,2,IF(RAW_DATA!G206=4,1,0)))))</f>
        <v>3</v>
      </c>
      <c r="P206" s="3">
        <f>IF(RAW_DATA!K206&gt;=RAW_DATA!H206,20,ROUND((RAW_DATA!K206/RAW_DATA!H206)*20,0))</f>
        <v>20</v>
      </c>
      <c r="Q206" s="3">
        <f>IF(RAW_DATA!L206="No",5,0)</f>
        <v>0</v>
      </c>
      <c r="R206" s="3">
        <f t="shared" si="21"/>
        <v>55</v>
      </c>
      <c r="S206" s="3">
        <f t="shared" si="22"/>
        <v>55</v>
      </c>
      <c r="T206" s="3" t="str">
        <f t="shared" si="23"/>
        <v>Not Scored - Ineligible</v>
      </c>
    </row>
    <row r="207" spans="1:20" x14ac:dyDescent="0.25">
      <c r="A207" s="3" t="str">
        <f>RAW_DATA!A207</f>
        <v>APP206</v>
      </c>
      <c r="B207" s="3" t="b">
        <f>AND(RAW_DATA!B207&gt;=21,RAW_DATA!B207&lt;=60)</f>
        <v>1</v>
      </c>
      <c r="C207" s="3" t="b">
        <f>RAW_DATA!C207&gt;=300000</f>
        <v>1</v>
      </c>
      <c r="D207" s="3" t="b">
        <f>RAW_DATA!F207&gt;=650</f>
        <v>1</v>
      </c>
      <c r="E207" s="3" t="b">
        <f>RAW_DATA!E207&gt;=1</f>
        <v>1</v>
      </c>
      <c r="F207" s="3" t="b">
        <f>RAW_DATA!L207="No"</f>
        <v>1</v>
      </c>
      <c r="G207" s="3" t="b">
        <f t="shared" si="18"/>
        <v>1</v>
      </c>
      <c r="H207" s="3" t="str">
        <f t="shared" si="19"/>
        <v>ELIGIBLE</v>
      </c>
      <c r="I207" s="3" t="str">
        <f t="shared" si="20"/>
        <v/>
      </c>
      <c r="K207" s="3" cm="1">
        <f t="array" ref="K2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07" s="5">
        <f>IF(RAW_DATA!C207&lt;300000,0,IF(RAW_DATA!C207&lt;600000,5,IF(RAW_DATA!C207&lt;1200000,15,IF(RAW_DATA!C207&lt;2000000,20,25))))</f>
        <v>25</v>
      </c>
      <c r="M207" s="3">
        <f>IF(RAW_DATA!E207&lt;1,0,IF(RAW_DATA!E207&lt;3,3,IF(RAW_DATA!E207&lt;5,5,IF(RAW_DATA!E207&lt;10,8,10))))</f>
        <v>10</v>
      </c>
      <c r="N207" s="3">
        <f>IF(RAW_DATA!F207&lt;650,0,IF(RAW_DATA!F207&lt;700,8,IF(RAW_DATA!F207&lt;750,15,IF(RAW_DATA!F207&lt;800,20,25))))</f>
        <v>25</v>
      </c>
      <c r="O207" s="3">
        <f>IF(RAW_DATA!G207=0,5,IF(RAW_DATA!G207=1,4,IF(RAW_DATA!G207=2,3,IF(RAW_DATA!G207=3,2,IF(RAW_DATA!G207=4,1,0)))))</f>
        <v>0</v>
      </c>
      <c r="P207" s="3">
        <f>IF(RAW_DATA!K207&gt;=RAW_DATA!H207,20,ROUND((RAW_DATA!K207/RAW_DATA!H207)*20,0))</f>
        <v>20</v>
      </c>
      <c r="Q207" s="3">
        <f>IF(RAW_DATA!L207="No",5,0)</f>
        <v>5</v>
      </c>
      <c r="R207" s="3">
        <f t="shared" si="21"/>
        <v>91</v>
      </c>
      <c r="S207" s="3">
        <f t="shared" si="22"/>
        <v>91</v>
      </c>
      <c r="T207" s="3" t="str">
        <f t="shared" si="23"/>
        <v>Strong</v>
      </c>
    </row>
    <row r="208" spans="1:20" x14ac:dyDescent="0.25">
      <c r="A208" s="3" t="str">
        <f>RAW_DATA!A208</f>
        <v>APP207</v>
      </c>
      <c r="B208" s="3" t="b">
        <f>AND(RAW_DATA!B208&gt;=21,RAW_DATA!B208&lt;=60)</f>
        <v>1</v>
      </c>
      <c r="C208" s="3" t="b">
        <f>RAW_DATA!C208&gt;=300000</f>
        <v>1</v>
      </c>
      <c r="D208" s="3" t="b">
        <f>RAW_DATA!F208&gt;=650</f>
        <v>1</v>
      </c>
      <c r="E208" s="3" t="b">
        <f>RAW_DATA!E208&gt;=1</f>
        <v>1</v>
      </c>
      <c r="F208" s="3" t="b">
        <f>RAW_DATA!L208="No"</f>
        <v>1</v>
      </c>
      <c r="G208" s="3" t="b">
        <f t="shared" si="18"/>
        <v>1</v>
      </c>
      <c r="H208" s="3" t="str">
        <f t="shared" si="19"/>
        <v>ELIGIBLE</v>
      </c>
      <c r="I208" s="3" t="str">
        <f t="shared" si="20"/>
        <v/>
      </c>
      <c r="K208" s="3" cm="1">
        <f t="array" ref="K2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8" s="5">
        <f>IF(RAW_DATA!C208&lt;300000,0,IF(RAW_DATA!C208&lt;600000,5,IF(RAW_DATA!C208&lt;1200000,15,IF(RAW_DATA!C208&lt;2000000,20,25))))</f>
        <v>20</v>
      </c>
      <c r="M208" s="3">
        <f>IF(RAW_DATA!E208&lt;1,0,IF(RAW_DATA!E208&lt;3,3,IF(RAW_DATA!E208&lt;5,5,IF(RAW_DATA!E208&lt;10,8,10))))</f>
        <v>10</v>
      </c>
      <c r="N208" s="3">
        <f>IF(RAW_DATA!F208&lt;650,0,IF(RAW_DATA!F208&lt;700,8,IF(RAW_DATA!F208&lt;750,15,IF(RAW_DATA!F208&lt;800,20,25))))</f>
        <v>8</v>
      </c>
      <c r="O208" s="3">
        <f>IF(RAW_DATA!G208=0,5,IF(RAW_DATA!G208=1,4,IF(RAW_DATA!G208=2,3,IF(RAW_DATA!G208=3,2,IF(RAW_DATA!G208=4,1,0)))))</f>
        <v>0</v>
      </c>
      <c r="P208" s="3">
        <f>IF(RAW_DATA!K208&gt;=RAW_DATA!H208,20,ROUND((RAW_DATA!K208/RAW_DATA!H208)*20,0))</f>
        <v>20</v>
      </c>
      <c r="Q208" s="3">
        <f>IF(RAW_DATA!L208="No",5,0)</f>
        <v>5</v>
      </c>
      <c r="R208" s="3">
        <f t="shared" si="21"/>
        <v>70</v>
      </c>
      <c r="S208" s="3">
        <f t="shared" si="22"/>
        <v>70</v>
      </c>
      <c r="T208" s="3" t="str">
        <f t="shared" si="23"/>
        <v>Strong</v>
      </c>
    </row>
    <row r="209" spans="1:20" x14ac:dyDescent="0.25">
      <c r="A209" s="3" t="str">
        <f>RAW_DATA!A209</f>
        <v>APP208</v>
      </c>
      <c r="B209" s="3" t="b">
        <f>AND(RAW_DATA!B209&gt;=21,RAW_DATA!B209&lt;=60)</f>
        <v>1</v>
      </c>
      <c r="C209" s="3" t="b">
        <f>RAW_DATA!C209&gt;=300000</f>
        <v>1</v>
      </c>
      <c r="D209" s="3" t="b">
        <f>RAW_DATA!F209&gt;=650</f>
        <v>0</v>
      </c>
      <c r="E209" s="3" t="b">
        <f>RAW_DATA!E209&gt;=1</f>
        <v>1</v>
      </c>
      <c r="F209" s="3" t="b">
        <f>RAW_DATA!L209="No"</f>
        <v>1</v>
      </c>
      <c r="G209" s="3" t="b">
        <f t="shared" si="18"/>
        <v>0</v>
      </c>
      <c r="H209" s="3" t="str">
        <f t="shared" si="19"/>
        <v>INELIGIBLE</v>
      </c>
      <c r="I209" s="3" t="str">
        <f t="shared" si="20"/>
        <v>Credit Score</v>
      </c>
      <c r="K209" s="3" cm="1">
        <f t="array" ref="K2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9" s="5">
        <f>IF(RAW_DATA!C209&lt;300000,0,IF(RAW_DATA!C209&lt;600000,5,IF(RAW_DATA!C209&lt;1200000,15,IF(RAW_DATA!C209&lt;2000000,20,25))))</f>
        <v>5</v>
      </c>
      <c r="M209" s="3">
        <f>IF(RAW_DATA!E209&lt;1,0,IF(RAW_DATA!E209&lt;3,3,IF(RAW_DATA!E209&lt;5,5,IF(RAW_DATA!E209&lt;10,8,10))))</f>
        <v>10</v>
      </c>
      <c r="N209" s="3">
        <f>IF(RAW_DATA!F209&lt;650,0,IF(RAW_DATA!F209&lt;700,8,IF(RAW_DATA!F209&lt;750,15,IF(RAW_DATA!F209&lt;800,20,25))))</f>
        <v>0</v>
      </c>
      <c r="O209" s="3">
        <f>IF(RAW_DATA!G209=0,5,IF(RAW_DATA!G209=1,4,IF(RAW_DATA!G209=2,3,IF(RAW_DATA!G209=3,2,IF(RAW_DATA!G209=4,1,0)))))</f>
        <v>1</v>
      </c>
      <c r="P209" s="3">
        <f>IF(RAW_DATA!K209&gt;=RAW_DATA!H209,20,ROUND((RAW_DATA!K209/RAW_DATA!H209)*20,0))</f>
        <v>20</v>
      </c>
      <c r="Q209" s="3">
        <f>IF(RAW_DATA!L209="No",5,0)</f>
        <v>5</v>
      </c>
      <c r="R209" s="3">
        <f t="shared" si="21"/>
        <v>51</v>
      </c>
      <c r="S209" s="3">
        <f t="shared" si="22"/>
        <v>51</v>
      </c>
      <c r="T209" s="3" t="str">
        <f t="shared" si="23"/>
        <v>Not Scored - Ineligible</v>
      </c>
    </row>
    <row r="210" spans="1:20" x14ac:dyDescent="0.25">
      <c r="A210" s="3" t="str">
        <f>RAW_DATA!A210</f>
        <v>APP209</v>
      </c>
      <c r="B210" s="3" t="b">
        <f>AND(RAW_DATA!B210&gt;=21,RAW_DATA!B210&lt;=60)</f>
        <v>0</v>
      </c>
      <c r="C210" s="3" t="b">
        <f>RAW_DATA!C210&gt;=300000</f>
        <v>1</v>
      </c>
      <c r="D210" s="3" t="b">
        <f>RAW_DATA!F210&gt;=650</f>
        <v>0</v>
      </c>
      <c r="E210" s="3" t="b">
        <f>RAW_DATA!E210&gt;=1</f>
        <v>1</v>
      </c>
      <c r="F210" s="3" t="b">
        <f>RAW_DATA!L210="No"</f>
        <v>1</v>
      </c>
      <c r="G210" s="3" t="b">
        <f t="shared" si="18"/>
        <v>0</v>
      </c>
      <c r="H210" s="3" t="str">
        <f t="shared" si="19"/>
        <v>INELIGIBLE</v>
      </c>
      <c r="I210" s="3" t="str">
        <f t="shared" si="20"/>
        <v>Age, Credit Score</v>
      </c>
      <c r="K210" s="3" cm="1">
        <f t="array" ref="K2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0" s="5">
        <f>IF(RAW_DATA!C210&lt;300000,0,IF(RAW_DATA!C210&lt;600000,5,IF(RAW_DATA!C210&lt;1200000,15,IF(RAW_DATA!C210&lt;2000000,20,25))))</f>
        <v>5</v>
      </c>
      <c r="M210" s="3">
        <f>IF(RAW_DATA!E210&lt;1,0,IF(RAW_DATA!E210&lt;3,3,IF(RAW_DATA!E210&lt;5,5,IF(RAW_DATA!E210&lt;10,8,10))))</f>
        <v>10</v>
      </c>
      <c r="N210" s="3">
        <f>IF(RAW_DATA!F210&lt;650,0,IF(RAW_DATA!F210&lt;700,8,IF(RAW_DATA!F210&lt;750,15,IF(RAW_DATA!F210&lt;800,20,25))))</f>
        <v>0</v>
      </c>
      <c r="O210" s="3">
        <f>IF(RAW_DATA!G210=0,5,IF(RAW_DATA!G210=1,4,IF(RAW_DATA!G210=2,3,IF(RAW_DATA!G210=3,2,IF(RAW_DATA!G210=4,1,0)))))</f>
        <v>2</v>
      </c>
      <c r="P210" s="3">
        <f>IF(RAW_DATA!K210&gt;=RAW_DATA!H210,20,ROUND((RAW_DATA!K210/RAW_DATA!H210)*20,0))</f>
        <v>20</v>
      </c>
      <c r="Q210" s="3">
        <f>IF(RAW_DATA!L210="No",5,0)</f>
        <v>5</v>
      </c>
      <c r="R210" s="3">
        <f t="shared" si="21"/>
        <v>42</v>
      </c>
      <c r="S210" s="3">
        <f t="shared" si="22"/>
        <v>42</v>
      </c>
      <c r="T210" s="3" t="str">
        <f t="shared" si="23"/>
        <v>Not Scored - Ineligible</v>
      </c>
    </row>
    <row r="211" spans="1:20" x14ac:dyDescent="0.25">
      <c r="A211" s="3" t="str">
        <f>RAW_DATA!A211</f>
        <v>APP210</v>
      </c>
      <c r="B211" s="3" t="b">
        <f>AND(RAW_DATA!B211&gt;=21,RAW_DATA!B211&lt;=60)</f>
        <v>1</v>
      </c>
      <c r="C211" s="3" t="b">
        <f>RAW_DATA!C211&gt;=300000</f>
        <v>1</v>
      </c>
      <c r="D211" s="3" t="b">
        <f>RAW_DATA!F211&gt;=650</f>
        <v>0</v>
      </c>
      <c r="E211" s="3" t="b">
        <f>RAW_DATA!E211&gt;=1</f>
        <v>1</v>
      </c>
      <c r="F211" s="3" t="b">
        <f>RAW_DATA!L211="No"</f>
        <v>1</v>
      </c>
      <c r="G211" s="3" t="b">
        <f t="shared" si="18"/>
        <v>0</v>
      </c>
      <c r="H211" s="3" t="str">
        <f t="shared" si="19"/>
        <v>INELIGIBLE</v>
      </c>
      <c r="I211" s="3" t="str">
        <f t="shared" si="20"/>
        <v>Credit Score</v>
      </c>
      <c r="K211" s="3" cm="1">
        <f t="array" ref="K2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1" s="5">
        <f>IF(RAW_DATA!C211&lt;300000,0,IF(RAW_DATA!C211&lt;600000,5,IF(RAW_DATA!C211&lt;1200000,15,IF(RAW_DATA!C211&lt;2000000,20,25))))</f>
        <v>5</v>
      </c>
      <c r="M211" s="3">
        <f>IF(RAW_DATA!E211&lt;1,0,IF(RAW_DATA!E211&lt;3,3,IF(RAW_DATA!E211&lt;5,5,IF(RAW_DATA!E211&lt;10,8,10))))</f>
        <v>10</v>
      </c>
      <c r="N211" s="3">
        <f>IF(RAW_DATA!F211&lt;650,0,IF(RAW_DATA!F211&lt;700,8,IF(RAW_DATA!F211&lt;750,15,IF(RAW_DATA!F211&lt;800,20,25))))</f>
        <v>0</v>
      </c>
      <c r="O211" s="3">
        <f>IF(RAW_DATA!G211=0,5,IF(RAW_DATA!G211=1,4,IF(RAW_DATA!G211=2,3,IF(RAW_DATA!G211=3,2,IF(RAW_DATA!G211=4,1,0)))))</f>
        <v>3</v>
      </c>
      <c r="P211" s="3">
        <f>IF(RAW_DATA!K211&gt;=RAW_DATA!H211,20,ROUND((RAW_DATA!K211/RAW_DATA!H211)*20,0))</f>
        <v>20</v>
      </c>
      <c r="Q211" s="3">
        <f>IF(RAW_DATA!L211="No",5,0)</f>
        <v>5</v>
      </c>
      <c r="R211" s="3">
        <f t="shared" si="21"/>
        <v>50</v>
      </c>
      <c r="S211" s="3">
        <f t="shared" si="22"/>
        <v>50</v>
      </c>
      <c r="T211" s="3" t="str">
        <f t="shared" si="23"/>
        <v>Not Scored - Ineligible</v>
      </c>
    </row>
    <row r="212" spans="1:20" x14ac:dyDescent="0.25">
      <c r="A212" s="3" t="str">
        <f>RAW_DATA!A212</f>
        <v>APP211</v>
      </c>
      <c r="B212" s="3" t="b">
        <f>AND(RAW_DATA!B212&gt;=21,RAW_DATA!B212&lt;=60)</f>
        <v>1</v>
      </c>
      <c r="C212" s="3" t="b">
        <f>RAW_DATA!C212&gt;=300000</f>
        <v>1</v>
      </c>
      <c r="D212" s="3" t="b">
        <f>RAW_DATA!F212&gt;=650</f>
        <v>0</v>
      </c>
      <c r="E212" s="3" t="b">
        <f>RAW_DATA!E212&gt;=1</f>
        <v>1</v>
      </c>
      <c r="F212" s="3" t="b">
        <f>RAW_DATA!L212="No"</f>
        <v>1</v>
      </c>
      <c r="G212" s="3" t="b">
        <f t="shared" si="18"/>
        <v>0</v>
      </c>
      <c r="H212" s="3" t="str">
        <f t="shared" si="19"/>
        <v>INELIGIBLE</v>
      </c>
      <c r="I212" s="3" t="str">
        <f t="shared" si="20"/>
        <v>Credit Score</v>
      </c>
      <c r="K212" s="3" cm="1">
        <f t="array" ref="K2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2" s="5">
        <f>IF(RAW_DATA!C212&lt;300000,0,IF(RAW_DATA!C212&lt;600000,5,IF(RAW_DATA!C212&lt;1200000,15,IF(RAW_DATA!C212&lt;2000000,20,25))))</f>
        <v>20</v>
      </c>
      <c r="M212" s="3">
        <f>IF(RAW_DATA!E212&lt;1,0,IF(RAW_DATA!E212&lt;3,3,IF(RAW_DATA!E212&lt;5,5,IF(RAW_DATA!E212&lt;10,8,10))))</f>
        <v>10</v>
      </c>
      <c r="N212" s="3">
        <f>IF(RAW_DATA!F212&lt;650,0,IF(RAW_DATA!F212&lt;700,8,IF(RAW_DATA!F212&lt;750,15,IF(RAW_DATA!F212&lt;800,20,25))))</f>
        <v>0</v>
      </c>
      <c r="O212" s="3">
        <f>IF(RAW_DATA!G212=0,5,IF(RAW_DATA!G212=1,4,IF(RAW_DATA!G212=2,3,IF(RAW_DATA!G212=3,2,IF(RAW_DATA!G212=4,1,0)))))</f>
        <v>0</v>
      </c>
      <c r="P212" s="3">
        <f>IF(RAW_DATA!K212&gt;=RAW_DATA!H212,20,ROUND((RAW_DATA!K212/RAW_DATA!H212)*20,0))</f>
        <v>20</v>
      </c>
      <c r="Q212" s="3">
        <f>IF(RAW_DATA!L212="No",5,0)</f>
        <v>5</v>
      </c>
      <c r="R212" s="3">
        <f t="shared" si="21"/>
        <v>65</v>
      </c>
      <c r="S212" s="3">
        <f t="shared" si="22"/>
        <v>65</v>
      </c>
      <c r="T212" s="3" t="str">
        <f t="shared" si="23"/>
        <v>Not Scored - Ineligible</v>
      </c>
    </row>
    <row r="213" spans="1:20" x14ac:dyDescent="0.25">
      <c r="A213" s="3" t="str">
        <f>RAW_DATA!A213</f>
        <v>APP212</v>
      </c>
      <c r="B213" s="3" t="b">
        <f>AND(RAW_DATA!B213&gt;=21,RAW_DATA!B213&lt;=60)</f>
        <v>1</v>
      </c>
      <c r="C213" s="3" t="b">
        <f>RAW_DATA!C213&gt;=300000</f>
        <v>1</v>
      </c>
      <c r="D213" s="3" t="b">
        <f>RAW_DATA!F213&gt;=650</f>
        <v>0</v>
      </c>
      <c r="E213" s="3" t="b">
        <f>RAW_DATA!E213&gt;=1</f>
        <v>1</v>
      </c>
      <c r="F213" s="3" t="b">
        <f>RAW_DATA!L213="No"</f>
        <v>1</v>
      </c>
      <c r="G213" s="3" t="b">
        <f t="shared" si="18"/>
        <v>0</v>
      </c>
      <c r="H213" s="3" t="str">
        <f t="shared" si="19"/>
        <v>INELIGIBLE</v>
      </c>
      <c r="I213" s="3" t="str">
        <f t="shared" si="20"/>
        <v>Credit Score</v>
      </c>
      <c r="K213" s="3" cm="1">
        <f t="array" ref="K2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3" s="5">
        <f>IF(RAW_DATA!C213&lt;300000,0,IF(RAW_DATA!C213&lt;600000,5,IF(RAW_DATA!C213&lt;1200000,15,IF(RAW_DATA!C213&lt;2000000,20,25))))</f>
        <v>20</v>
      </c>
      <c r="M213" s="3">
        <f>IF(RAW_DATA!E213&lt;1,0,IF(RAW_DATA!E213&lt;3,3,IF(RAW_DATA!E213&lt;5,5,IF(RAW_DATA!E213&lt;10,8,10))))</f>
        <v>10</v>
      </c>
      <c r="N213" s="3">
        <f>IF(RAW_DATA!F213&lt;650,0,IF(RAW_DATA!F213&lt;700,8,IF(RAW_DATA!F213&lt;750,15,IF(RAW_DATA!F213&lt;800,20,25))))</f>
        <v>0</v>
      </c>
      <c r="O213" s="3">
        <f>IF(RAW_DATA!G213=0,5,IF(RAW_DATA!G213=1,4,IF(RAW_DATA!G213=2,3,IF(RAW_DATA!G213=3,2,IF(RAW_DATA!G213=4,1,0)))))</f>
        <v>2</v>
      </c>
      <c r="P213" s="3">
        <f>IF(RAW_DATA!K213&gt;=RAW_DATA!H213,20,ROUND((RAW_DATA!K213/RAW_DATA!H213)*20,0))</f>
        <v>20</v>
      </c>
      <c r="Q213" s="3">
        <f>IF(RAW_DATA!L213="No",5,0)</f>
        <v>5</v>
      </c>
      <c r="R213" s="3">
        <f t="shared" si="21"/>
        <v>65</v>
      </c>
      <c r="S213" s="3">
        <f t="shared" si="22"/>
        <v>65</v>
      </c>
      <c r="T213" s="3" t="str">
        <f t="shared" si="23"/>
        <v>Not Scored - Ineligible</v>
      </c>
    </row>
    <row r="214" spans="1:20" x14ac:dyDescent="0.25">
      <c r="A214" s="3" t="str">
        <f>RAW_DATA!A214</f>
        <v>APP213</v>
      </c>
      <c r="B214" s="3" t="b">
        <f>AND(RAW_DATA!B214&gt;=21,RAW_DATA!B214&lt;=60)</f>
        <v>1</v>
      </c>
      <c r="C214" s="3" t="b">
        <f>RAW_DATA!C214&gt;=300000</f>
        <v>1</v>
      </c>
      <c r="D214" s="3" t="b">
        <f>RAW_DATA!F214&gt;=650</f>
        <v>0</v>
      </c>
      <c r="E214" s="3" t="b">
        <f>RAW_DATA!E214&gt;=1</f>
        <v>1</v>
      </c>
      <c r="F214" s="3" t="b">
        <f>RAW_DATA!L214="No"</f>
        <v>1</v>
      </c>
      <c r="G214" s="3" t="b">
        <f t="shared" si="18"/>
        <v>0</v>
      </c>
      <c r="H214" s="3" t="str">
        <f t="shared" si="19"/>
        <v>INELIGIBLE</v>
      </c>
      <c r="I214" s="3" t="str">
        <f t="shared" si="20"/>
        <v>Credit Score</v>
      </c>
      <c r="K214" s="3" cm="1">
        <f t="array" ref="K2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4" s="5">
        <f>IF(RAW_DATA!C214&lt;300000,0,IF(RAW_DATA!C214&lt;600000,5,IF(RAW_DATA!C214&lt;1200000,15,IF(RAW_DATA!C214&lt;2000000,20,25))))</f>
        <v>5</v>
      </c>
      <c r="M214" s="3">
        <f>IF(RAW_DATA!E214&lt;1,0,IF(RAW_DATA!E214&lt;3,3,IF(RAW_DATA!E214&lt;5,5,IF(RAW_DATA!E214&lt;10,8,10))))</f>
        <v>8</v>
      </c>
      <c r="N214" s="3">
        <f>IF(RAW_DATA!F214&lt;650,0,IF(RAW_DATA!F214&lt;700,8,IF(RAW_DATA!F214&lt;750,15,IF(RAW_DATA!F214&lt;800,20,25))))</f>
        <v>0</v>
      </c>
      <c r="O214" s="3">
        <f>IF(RAW_DATA!G214=0,5,IF(RAW_DATA!G214=1,4,IF(RAW_DATA!G214=2,3,IF(RAW_DATA!G214=3,2,IF(RAW_DATA!G214=4,1,0)))))</f>
        <v>4</v>
      </c>
      <c r="P214" s="3">
        <f>IF(RAW_DATA!K214&gt;=RAW_DATA!H214,20,ROUND((RAW_DATA!K214/RAW_DATA!H214)*20,0))</f>
        <v>20</v>
      </c>
      <c r="Q214" s="3">
        <f>IF(RAW_DATA!L214="No",5,0)</f>
        <v>5</v>
      </c>
      <c r="R214" s="3">
        <f t="shared" si="21"/>
        <v>52</v>
      </c>
      <c r="S214" s="3">
        <f t="shared" si="22"/>
        <v>52</v>
      </c>
      <c r="T214" s="3" t="str">
        <f t="shared" si="23"/>
        <v>Not Scored - Ineligible</v>
      </c>
    </row>
    <row r="215" spans="1:20" x14ac:dyDescent="0.25">
      <c r="A215" s="3" t="str">
        <f>RAW_DATA!A215</f>
        <v>APP214</v>
      </c>
      <c r="B215" s="3" t="b">
        <f>AND(RAW_DATA!B215&gt;=21,RAW_DATA!B215&lt;=60)</f>
        <v>1</v>
      </c>
      <c r="C215" s="3" t="b">
        <f>RAW_DATA!C215&gt;=300000</f>
        <v>1</v>
      </c>
      <c r="D215" s="3" t="b">
        <f>RAW_DATA!F215&gt;=650</f>
        <v>1</v>
      </c>
      <c r="E215" s="3" t="b">
        <f>RAW_DATA!E215&gt;=1</f>
        <v>1</v>
      </c>
      <c r="F215" s="3" t="b">
        <f>RAW_DATA!L215="No"</f>
        <v>1</v>
      </c>
      <c r="G215" s="3" t="b">
        <f t="shared" si="18"/>
        <v>1</v>
      </c>
      <c r="H215" s="3" t="str">
        <f t="shared" si="19"/>
        <v>ELIGIBLE</v>
      </c>
      <c r="I215" s="3" t="str">
        <f t="shared" si="20"/>
        <v/>
      </c>
      <c r="K215" s="3" cm="1">
        <f t="array" ref="K2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5" s="5">
        <f>IF(RAW_DATA!C215&lt;300000,0,IF(RAW_DATA!C215&lt;600000,5,IF(RAW_DATA!C215&lt;1200000,15,IF(RAW_DATA!C215&lt;2000000,20,25))))</f>
        <v>15</v>
      </c>
      <c r="M215" s="3">
        <f>IF(RAW_DATA!E215&lt;1,0,IF(RAW_DATA!E215&lt;3,3,IF(RAW_DATA!E215&lt;5,5,IF(RAW_DATA!E215&lt;10,8,10))))</f>
        <v>10</v>
      </c>
      <c r="N215" s="3">
        <f>IF(RAW_DATA!F215&lt;650,0,IF(RAW_DATA!F215&lt;700,8,IF(RAW_DATA!F215&lt;750,15,IF(RAW_DATA!F215&lt;800,20,25))))</f>
        <v>25</v>
      </c>
      <c r="O215" s="3">
        <f>IF(RAW_DATA!G215=0,5,IF(RAW_DATA!G215=1,4,IF(RAW_DATA!G215=2,3,IF(RAW_DATA!G215=3,2,IF(RAW_DATA!G215=4,1,0)))))</f>
        <v>5</v>
      </c>
      <c r="P215" s="3">
        <f>IF(RAW_DATA!K215&gt;=RAW_DATA!H215,20,ROUND((RAW_DATA!K215/RAW_DATA!H215)*20,0))</f>
        <v>20</v>
      </c>
      <c r="Q215" s="3">
        <f>IF(RAW_DATA!L215="No",5,0)</f>
        <v>5</v>
      </c>
      <c r="R215" s="3">
        <f t="shared" si="21"/>
        <v>90</v>
      </c>
      <c r="S215" s="3">
        <f t="shared" si="22"/>
        <v>90</v>
      </c>
      <c r="T215" s="3" t="str">
        <f t="shared" si="23"/>
        <v>Strong</v>
      </c>
    </row>
    <row r="216" spans="1:20" x14ac:dyDescent="0.25">
      <c r="A216" s="3" t="str">
        <f>RAW_DATA!A216</f>
        <v>APP215</v>
      </c>
      <c r="B216" s="3" t="b">
        <f>AND(RAW_DATA!B216&gt;=21,RAW_DATA!B216&lt;=60)</f>
        <v>1</v>
      </c>
      <c r="C216" s="3" t="b">
        <f>RAW_DATA!C216&gt;=300000</f>
        <v>1</v>
      </c>
      <c r="D216" s="3" t="b">
        <f>RAW_DATA!F216&gt;=650</f>
        <v>0</v>
      </c>
      <c r="E216" s="3" t="b">
        <f>RAW_DATA!E216&gt;=1</f>
        <v>1</v>
      </c>
      <c r="F216" s="3" t="b">
        <f>RAW_DATA!L216="No"</f>
        <v>1</v>
      </c>
      <c r="G216" s="3" t="b">
        <f t="shared" si="18"/>
        <v>0</v>
      </c>
      <c r="H216" s="3" t="str">
        <f t="shared" si="19"/>
        <v>INELIGIBLE</v>
      </c>
      <c r="I216" s="3" t="str">
        <f t="shared" si="20"/>
        <v>Credit Score</v>
      </c>
      <c r="K216" s="3" cm="1">
        <f t="array" ref="K2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6" s="5">
        <f>IF(RAW_DATA!C216&lt;300000,0,IF(RAW_DATA!C216&lt;600000,5,IF(RAW_DATA!C216&lt;1200000,15,IF(RAW_DATA!C216&lt;2000000,20,25))))</f>
        <v>15</v>
      </c>
      <c r="M216" s="3">
        <f>IF(RAW_DATA!E216&lt;1,0,IF(RAW_DATA!E216&lt;3,3,IF(RAW_DATA!E216&lt;5,5,IF(RAW_DATA!E216&lt;10,8,10))))</f>
        <v>10</v>
      </c>
      <c r="N216" s="3">
        <f>IF(RAW_DATA!F216&lt;650,0,IF(RAW_DATA!F216&lt;700,8,IF(RAW_DATA!F216&lt;750,15,IF(RAW_DATA!F216&lt;800,20,25))))</f>
        <v>0</v>
      </c>
      <c r="O216" s="3">
        <f>IF(RAW_DATA!G216=0,5,IF(RAW_DATA!G216=1,4,IF(RAW_DATA!G216=2,3,IF(RAW_DATA!G216=3,2,IF(RAW_DATA!G216=4,1,0)))))</f>
        <v>1</v>
      </c>
      <c r="P216" s="3">
        <f>IF(RAW_DATA!K216&gt;=RAW_DATA!H216,20,ROUND((RAW_DATA!K216/RAW_DATA!H216)*20,0))</f>
        <v>20</v>
      </c>
      <c r="Q216" s="3">
        <f>IF(RAW_DATA!L216="No",5,0)</f>
        <v>5</v>
      </c>
      <c r="R216" s="3">
        <f t="shared" si="21"/>
        <v>58</v>
      </c>
      <c r="S216" s="3">
        <f t="shared" si="22"/>
        <v>58</v>
      </c>
      <c r="T216" s="3" t="str">
        <f t="shared" si="23"/>
        <v>Not Scored - Ineligible</v>
      </c>
    </row>
    <row r="217" spans="1:20" x14ac:dyDescent="0.25">
      <c r="A217" s="3" t="str">
        <f>RAW_DATA!A217</f>
        <v>APP216</v>
      </c>
      <c r="B217" s="3" t="b">
        <f>AND(RAW_DATA!B217&gt;=21,RAW_DATA!B217&lt;=60)</f>
        <v>0</v>
      </c>
      <c r="C217" s="3" t="b">
        <f>RAW_DATA!C217&gt;=300000</f>
        <v>1</v>
      </c>
      <c r="D217" s="3" t="b">
        <f>RAW_DATA!F217&gt;=650</f>
        <v>1</v>
      </c>
      <c r="E217" s="3" t="b">
        <f>RAW_DATA!E217&gt;=1</f>
        <v>1</v>
      </c>
      <c r="F217" s="3" t="b">
        <f>RAW_DATA!L217="No"</f>
        <v>0</v>
      </c>
      <c r="G217" s="3" t="b">
        <f t="shared" si="18"/>
        <v>0</v>
      </c>
      <c r="H217" s="3" t="str">
        <f t="shared" si="19"/>
        <v>INELIGIBLE</v>
      </c>
      <c r="I217" s="3" t="str">
        <f t="shared" si="20"/>
        <v>Age, Defaulter History</v>
      </c>
      <c r="K217" s="3" cm="1">
        <f t="array" ref="K2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7" s="5">
        <f>IF(RAW_DATA!C217&lt;300000,0,IF(RAW_DATA!C217&lt;600000,5,IF(RAW_DATA!C217&lt;1200000,15,IF(RAW_DATA!C217&lt;2000000,20,25))))</f>
        <v>20</v>
      </c>
      <c r="M217" s="3">
        <f>IF(RAW_DATA!E217&lt;1,0,IF(RAW_DATA!E217&lt;3,3,IF(RAW_DATA!E217&lt;5,5,IF(RAW_DATA!E217&lt;10,8,10))))</f>
        <v>10</v>
      </c>
      <c r="N217" s="3">
        <f>IF(RAW_DATA!F217&lt;650,0,IF(RAW_DATA!F217&lt;700,8,IF(RAW_DATA!F217&lt;750,15,IF(RAW_DATA!F217&lt;800,20,25))))</f>
        <v>25</v>
      </c>
      <c r="O217" s="3">
        <f>IF(RAW_DATA!G217=0,5,IF(RAW_DATA!G217=1,4,IF(RAW_DATA!G217=2,3,IF(RAW_DATA!G217=3,2,IF(RAW_DATA!G217=4,1,0)))))</f>
        <v>0</v>
      </c>
      <c r="P217" s="3">
        <f>IF(RAW_DATA!K217&gt;=RAW_DATA!H217,20,ROUND((RAW_DATA!K217/RAW_DATA!H217)*20,0))</f>
        <v>20</v>
      </c>
      <c r="Q217" s="3">
        <f>IF(RAW_DATA!L217="No",5,0)</f>
        <v>0</v>
      </c>
      <c r="R217" s="3">
        <f t="shared" si="21"/>
        <v>75</v>
      </c>
      <c r="S217" s="3">
        <f t="shared" si="22"/>
        <v>75</v>
      </c>
      <c r="T217" s="3" t="str">
        <f t="shared" si="23"/>
        <v>Not Scored - Ineligible</v>
      </c>
    </row>
    <row r="218" spans="1:20" x14ac:dyDescent="0.25">
      <c r="A218" s="3" t="str">
        <f>RAW_DATA!A218</f>
        <v>APP217</v>
      </c>
      <c r="B218" s="3" t="b">
        <f>AND(RAW_DATA!B218&gt;=21,RAW_DATA!B218&lt;=60)</f>
        <v>1</v>
      </c>
      <c r="C218" s="3" t="b">
        <f>RAW_DATA!C218&gt;=300000</f>
        <v>1</v>
      </c>
      <c r="D218" s="3" t="b">
        <f>RAW_DATA!F218&gt;=650</f>
        <v>0</v>
      </c>
      <c r="E218" s="3" t="b">
        <f>RAW_DATA!E218&gt;=1</f>
        <v>1</v>
      </c>
      <c r="F218" s="3" t="b">
        <f>RAW_DATA!L218="No"</f>
        <v>0</v>
      </c>
      <c r="G218" s="3" t="b">
        <f t="shared" si="18"/>
        <v>0</v>
      </c>
      <c r="H218" s="3" t="str">
        <f t="shared" si="19"/>
        <v>INELIGIBLE</v>
      </c>
      <c r="I218" s="3" t="str">
        <f t="shared" si="20"/>
        <v>Credit Score, Defaulter History</v>
      </c>
      <c r="K218" s="3" cm="1">
        <f t="array" ref="K2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8" s="5">
        <f>IF(RAW_DATA!C218&lt;300000,0,IF(RAW_DATA!C218&lt;600000,5,IF(RAW_DATA!C218&lt;1200000,15,IF(RAW_DATA!C218&lt;2000000,20,25))))</f>
        <v>20</v>
      </c>
      <c r="M218" s="3">
        <f>IF(RAW_DATA!E218&lt;1,0,IF(RAW_DATA!E218&lt;3,3,IF(RAW_DATA!E218&lt;5,5,IF(RAW_DATA!E218&lt;10,8,10))))</f>
        <v>10</v>
      </c>
      <c r="N218" s="3">
        <f>IF(RAW_DATA!F218&lt;650,0,IF(RAW_DATA!F218&lt;700,8,IF(RAW_DATA!F218&lt;750,15,IF(RAW_DATA!F218&lt;800,20,25))))</f>
        <v>0</v>
      </c>
      <c r="O218" s="3">
        <f>IF(RAW_DATA!G218=0,5,IF(RAW_DATA!G218=1,4,IF(RAW_DATA!G218=2,3,IF(RAW_DATA!G218=3,2,IF(RAW_DATA!G218=4,1,0)))))</f>
        <v>1</v>
      </c>
      <c r="P218" s="3">
        <f>IF(RAW_DATA!K218&gt;=RAW_DATA!H218,20,ROUND((RAW_DATA!K218/RAW_DATA!H218)*20,0))</f>
        <v>20</v>
      </c>
      <c r="Q218" s="3">
        <f>IF(RAW_DATA!L218="No",5,0)</f>
        <v>0</v>
      </c>
      <c r="R218" s="3">
        <f t="shared" si="21"/>
        <v>61</v>
      </c>
      <c r="S218" s="3">
        <f t="shared" si="22"/>
        <v>61</v>
      </c>
      <c r="T218" s="3" t="str">
        <f t="shared" si="23"/>
        <v>Not Scored - Ineligible</v>
      </c>
    </row>
    <row r="219" spans="1:20" x14ac:dyDescent="0.25">
      <c r="A219" s="3" t="str">
        <f>RAW_DATA!A219</f>
        <v>APP218</v>
      </c>
      <c r="B219" s="3" t="b">
        <f>AND(RAW_DATA!B219&gt;=21,RAW_DATA!B219&lt;=60)</f>
        <v>1</v>
      </c>
      <c r="C219" s="3" t="b">
        <f>RAW_DATA!C219&gt;=300000</f>
        <v>1</v>
      </c>
      <c r="D219" s="3" t="b">
        <f>RAW_DATA!F219&gt;=650</f>
        <v>0</v>
      </c>
      <c r="E219" s="3" t="b">
        <f>RAW_DATA!E219&gt;=1</f>
        <v>1</v>
      </c>
      <c r="F219" s="3" t="b">
        <f>RAW_DATA!L219="No"</f>
        <v>0</v>
      </c>
      <c r="G219" s="3" t="b">
        <f t="shared" si="18"/>
        <v>0</v>
      </c>
      <c r="H219" s="3" t="str">
        <f t="shared" si="19"/>
        <v>INELIGIBLE</v>
      </c>
      <c r="I219" s="3" t="str">
        <f t="shared" si="20"/>
        <v>Credit Score, Defaulter History</v>
      </c>
      <c r="K219" s="3" cm="1">
        <f t="array" ref="K2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9" s="5">
        <f>IF(RAW_DATA!C219&lt;300000,0,IF(RAW_DATA!C219&lt;600000,5,IF(RAW_DATA!C219&lt;1200000,15,IF(RAW_DATA!C219&lt;2000000,20,25))))</f>
        <v>15</v>
      </c>
      <c r="M219" s="3">
        <f>IF(RAW_DATA!E219&lt;1,0,IF(RAW_DATA!E219&lt;3,3,IF(RAW_DATA!E219&lt;5,5,IF(RAW_DATA!E219&lt;10,8,10))))</f>
        <v>10</v>
      </c>
      <c r="N219" s="3">
        <f>IF(RAW_DATA!F219&lt;650,0,IF(RAW_DATA!F219&lt;700,8,IF(RAW_DATA!F219&lt;750,15,IF(RAW_DATA!F219&lt;800,20,25))))</f>
        <v>0</v>
      </c>
      <c r="O219" s="3">
        <f>IF(RAW_DATA!G219=0,5,IF(RAW_DATA!G219=1,4,IF(RAW_DATA!G219=2,3,IF(RAW_DATA!G219=3,2,IF(RAW_DATA!G219=4,1,0)))))</f>
        <v>0</v>
      </c>
      <c r="P219" s="3">
        <f>IF(RAW_DATA!K219&gt;=RAW_DATA!H219,20,ROUND((RAW_DATA!K219/RAW_DATA!H219)*20,0))</f>
        <v>20</v>
      </c>
      <c r="Q219" s="3">
        <f>IF(RAW_DATA!L219="No",5,0)</f>
        <v>0</v>
      </c>
      <c r="R219" s="3">
        <f t="shared" si="21"/>
        <v>53</v>
      </c>
      <c r="S219" s="3">
        <f t="shared" si="22"/>
        <v>53</v>
      </c>
      <c r="T219" s="3" t="str">
        <f t="shared" si="23"/>
        <v>Not Scored - Ineligible</v>
      </c>
    </row>
    <row r="220" spans="1:20" x14ac:dyDescent="0.25">
      <c r="A220" s="3" t="str">
        <f>RAW_DATA!A220</f>
        <v>APP219</v>
      </c>
      <c r="B220" s="3" t="b">
        <f>AND(RAW_DATA!B220&gt;=21,RAW_DATA!B220&lt;=60)</f>
        <v>1</v>
      </c>
      <c r="C220" s="3" t="b">
        <f>RAW_DATA!C220&gt;=300000</f>
        <v>1</v>
      </c>
      <c r="D220" s="3" t="b">
        <f>RAW_DATA!F220&gt;=650</f>
        <v>0</v>
      </c>
      <c r="E220" s="3" t="b">
        <f>RAW_DATA!E220&gt;=1</f>
        <v>1</v>
      </c>
      <c r="F220" s="3" t="b">
        <f>RAW_DATA!L220="No"</f>
        <v>1</v>
      </c>
      <c r="G220" s="3" t="b">
        <f t="shared" si="18"/>
        <v>0</v>
      </c>
      <c r="H220" s="3" t="str">
        <f t="shared" si="19"/>
        <v>INELIGIBLE</v>
      </c>
      <c r="I220" s="3" t="str">
        <f t="shared" si="20"/>
        <v>Credit Score</v>
      </c>
      <c r="K220" s="3" cm="1">
        <f t="array" ref="K2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0" s="5">
        <f>IF(RAW_DATA!C220&lt;300000,0,IF(RAW_DATA!C220&lt;600000,5,IF(RAW_DATA!C220&lt;1200000,15,IF(RAW_DATA!C220&lt;2000000,20,25))))</f>
        <v>15</v>
      </c>
      <c r="M220" s="3">
        <f>IF(RAW_DATA!E220&lt;1,0,IF(RAW_DATA!E220&lt;3,3,IF(RAW_DATA!E220&lt;5,5,IF(RAW_DATA!E220&lt;10,8,10))))</f>
        <v>3</v>
      </c>
      <c r="N220" s="3">
        <f>IF(RAW_DATA!F220&lt;650,0,IF(RAW_DATA!F220&lt;700,8,IF(RAW_DATA!F220&lt;750,15,IF(RAW_DATA!F220&lt;800,20,25))))</f>
        <v>0</v>
      </c>
      <c r="O220" s="3">
        <f>IF(RAW_DATA!G220=0,5,IF(RAW_DATA!G220=1,4,IF(RAW_DATA!G220=2,3,IF(RAW_DATA!G220=3,2,IF(RAW_DATA!G220=4,1,0)))))</f>
        <v>1</v>
      </c>
      <c r="P220" s="3">
        <f>IF(RAW_DATA!K220&gt;=RAW_DATA!H220,20,ROUND((RAW_DATA!K220/RAW_DATA!H220)*20,0))</f>
        <v>20</v>
      </c>
      <c r="Q220" s="3">
        <f>IF(RAW_DATA!L220="No",5,0)</f>
        <v>5</v>
      </c>
      <c r="R220" s="3">
        <f t="shared" si="21"/>
        <v>52</v>
      </c>
      <c r="S220" s="3">
        <f t="shared" si="22"/>
        <v>52</v>
      </c>
      <c r="T220" s="3" t="str">
        <f t="shared" si="23"/>
        <v>Not Scored - Ineligible</v>
      </c>
    </row>
    <row r="221" spans="1:20" x14ac:dyDescent="0.25">
      <c r="A221" s="3" t="str">
        <f>RAW_DATA!A221</f>
        <v>APP220</v>
      </c>
      <c r="B221" s="3" t="b">
        <f>AND(RAW_DATA!B221&gt;=21,RAW_DATA!B221&lt;=60)</f>
        <v>1</v>
      </c>
      <c r="C221" s="3" t="b">
        <f>RAW_DATA!C221&gt;=300000</f>
        <v>1</v>
      </c>
      <c r="D221" s="3" t="b">
        <f>RAW_DATA!F221&gt;=650</f>
        <v>0</v>
      </c>
      <c r="E221" s="3" t="b">
        <f>RAW_DATA!E221&gt;=1</f>
        <v>1</v>
      </c>
      <c r="F221" s="3" t="b">
        <f>RAW_DATA!L221="No"</f>
        <v>0</v>
      </c>
      <c r="G221" s="3" t="b">
        <f t="shared" si="18"/>
        <v>0</v>
      </c>
      <c r="H221" s="3" t="str">
        <f t="shared" si="19"/>
        <v>INELIGIBLE</v>
      </c>
      <c r="I221" s="3" t="str">
        <f t="shared" si="20"/>
        <v>Credit Score, Defaulter History</v>
      </c>
      <c r="K221" s="3" cm="1">
        <f t="array" ref="K2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1" s="5">
        <f>IF(RAW_DATA!C221&lt;300000,0,IF(RAW_DATA!C221&lt;600000,5,IF(RAW_DATA!C221&lt;1200000,15,IF(RAW_DATA!C221&lt;2000000,20,25))))</f>
        <v>25</v>
      </c>
      <c r="M221" s="3">
        <f>IF(RAW_DATA!E221&lt;1,0,IF(RAW_DATA!E221&lt;3,3,IF(RAW_DATA!E221&lt;5,5,IF(RAW_DATA!E221&lt;10,8,10))))</f>
        <v>10</v>
      </c>
      <c r="N221" s="3">
        <f>IF(RAW_DATA!F221&lt;650,0,IF(RAW_DATA!F221&lt;700,8,IF(RAW_DATA!F221&lt;750,15,IF(RAW_DATA!F221&lt;800,20,25))))</f>
        <v>0</v>
      </c>
      <c r="O221" s="3">
        <f>IF(RAW_DATA!G221=0,5,IF(RAW_DATA!G221=1,4,IF(RAW_DATA!G221=2,3,IF(RAW_DATA!G221=3,2,IF(RAW_DATA!G221=4,1,0)))))</f>
        <v>1</v>
      </c>
      <c r="P221" s="3">
        <f>IF(RAW_DATA!K221&gt;=RAW_DATA!H221,20,ROUND((RAW_DATA!K221/RAW_DATA!H221)*20,0))</f>
        <v>20</v>
      </c>
      <c r="Q221" s="3">
        <f>IF(RAW_DATA!L221="No",5,0)</f>
        <v>0</v>
      </c>
      <c r="R221" s="3">
        <f t="shared" si="21"/>
        <v>63</v>
      </c>
      <c r="S221" s="3">
        <f t="shared" si="22"/>
        <v>63</v>
      </c>
      <c r="T221" s="3" t="str">
        <f t="shared" si="23"/>
        <v>Not Scored - Ineligible</v>
      </c>
    </row>
    <row r="222" spans="1:20" x14ac:dyDescent="0.25">
      <c r="A222" s="3" t="str">
        <f>RAW_DATA!A222</f>
        <v>APP221</v>
      </c>
      <c r="B222" s="3" t="b">
        <f>AND(RAW_DATA!B222&gt;=21,RAW_DATA!B222&lt;=60)</f>
        <v>1</v>
      </c>
      <c r="C222" s="3" t="b">
        <f>RAW_DATA!C222&gt;=300000</f>
        <v>1</v>
      </c>
      <c r="D222" s="3" t="b">
        <f>RAW_DATA!F222&gt;=650</f>
        <v>1</v>
      </c>
      <c r="E222" s="3" t="b">
        <f>RAW_DATA!E222&gt;=1</f>
        <v>1</v>
      </c>
      <c r="F222" s="3" t="b">
        <f>RAW_DATA!L222="No"</f>
        <v>1</v>
      </c>
      <c r="G222" s="3" t="b">
        <f t="shared" si="18"/>
        <v>1</v>
      </c>
      <c r="H222" s="3" t="str">
        <f t="shared" si="19"/>
        <v>ELIGIBLE</v>
      </c>
      <c r="I222" s="3" t="str">
        <f t="shared" si="20"/>
        <v/>
      </c>
      <c r="K222" s="3" cm="1">
        <f t="array" ref="K2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2" s="5">
        <f>IF(RAW_DATA!C222&lt;300000,0,IF(RAW_DATA!C222&lt;600000,5,IF(RAW_DATA!C222&lt;1200000,15,IF(RAW_DATA!C222&lt;2000000,20,25))))</f>
        <v>20</v>
      </c>
      <c r="M222" s="3">
        <f>IF(RAW_DATA!E222&lt;1,0,IF(RAW_DATA!E222&lt;3,3,IF(RAW_DATA!E222&lt;5,5,IF(RAW_DATA!E222&lt;10,8,10))))</f>
        <v>10</v>
      </c>
      <c r="N222" s="3">
        <f>IF(RAW_DATA!F222&lt;650,0,IF(RAW_DATA!F222&lt;700,8,IF(RAW_DATA!F222&lt;750,15,IF(RAW_DATA!F222&lt;800,20,25))))</f>
        <v>25</v>
      </c>
      <c r="O222" s="3">
        <f>IF(RAW_DATA!G222=0,5,IF(RAW_DATA!G222=1,4,IF(RAW_DATA!G222=2,3,IF(RAW_DATA!G222=3,2,IF(RAW_DATA!G222=4,1,0)))))</f>
        <v>5</v>
      </c>
      <c r="P222" s="3">
        <f>IF(RAW_DATA!K222&gt;=RAW_DATA!H222,20,ROUND((RAW_DATA!K222/RAW_DATA!H222)*20,0))</f>
        <v>20</v>
      </c>
      <c r="Q222" s="3">
        <f>IF(RAW_DATA!L222="No",5,0)</f>
        <v>5</v>
      </c>
      <c r="R222" s="3">
        <f t="shared" si="21"/>
        <v>92</v>
      </c>
      <c r="S222" s="3">
        <f t="shared" si="22"/>
        <v>92</v>
      </c>
      <c r="T222" s="3" t="str">
        <f t="shared" si="23"/>
        <v>Strong</v>
      </c>
    </row>
    <row r="223" spans="1:20" x14ac:dyDescent="0.25">
      <c r="A223" s="3" t="str">
        <f>RAW_DATA!A223</f>
        <v>APP222</v>
      </c>
      <c r="B223" s="3" t="b">
        <f>AND(RAW_DATA!B223&gt;=21,RAW_DATA!B223&lt;=60)</f>
        <v>1</v>
      </c>
      <c r="C223" s="3" t="b">
        <f>RAW_DATA!C223&gt;=300000</f>
        <v>0</v>
      </c>
      <c r="D223" s="3" t="b">
        <f>RAW_DATA!F223&gt;=650</f>
        <v>1</v>
      </c>
      <c r="E223" s="3" t="b">
        <f>RAW_DATA!E223&gt;=1</f>
        <v>1</v>
      </c>
      <c r="F223" s="3" t="b">
        <f>RAW_DATA!L223="No"</f>
        <v>0</v>
      </c>
      <c r="G223" s="3" t="b">
        <f t="shared" si="18"/>
        <v>0</v>
      </c>
      <c r="H223" s="3" t="str">
        <f t="shared" si="19"/>
        <v>INELIGIBLE</v>
      </c>
      <c r="I223" s="3" t="str">
        <f t="shared" si="20"/>
        <v>Income, Defaulter History</v>
      </c>
      <c r="K223" s="3" cm="1">
        <f t="array" ref="K2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3" s="5">
        <f>IF(RAW_DATA!C223&lt;300000,0,IF(RAW_DATA!C223&lt;600000,5,IF(RAW_DATA!C223&lt;1200000,15,IF(RAW_DATA!C223&lt;2000000,20,25))))</f>
        <v>0</v>
      </c>
      <c r="M223" s="3">
        <f>IF(RAW_DATA!E223&lt;1,0,IF(RAW_DATA!E223&lt;3,3,IF(RAW_DATA!E223&lt;5,5,IF(RAW_DATA!E223&lt;10,8,10))))</f>
        <v>10</v>
      </c>
      <c r="N223" s="3">
        <f>IF(RAW_DATA!F223&lt;650,0,IF(RAW_DATA!F223&lt;700,8,IF(RAW_DATA!F223&lt;750,15,IF(RAW_DATA!F223&lt;800,20,25))))</f>
        <v>8</v>
      </c>
      <c r="O223" s="3">
        <f>IF(RAW_DATA!G223=0,5,IF(RAW_DATA!G223=1,4,IF(RAW_DATA!G223=2,3,IF(RAW_DATA!G223=3,2,IF(RAW_DATA!G223=4,1,0)))))</f>
        <v>0</v>
      </c>
      <c r="P223" s="3">
        <f>IF(RAW_DATA!K223&gt;=RAW_DATA!H223,20,ROUND((RAW_DATA!K223/RAW_DATA!H223)*20,0))</f>
        <v>20</v>
      </c>
      <c r="Q223" s="3">
        <f>IF(RAW_DATA!L223="No",5,0)</f>
        <v>0</v>
      </c>
      <c r="R223" s="3">
        <f t="shared" si="21"/>
        <v>45</v>
      </c>
      <c r="S223" s="3">
        <f t="shared" si="22"/>
        <v>45</v>
      </c>
      <c r="T223" s="3" t="str">
        <f t="shared" si="23"/>
        <v>Not Scored - Ineligible</v>
      </c>
    </row>
    <row r="224" spans="1:20" x14ac:dyDescent="0.25">
      <c r="A224" s="3" t="str">
        <f>RAW_DATA!A224</f>
        <v>APP223</v>
      </c>
      <c r="B224" s="3" t="b">
        <f>AND(RAW_DATA!B224&gt;=21,RAW_DATA!B224&lt;=60)</f>
        <v>1</v>
      </c>
      <c r="C224" s="3" t="b">
        <f>RAW_DATA!C224&gt;=300000</f>
        <v>1</v>
      </c>
      <c r="D224" s="3" t="b">
        <f>RAW_DATA!F224&gt;=650</f>
        <v>0</v>
      </c>
      <c r="E224" s="3" t="b">
        <f>RAW_DATA!E224&gt;=1</f>
        <v>1</v>
      </c>
      <c r="F224" s="3" t="b">
        <f>RAW_DATA!L224="No"</f>
        <v>1</v>
      </c>
      <c r="G224" s="3" t="b">
        <f t="shared" si="18"/>
        <v>0</v>
      </c>
      <c r="H224" s="3" t="str">
        <f t="shared" si="19"/>
        <v>INELIGIBLE</v>
      </c>
      <c r="I224" s="3" t="str">
        <f t="shared" si="20"/>
        <v>Credit Score</v>
      </c>
      <c r="K224" s="3" cm="1">
        <f t="array" ref="K2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24" s="5">
        <f>IF(RAW_DATA!C224&lt;300000,0,IF(RAW_DATA!C224&lt;600000,5,IF(RAW_DATA!C224&lt;1200000,15,IF(RAW_DATA!C224&lt;2000000,20,25))))</f>
        <v>15</v>
      </c>
      <c r="M224" s="3">
        <f>IF(RAW_DATA!E224&lt;1,0,IF(RAW_DATA!E224&lt;3,3,IF(RAW_DATA!E224&lt;5,5,IF(RAW_DATA!E224&lt;10,8,10))))</f>
        <v>10</v>
      </c>
      <c r="N224" s="3">
        <f>IF(RAW_DATA!F224&lt;650,0,IF(RAW_DATA!F224&lt;700,8,IF(RAW_DATA!F224&lt;750,15,IF(RAW_DATA!F224&lt;800,20,25))))</f>
        <v>0</v>
      </c>
      <c r="O224" s="3">
        <f>IF(RAW_DATA!G224=0,5,IF(RAW_DATA!G224=1,4,IF(RAW_DATA!G224=2,3,IF(RAW_DATA!G224=3,2,IF(RAW_DATA!G224=4,1,0)))))</f>
        <v>4</v>
      </c>
      <c r="P224" s="3">
        <f>IF(RAW_DATA!K224&gt;=RAW_DATA!H224,20,ROUND((RAW_DATA!K224/RAW_DATA!H224)*20,0))</f>
        <v>20</v>
      </c>
      <c r="Q224" s="3">
        <f>IF(RAW_DATA!L224="No",5,0)</f>
        <v>5</v>
      </c>
      <c r="R224" s="3">
        <f t="shared" si="21"/>
        <v>64</v>
      </c>
      <c r="S224" s="3">
        <f t="shared" si="22"/>
        <v>64</v>
      </c>
      <c r="T224" s="3" t="str">
        <f t="shared" si="23"/>
        <v>Not Scored - Ineligible</v>
      </c>
    </row>
    <row r="225" spans="1:20" x14ac:dyDescent="0.25">
      <c r="A225" s="3" t="str">
        <f>RAW_DATA!A225</f>
        <v>APP224</v>
      </c>
      <c r="B225" s="3" t="b">
        <f>AND(RAW_DATA!B225&gt;=21,RAW_DATA!B225&lt;=60)</f>
        <v>1</v>
      </c>
      <c r="C225" s="3" t="b">
        <f>RAW_DATA!C225&gt;=300000</f>
        <v>1</v>
      </c>
      <c r="D225" s="3" t="b">
        <f>RAW_DATA!F225&gt;=650</f>
        <v>0</v>
      </c>
      <c r="E225" s="3" t="b">
        <f>RAW_DATA!E225&gt;=1</f>
        <v>1</v>
      </c>
      <c r="F225" s="3" t="b">
        <f>RAW_DATA!L225="No"</f>
        <v>0</v>
      </c>
      <c r="G225" s="3" t="b">
        <f t="shared" si="18"/>
        <v>0</v>
      </c>
      <c r="H225" s="3" t="str">
        <f t="shared" si="19"/>
        <v>INELIGIBLE</v>
      </c>
      <c r="I225" s="3" t="str">
        <f t="shared" si="20"/>
        <v>Credit Score, Defaulter History</v>
      </c>
      <c r="K225" s="3" cm="1">
        <f t="array" ref="K2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5" s="5">
        <f>IF(RAW_DATA!C225&lt;300000,0,IF(RAW_DATA!C225&lt;600000,5,IF(RAW_DATA!C225&lt;1200000,15,IF(RAW_DATA!C225&lt;2000000,20,25))))</f>
        <v>15</v>
      </c>
      <c r="M225" s="3">
        <f>IF(RAW_DATA!E225&lt;1,0,IF(RAW_DATA!E225&lt;3,3,IF(RAW_DATA!E225&lt;5,5,IF(RAW_DATA!E225&lt;10,8,10))))</f>
        <v>10</v>
      </c>
      <c r="N225" s="3">
        <f>IF(RAW_DATA!F225&lt;650,0,IF(RAW_DATA!F225&lt;700,8,IF(RAW_DATA!F225&lt;750,15,IF(RAW_DATA!F225&lt;800,20,25))))</f>
        <v>0</v>
      </c>
      <c r="O225" s="3">
        <f>IF(RAW_DATA!G225=0,5,IF(RAW_DATA!G225=1,4,IF(RAW_DATA!G225=2,3,IF(RAW_DATA!G225=3,2,IF(RAW_DATA!G225=4,1,0)))))</f>
        <v>0</v>
      </c>
      <c r="P225" s="3">
        <f>IF(RAW_DATA!K225&gt;=RAW_DATA!H225,20,ROUND((RAW_DATA!K225/RAW_DATA!H225)*20,0))</f>
        <v>20</v>
      </c>
      <c r="Q225" s="3">
        <f>IF(RAW_DATA!L225="No",5,0)</f>
        <v>0</v>
      </c>
      <c r="R225" s="3">
        <f t="shared" si="21"/>
        <v>52</v>
      </c>
      <c r="S225" s="3">
        <f t="shared" si="22"/>
        <v>52</v>
      </c>
      <c r="T225" s="3" t="str">
        <f t="shared" si="23"/>
        <v>Not Scored - Ineligible</v>
      </c>
    </row>
    <row r="226" spans="1:20" x14ac:dyDescent="0.25">
      <c r="A226" s="3" t="str">
        <f>RAW_DATA!A226</f>
        <v>APP225</v>
      </c>
      <c r="B226" s="3" t="b">
        <f>AND(RAW_DATA!B226&gt;=21,RAW_DATA!B226&lt;=60)</f>
        <v>0</v>
      </c>
      <c r="C226" s="3" t="b">
        <f>RAW_DATA!C226&gt;=300000</f>
        <v>1</v>
      </c>
      <c r="D226" s="3" t="b">
        <f>RAW_DATA!F226&gt;=650</f>
        <v>0</v>
      </c>
      <c r="E226" s="3" t="b">
        <f>RAW_DATA!E226&gt;=1</f>
        <v>1</v>
      </c>
      <c r="F226" s="3" t="b">
        <f>RAW_DATA!L226="No"</f>
        <v>1</v>
      </c>
      <c r="G226" s="3" t="b">
        <f t="shared" si="18"/>
        <v>0</v>
      </c>
      <c r="H226" s="3" t="str">
        <f t="shared" si="19"/>
        <v>INELIGIBLE</v>
      </c>
      <c r="I226" s="3" t="str">
        <f t="shared" si="20"/>
        <v>Age, Credit Score</v>
      </c>
      <c r="K226" s="3" cm="1">
        <f t="array" ref="K2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6" s="5">
        <f>IF(RAW_DATA!C226&lt;300000,0,IF(RAW_DATA!C226&lt;600000,5,IF(RAW_DATA!C226&lt;1200000,15,IF(RAW_DATA!C226&lt;2000000,20,25))))</f>
        <v>20</v>
      </c>
      <c r="M226" s="3">
        <f>IF(RAW_DATA!E226&lt;1,0,IF(RAW_DATA!E226&lt;3,3,IF(RAW_DATA!E226&lt;5,5,IF(RAW_DATA!E226&lt;10,8,10))))</f>
        <v>5</v>
      </c>
      <c r="N226" s="3">
        <f>IF(RAW_DATA!F226&lt;650,0,IF(RAW_DATA!F226&lt;700,8,IF(RAW_DATA!F226&lt;750,15,IF(RAW_DATA!F226&lt;800,20,25))))</f>
        <v>0</v>
      </c>
      <c r="O226" s="3">
        <f>IF(RAW_DATA!G226=0,5,IF(RAW_DATA!G226=1,4,IF(RAW_DATA!G226=2,3,IF(RAW_DATA!G226=3,2,IF(RAW_DATA!G226=4,1,0)))))</f>
        <v>0</v>
      </c>
      <c r="P226" s="3">
        <f>IF(RAW_DATA!K226&gt;=RAW_DATA!H226,20,ROUND((RAW_DATA!K226/RAW_DATA!H226)*20,0))</f>
        <v>20</v>
      </c>
      <c r="Q226" s="3">
        <f>IF(RAW_DATA!L226="No",5,0)</f>
        <v>5</v>
      </c>
      <c r="R226" s="3">
        <f t="shared" si="21"/>
        <v>50</v>
      </c>
      <c r="S226" s="3">
        <f t="shared" si="22"/>
        <v>50</v>
      </c>
      <c r="T226" s="3" t="str">
        <f t="shared" si="23"/>
        <v>Not Scored - Ineligible</v>
      </c>
    </row>
    <row r="227" spans="1:20" x14ac:dyDescent="0.25">
      <c r="A227" s="3" t="str">
        <f>RAW_DATA!A227</f>
        <v>APP226</v>
      </c>
      <c r="B227" s="3" t="b">
        <f>AND(RAW_DATA!B227&gt;=21,RAW_DATA!B227&lt;=60)</f>
        <v>1</v>
      </c>
      <c r="C227" s="3" t="b">
        <f>RAW_DATA!C227&gt;=300000</f>
        <v>1</v>
      </c>
      <c r="D227" s="3" t="b">
        <f>RAW_DATA!F227&gt;=650</f>
        <v>1</v>
      </c>
      <c r="E227" s="3" t="b">
        <f>RAW_DATA!E227&gt;=1</f>
        <v>1</v>
      </c>
      <c r="F227" s="3" t="b">
        <f>RAW_DATA!L227="No"</f>
        <v>0</v>
      </c>
      <c r="G227" s="3" t="b">
        <f t="shared" si="18"/>
        <v>0</v>
      </c>
      <c r="H227" s="3" t="str">
        <f t="shared" si="19"/>
        <v>INELIGIBLE</v>
      </c>
      <c r="I227" s="3" t="str">
        <f t="shared" si="20"/>
        <v>Defaulter History</v>
      </c>
      <c r="K227" s="3" cm="1">
        <f t="array" ref="K2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7" s="5">
        <f>IF(RAW_DATA!C227&lt;300000,0,IF(RAW_DATA!C227&lt;600000,5,IF(RAW_DATA!C227&lt;1200000,15,IF(RAW_DATA!C227&lt;2000000,20,25))))</f>
        <v>20</v>
      </c>
      <c r="M227" s="3">
        <f>IF(RAW_DATA!E227&lt;1,0,IF(RAW_DATA!E227&lt;3,3,IF(RAW_DATA!E227&lt;5,5,IF(RAW_DATA!E227&lt;10,8,10))))</f>
        <v>10</v>
      </c>
      <c r="N227" s="3">
        <f>IF(RAW_DATA!F227&lt;650,0,IF(RAW_DATA!F227&lt;700,8,IF(RAW_DATA!F227&lt;750,15,IF(RAW_DATA!F227&lt;800,20,25))))</f>
        <v>20</v>
      </c>
      <c r="O227" s="3">
        <f>IF(RAW_DATA!G227=0,5,IF(RAW_DATA!G227=1,4,IF(RAW_DATA!G227=2,3,IF(RAW_DATA!G227=3,2,IF(RAW_DATA!G227=4,1,0)))))</f>
        <v>0</v>
      </c>
      <c r="P227" s="3">
        <f>IF(RAW_DATA!K227&gt;=RAW_DATA!H227,20,ROUND((RAW_DATA!K227/RAW_DATA!H227)*20,0))</f>
        <v>18</v>
      </c>
      <c r="Q227" s="3">
        <f>IF(RAW_DATA!L227="No",5,0)</f>
        <v>0</v>
      </c>
      <c r="R227" s="3">
        <f t="shared" si="21"/>
        <v>76</v>
      </c>
      <c r="S227" s="3">
        <f t="shared" si="22"/>
        <v>76</v>
      </c>
      <c r="T227" s="3" t="str">
        <f t="shared" si="23"/>
        <v>Not Scored - Ineligible</v>
      </c>
    </row>
    <row r="228" spans="1:20" x14ac:dyDescent="0.25">
      <c r="A228" s="3" t="str">
        <f>RAW_DATA!A228</f>
        <v>APP227</v>
      </c>
      <c r="B228" s="3" t="b">
        <f>AND(RAW_DATA!B228&gt;=21,RAW_DATA!B228&lt;=60)</f>
        <v>0</v>
      </c>
      <c r="C228" s="3" t="b">
        <f>RAW_DATA!C228&gt;=300000</f>
        <v>1</v>
      </c>
      <c r="D228" s="3" t="b">
        <f>RAW_DATA!F228&gt;=650</f>
        <v>0</v>
      </c>
      <c r="E228" s="3" t="b">
        <f>RAW_DATA!E228&gt;=1</f>
        <v>1</v>
      </c>
      <c r="F228" s="3" t="b">
        <f>RAW_DATA!L228="No"</f>
        <v>0</v>
      </c>
      <c r="G228" s="3" t="b">
        <f t="shared" si="18"/>
        <v>0</v>
      </c>
      <c r="H228" s="3" t="str">
        <f t="shared" si="19"/>
        <v>INELIGIBLE</v>
      </c>
      <c r="I228" s="3" t="str">
        <f t="shared" si="20"/>
        <v>Age, Credit Score, Defaulter History</v>
      </c>
      <c r="K228" s="3" cm="1">
        <f t="array" ref="K2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8" s="5">
        <f>IF(RAW_DATA!C228&lt;300000,0,IF(RAW_DATA!C228&lt;600000,5,IF(RAW_DATA!C228&lt;1200000,15,IF(RAW_DATA!C228&lt;2000000,20,25))))</f>
        <v>15</v>
      </c>
      <c r="M228" s="3">
        <f>IF(RAW_DATA!E228&lt;1,0,IF(RAW_DATA!E228&lt;3,3,IF(RAW_DATA!E228&lt;5,5,IF(RAW_DATA!E228&lt;10,8,10))))</f>
        <v>10</v>
      </c>
      <c r="N228" s="3">
        <f>IF(RAW_DATA!F228&lt;650,0,IF(RAW_DATA!F228&lt;700,8,IF(RAW_DATA!F228&lt;750,15,IF(RAW_DATA!F228&lt;800,20,25))))</f>
        <v>0</v>
      </c>
      <c r="O228" s="3">
        <f>IF(RAW_DATA!G228=0,5,IF(RAW_DATA!G228=1,4,IF(RAW_DATA!G228=2,3,IF(RAW_DATA!G228=3,2,IF(RAW_DATA!G228=4,1,0)))))</f>
        <v>4</v>
      </c>
      <c r="P228" s="3">
        <f>IF(RAW_DATA!K228&gt;=RAW_DATA!H228,20,ROUND((RAW_DATA!K228/RAW_DATA!H228)*20,0))</f>
        <v>20</v>
      </c>
      <c r="Q228" s="3">
        <f>IF(RAW_DATA!L228="No",5,0)</f>
        <v>0</v>
      </c>
      <c r="R228" s="3">
        <f t="shared" si="21"/>
        <v>49</v>
      </c>
      <c r="S228" s="3">
        <f t="shared" si="22"/>
        <v>49</v>
      </c>
      <c r="T228" s="3" t="str">
        <f t="shared" si="23"/>
        <v>Not Scored - Ineligible</v>
      </c>
    </row>
    <row r="229" spans="1:20" x14ac:dyDescent="0.25">
      <c r="A229" s="3" t="str">
        <f>RAW_DATA!A229</f>
        <v>APP228</v>
      </c>
      <c r="B229" s="3" t="b">
        <f>AND(RAW_DATA!B229&gt;=21,RAW_DATA!B229&lt;=60)</f>
        <v>1</v>
      </c>
      <c r="C229" s="3" t="b">
        <f>RAW_DATA!C229&gt;=300000</f>
        <v>1</v>
      </c>
      <c r="D229" s="3" t="b">
        <f>RAW_DATA!F229&gt;=650</f>
        <v>0</v>
      </c>
      <c r="E229" s="3" t="b">
        <f>RAW_DATA!E229&gt;=1</f>
        <v>1</v>
      </c>
      <c r="F229" s="3" t="b">
        <f>RAW_DATA!L229="No"</f>
        <v>1</v>
      </c>
      <c r="G229" s="3" t="b">
        <f t="shared" si="18"/>
        <v>0</v>
      </c>
      <c r="H229" s="3" t="str">
        <f t="shared" si="19"/>
        <v>INELIGIBLE</v>
      </c>
      <c r="I229" s="3" t="str">
        <f t="shared" si="20"/>
        <v>Credit Score</v>
      </c>
      <c r="K229" s="3" cm="1">
        <f t="array" ref="K2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9" s="5">
        <f>IF(RAW_DATA!C229&lt;300000,0,IF(RAW_DATA!C229&lt;600000,5,IF(RAW_DATA!C229&lt;1200000,15,IF(RAW_DATA!C229&lt;2000000,20,25))))</f>
        <v>25</v>
      </c>
      <c r="M229" s="3">
        <f>IF(RAW_DATA!E229&lt;1,0,IF(RAW_DATA!E229&lt;3,3,IF(RAW_DATA!E229&lt;5,5,IF(RAW_DATA!E229&lt;10,8,10))))</f>
        <v>10</v>
      </c>
      <c r="N229" s="3">
        <f>IF(RAW_DATA!F229&lt;650,0,IF(RAW_DATA!F229&lt;700,8,IF(RAW_DATA!F229&lt;750,15,IF(RAW_DATA!F229&lt;800,20,25))))</f>
        <v>0</v>
      </c>
      <c r="O229" s="3">
        <f>IF(RAW_DATA!G229=0,5,IF(RAW_DATA!G229=1,4,IF(RAW_DATA!G229=2,3,IF(RAW_DATA!G229=3,2,IF(RAW_DATA!G229=4,1,0)))))</f>
        <v>5</v>
      </c>
      <c r="P229" s="3">
        <f>IF(RAW_DATA!K229&gt;=RAW_DATA!H229,20,ROUND((RAW_DATA!K229/RAW_DATA!H229)*20,0))</f>
        <v>6</v>
      </c>
      <c r="Q229" s="3">
        <f>IF(RAW_DATA!L229="No",5,0)</f>
        <v>5</v>
      </c>
      <c r="R229" s="3">
        <f t="shared" si="21"/>
        <v>59</v>
      </c>
      <c r="S229" s="3">
        <f t="shared" si="22"/>
        <v>59</v>
      </c>
      <c r="T229" s="3" t="str">
        <f t="shared" si="23"/>
        <v>Not Scored - Ineligible</v>
      </c>
    </row>
    <row r="230" spans="1:20" x14ac:dyDescent="0.25">
      <c r="A230" s="3" t="str">
        <f>RAW_DATA!A230</f>
        <v>APP229</v>
      </c>
      <c r="B230" s="3" t="b">
        <f>AND(RAW_DATA!B230&gt;=21,RAW_DATA!B230&lt;=60)</f>
        <v>1</v>
      </c>
      <c r="C230" s="3" t="b">
        <f>RAW_DATA!C230&gt;=300000</f>
        <v>1</v>
      </c>
      <c r="D230" s="3" t="b">
        <f>RAW_DATA!F230&gt;=650</f>
        <v>1</v>
      </c>
      <c r="E230" s="3" t="b">
        <f>RAW_DATA!E230&gt;=1</f>
        <v>1</v>
      </c>
      <c r="F230" s="3" t="b">
        <f>RAW_DATA!L230="No"</f>
        <v>0</v>
      </c>
      <c r="G230" s="3" t="b">
        <f t="shared" si="18"/>
        <v>0</v>
      </c>
      <c r="H230" s="3" t="str">
        <f t="shared" si="19"/>
        <v>INELIGIBLE</v>
      </c>
      <c r="I230" s="3" t="str">
        <f t="shared" si="20"/>
        <v>Defaulter History</v>
      </c>
      <c r="K230" s="3" cm="1">
        <f t="array" ref="K2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0" s="5">
        <f>IF(RAW_DATA!C230&lt;300000,0,IF(RAW_DATA!C230&lt;600000,5,IF(RAW_DATA!C230&lt;1200000,15,IF(RAW_DATA!C230&lt;2000000,20,25))))</f>
        <v>15</v>
      </c>
      <c r="M230" s="3">
        <f>IF(RAW_DATA!E230&lt;1,0,IF(RAW_DATA!E230&lt;3,3,IF(RAW_DATA!E230&lt;5,5,IF(RAW_DATA!E230&lt;10,8,10))))</f>
        <v>10</v>
      </c>
      <c r="N230" s="3">
        <f>IF(RAW_DATA!F230&lt;650,0,IF(RAW_DATA!F230&lt;700,8,IF(RAW_DATA!F230&lt;750,15,IF(RAW_DATA!F230&lt;800,20,25))))</f>
        <v>25</v>
      </c>
      <c r="O230" s="3">
        <f>IF(RAW_DATA!G230=0,5,IF(RAW_DATA!G230=1,4,IF(RAW_DATA!G230=2,3,IF(RAW_DATA!G230=3,2,IF(RAW_DATA!G230=4,1,0)))))</f>
        <v>5</v>
      </c>
      <c r="P230" s="3">
        <f>IF(RAW_DATA!K230&gt;=RAW_DATA!H230,20,ROUND((RAW_DATA!K230/RAW_DATA!H230)*20,0))</f>
        <v>20</v>
      </c>
      <c r="Q230" s="3">
        <f>IF(RAW_DATA!L230="No",5,0)</f>
        <v>0</v>
      </c>
      <c r="R230" s="3">
        <f t="shared" si="21"/>
        <v>82</v>
      </c>
      <c r="S230" s="3">
        <f t="shared" si="22"/>
        <v>82</v>
      </c>
      <c r="T230" s="3" t="str">
        <f t="shared" si="23"/>
        <v>Not Scored - Ineligible</v>
      </c>
    </row>
    <row r="231" spans="1:20" x14ac:dyDescent="0.25">
      <c r="A231" s="3" t="str">
        <f>RAW_DATA!A231</f>
        <v>APP230</v>
      </c>
      <c r="B231" s="3" t="b">
        <f>AND(RAW_DATA!B231&gt;=21,RAW_DATA!B231&lt;=60)</f>
        <v>1</v>
      </c>
      <c r="C231" s="3" t="b">
        <f>RAW_DATA!C231&gt;=300000</f>
        <v>1</v>
      </c>
      <c r="D231" s="3" t="b">
        <f>RAW_DATA!F231&gt;=650</f>
        <v>1</v>
      </c>
      <c r="E231" s="3" t="b">
        <f>RAW_DATA!E231&gt;=1</f>
        <v>1</v>
      </c>
      <c r="F231" s="3" t="b">
        <f>RAW_DATA!L231="No"</f>
        <v>1</v>
      </c>
      <c r="G231" s="3" t="b">
        <f t="shared" si="18"/>
        <v>1</v>
      </c>
      <c r="H231" s="3" t="str">
        <f t="shared" si="19"/>
        <v>ELIGIBLE</v>
      </c>
      <c r="I231" s="3" t="str">
        <f t="shared" si="20"/>
        <v/>
      </c>
      <c r="K231" s="3" cm="1">
        <f t="array" ref="K2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1" s="5">
        <f>IF(RAW_DATA!C231&lt;300000,0,IF(RAW_DATA!C231&lt;600000,5,IF(RAW_DATA!C231&lt;1200000,15,IF(RAW_DATA!C231&lt;2000000,20,25))))</f>
        <v>25</v>
      </c>
      <c r="M231" s="3">
        <f>IF(RAW_DATA!E231&lt;1,0,IF(RAW_DATA!E231&lt;3,3,IF(RAW_DATA!E231&lt;5,5,IF(RAW_DATA!E231&lt;10,8,10))))</f>
        <v>10</v>
      </c>
      <c r="N231" s="3">
        <f>IF(RAW_DATA!F231&lt;650,0,IF(RAW_DATA!F231&lt;700,8,IF(RAW_DATA!F231&lt;750,15,IF(RAW_DATA!F231&lt;800,20,25))))</f>
        <v>20</v>
      </c>
      <c r="O231" s="3">
        <f>IF(RAW_DATA!G231=0,5,IF(RAW_DATA!G231=1,4,IF(RAW_DATA!G231=2,3,IF(RAW_DATA!G231=3,2,IF(RAW_DATA!G231=4,1,0)))))</f>
        <v>3</v>
      </c>
      <c r="P231" s="3">
        <f>IF(RAW_DATA!K231&gt;=RAW_DATA!H231,20,ROUND((RAW_DATA!K231/RAW_DATA!H231)*20,0))</f>
        <v>20</v>
      </c>
      <c r="Q231" s="3">
        <f>IF(RAW_DATA!L231="No",5,0)</f>
        <v>5</v>
      </c>
      <c r="R231" s="3">
        <f t="shared" si="21"/>
        <v>91</v>
      </c>
      <c r="S231" s="3">
        <f t="shared" si="22"/>
        <v>91</v>
      </c>
      <c r="T231" s="3" t="str">
        <f t="shared" si="23"/>
        <v>Strong</v>
      </c>
    </row>
    <row r="232" spans="1:20" x14ac:dyDescent="0.25">
      <c r="A232" s="3" t="str">
        <f>RAW_DATA!A232</f>
        <v>APP231</v>
      </c>
      <c r="B232" s="3" t="b">
        <f>AND(RAW_DATA!B232&gt;=21,RAW_DATA!B232&lt;=60)</f>
        <v>1</v>
      </c>
      <c r="C232" s="3" t="b">
        <f>RAW_DATA!C232&gt;=300000</f>
        <v>1</v>
      </c>
      <c r="D232" s="3" t="b">
        <f>RAW_DATA!F232&gt;=650</f>
        <v>1</v>
      </c>
      <c r="E232" s="3" t="b">
        <f>RAW_DATA!E232&gt;=1</f>
        <v>1</v>
      </c>
      <c r="F232" s="3" t="b">
        <f>RAW_DATA!L232="No"</f>
        <v>0</v>
      </c>
      <c r="G232" s="3" t="b">
        <f t="shared" si="18"/>
        <v>0</v>
      </c>
      <c r="H232" s="3" t="str">
        <f t="shared" si="19"/>
        <v>INELIGIBLE</v>
      </c>
      <c r="I232" s="3" t="str">
        <f t="shared" si="20"/>
        <v>Defaulter History</v>
      </c>
      <c r="K232" s="3" cm="1">
        <f t="array" ref="K2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2" s="5">
        <f>IF(RAW_DATA!C232&lt;300000,0,IF(RAW_DATA!C232&lt;600000,5,IF(RAW_DATA!C232&lt;1200000,15,IF(RAW_DATA!C232&lt;2000000,20,25))))</f>
        <v>20</v>
      </c>
      <c r="M232" s="3">
        <f>IF(RAW_DATA!E232&lt;1,0,IF(RAW_DATA!E232&lt;3,3,IF(RAW_DATA!E232&lt;5,5,IF(RAW_DATA!E232&lt;10,8,10))))</f>
        <v>8</v>
      </c>
      <c r="N232" s="3">
        <f>IF(RAW_DATA!F232&lt;650,0,IF(RAW_DATA!F232&lt;700,8,IF(RAW_DATA!F232&lt;750,15,IF(RAW_DATA!F232&lt;800,20,25))))</f>
        <v>15</v>
      </c>
      <c r="O232" s="3">
        <f>IF(RAW_DATA!G232=0,5,IF(RAW_DATA!G232=1,4,IF(RAW_DATA!G232=2,3,IF(RAW_DATA!G232=3,2,IF(RAW_DATA!G232=4,1,0)))))</f>
        <v>1</v>
      </c>
      <c r="P232" s="3">
        <f>IF(RAW_DATA!K232&gt;=RAW_DATA!H232,20,ROUND((RAW_DATA!K232/RAW_DATA!H232)*20,0))</f>
        <v>20</v>
      </c>
      <c r="Q232" s="3">
        <f>IF(RAW_DATA!L232="No",5,0)</f>
        <v>0</v>
      </c>
      <c r="R232" s="3">
        <f t="shared" si="21"/>
        <v>71</v>
      </c>
      <c r="S232" s="3">
        <f t="shared" si="22"/>
        <v>71</v>
      </c>
      <c r="T232" s="3" t="str">
        <f t="shared" si="23"/>
        <v>Not Scored - Ineligible</v>
      </c>
    </row>
    <row r="233" spans="1:20" x14ac:dyDescent="0.25">
      <c r="A233" s="3" t="str">
        <f>RAW_DATA!A233</f>
        <v>APP232</v>
      </c>
      <c r="B233" s="3" t="b">
        <f>AND(RAW_DATA!B233&gt;=21,RAW_DATA!B233&lt;=60)</f>
        <v>1</v>
      </c>
      <c r="C233" s="3" t="b">
        <f>RAW_DATA!C233&gt;=300000</f>
        <v>1</v>
      </c>
      <c r="D233" s="3" t="b">
        <f>RAW_DATA!F233&gt;=650</f>
        <v>1</v>
      </c>
      <c r="E233" s="3" t="b">
        <f>RAW_DATA!E233&gt;=1</f>
        <v>1</v>
      </c>
      <c r="F233" s="3" t="b">
        <f>RAW_DATA!L233="No"</f>
        <v>1</v>
      </c>
      <c r="G233" s="3" t="b">
        <f t="shared" si="18"/>
        <v>1</v>
      </c>
      <c r="H233" s="3" t="str">
        <f t="shared" si="19"/>
        <v>ELIGIBLE</v>
      </c>
      <c r="I233" s="3" t="str">
        <f t="shared" si="20"/>
        <v/>
      </c>
      <c r="K233" s="3" cm="1">
        <f t="array" ref="K2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3" s="5">
        <f>IF(RAW_DATA!C233&lt;300000,0,IF(RAW_DATA!C233&lt;600000,5,IF(RAW_DATA!C233&lt;1200000,15,IF(RAW_DATA!C233&lt;2000000,20,25))))</f>
        <v>15</v>
      </c>
      <c r="M233" s="3">
        <f>IF(RAW_DATA!E233&lt;1,0,IF(RAW_DATA!E233&lt;3,3,IF(RAW_DATA!E233&lt;5,5,IF(RAW_DATA!E233&lt;10,8,10))))</f>
        <v>10</v>
      </c>
      <c r="N233" s="3">
        <f>IF(RAW_DATA!F233&lt;650,0,IF(RAW_DATA!F233&lt;700,8,IF(RAW_DATA!F233&lt;750,15,IF(RAW_DATA!F233&lt;800,20,25))))</f>
        <v>8</v>
      </c>
      <c r="O233" s="3">
        <f>IF(RAW_DATA!G233=0,5,IF(RAW_DATA!G233=1,4,IF(RAW_DATA!G233=2,3,IF(RAW_DATA!G233=3,2,IF(RAW_DATA!G233=4,1,0)))))</f>
        <v>1</v>
      </c>
      <c r="P233" s="3">
        <f>IF(RAW_DATA!K233&gt;=RAW_DATA!H233,20,ROUND((RAW_DATA!K233/RAW_DATA!H233)*20,0))</f>
        <v>20</v>
      </c>
      <c r="Q233" s="3">
        <f>IF(RAW_DATA!L233="No",5,0)</f>
        <v>5</v>
      </c>
      <c r="R233" s="3">
        <f t="shared" si="21"/>
        <v>69</v>
      </c>
      <c r="S233" s="3">
        <f t="shared" si="22"/>
        <v>69</v>
      </c>
      <c r="T233" s="3" t="str">
        <f t="shared" si="23"/>
        <v>Moderate</v>
      </c>
    </row>
    <row r="234" spans="1:20" x14ac:dyDescent="0.25">
      <c r="A234" s="3" t="str">
        <f>RAW_DATA!A234</f>
        <v>APP233</v>
      </c>
      <c r="B234" s="3" t="b">
        <f>AND(RAW_DATA!B234&gt;=21,RAW_DATA!B234&lt;=60)</f>
        <v>1</v>
      </c>
      <c r="C234" s="3" t="b">
        <f>RAW_DATA!C234&gt;=300000</f>
        <v>1</v>
      </c>
      <c r="D234" s="3" t="b">
        <f>RAW_DATA!F234&gt;=650</f>
        <v>0</v>
      </c>
      <c r="E234" s="3" t="b">
        <f>RAW_DATA!E234&gt;=1</f>
        <v>1</v>
      </c>
      <c r="F234" s="3" t="b">
        <f>RAW_DATA!L234="No"</f>
        <v>0</v>
      </c>
      <c r="G234" s="3" t="b">
        <f t="shared" si="18"/>
        <v>0</v>
      </c>
      <c r="H234" s="3" t="str">
        <f t="shared" si="19"/>
        <v>INELIGIBLE</v>
      </c>
      <c r="I234" s="3" t="str">
        <f t="shared" si="20"/>
        <v>Credit Score, Defaulter History</v>
      </c>
      <c r="K234" s="3" cm="1">
        <f t="array" ref="K2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4" s="5">
        <f>IF(RAW_DATA!C234&lt;300000,0,IF(RAW_DATA!C234&lt;600000,5,IF(RAW_DATA!C234&lt;1200000,15,IF(RAW_DATA!C234&lt;2000000,20,25))))</f>
        <v>20</v>
      </c>
      <c r="M234" s="3">
        <f>IF(RAW_DATA!E234&lt;1,0,IF(RAW_DATA!E234&lt;3,3,IF(RAW_DATA!E234&lt;5,5,IF(RAW_DATA!E234&lt;10,8,10))))</f>
        <v>10</v>
      </c>
      <c r="N234" s="3">
        <f>IF(RAW_DATA!F234&lt;650,0,IF(RAW_DATA!F234&lt;700,8,IF(RAW_DATA!F234&lt;750,15,IF(RAW_DATA!F234&lt;800,20,25))))</f>
        <v>0</v>
      </c>
      <c r="O234" s="3">
        <f>IF(RAW_DATA!G234=0,5,IF(RAW_DATA!G234=1,4,IF(RAW_DATA!G234=2,3,IF(RAW_DATA!G234=3,2,IF(RAW_DATA!G234=4,1,0)))))</f>
        <v>0</v>
      </c>
      <c r="P234" s="3">
        <f>IF(RAW_DATA!K234&gt;=RAW_DATA!H234,20,ROUND((RAW_DATA!K234/RAW_DATA!H234)*20,0))</f>
        <v>9</v>
      </c>
      <c r="Q234" s="3">
        <f>IF(RAW_DATA!L234="No",5,0)</f>
        <v>0</v>
      </c>
      <c r="R234" s="3">
        <f t="shared" si="21"/>
        <v>47</v>
      </c>
      <c r="S234" s="3">
        <f t="shared" si="22"/>
        <v>47</v>
      </c>
      <c r="T234" s="3" t="str">
        <f t="shared" si="23"/>
        <v>Not Scored - Ineligible</v>
      </c>
    </row>
    <row r="235" spans="1:20" x14ac:dyDescent="0.25">
      <c r="A235" s="3" t="str">
        <f>RAW_DATA!A235</f>
        <v>APP234</v>
      </c>
      <c r="B235" s="3" t="b">
        <f>AND(RAW_DATA!B235&gt;=21,RAW_DATA!B235&lt;=60)</f>
        <v>1</v>
      </c>
      <c r="C235" s="3" t="b">
        <f>RAW_DATA!C235&gt;=300000</f>
        <v>1</v>
      </c>
      <c r="D235" s="3" t="b">
        <f>RAW_DATA!F235&gt;=650</f>
        <v>1</v>
      </c>
      <c r="E235" s="3" t="b">
        <f>RAW_DATA!E235&gt;=1</f>
        <v>1</v>
      </c>
      <c r="F235" s="3" t="b">
        <f>RAW_DATA!L235="No"</f>
        <v>1</v>
      </c>
      <c r="G235" s="3" t="b">
        <f t="shared" si="18"/>
        <v>1</v>
      </c>
      <c r="H235" s="3" t="str">
        <f t="shared" si="19"/>
        <v>ELIGIBLE</v>
      </c>
      <c r="I235" s="3" t="str">
        <f t="shared" si="20"/>
        <v/>
      </c>
      <c r="K235" s="3" cm="1">
        <f t="array" ref="K2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5" s="5">
        <f>IF(RAW_DATA!C235&lt;300000,0,IF(RAW_DATA!C235&lt;600000,5,IF(RAW_DATA!C235&lt;1200000,15,IF(RAW_DATA!C235&lt;2000000,20,25))))</f>
        <v>25</v>
      </c>
      <c r="M235" s="3">
        <f>IF(RAW_DATA!E235&lt;1,0,IF(RAW_DATA!E235&lt;3,3,IF(RAW_DATA!E235&lt;5,5,IF(RAW_DATA!E235&lt;10,8,10))))</f>
        <v>10</v>
      </c>
      <c r="N235" s="3">
        <f>IF(RAW_DATA!F235&lt;650,0,IF(RAW_DATA!F235&lt;700,8,IF(RAW_DATA!F235&lt;750,15,IF(RAW_DATA!F235&lt;800,20,25))))</f>
        <v>20</v>
      </c>
      <c r="O235" s="3">
        <f>IF(RAW_DATA!G235=0,5,IF(RAW_DATA!G235=1,4,IF(RAW_DATA!G235=2,3,IF(RAW_DATA!G235=3,2,IF(RAW_DATA!G235=4,1,0)))))</f>
        <v>1</v>
      </c>
      <c r="P235" s="3">
        <f>IF(RAW_DATA!K235&gt;=RAW_DATA!H235,20,ROUND((RAW_DATA!K235/RAW_DATA!H235)*20,0))</f>
        <v>20</v>
      </c>
      <c r="Q235" s="3">
        <f>IF(RAW_DATA!L235="No",5,0)</f>
        <v>5</v>
      </c>
      <c r="R235" s="3">
        <f t="shared" si="21"/>
        <v>91</v>
      </c>
      <c r="S235" s="3">
        <f t="shared" si="22"/>
        <v>91</v>
      </c>
      <c r="T235" s="3" t="str">
        <f t="shared" si="23"/>
        <v>Strong</v>
      </c>
    </row>
    <row r="236" spans="1:20" x14ac:dyDescent="0.25">
      <c r="A236" s="3" t="str">
        <f>RAW_DATA!A236</f>
        <v>APP235</v>
      </c>
      <c r="B236" s="3" t="b">
        <f>AND(RAW_DATA!B236&gt;=21,RAW_DATA!B236&lt;=60)</f>
        <v>0</v>
      </c>
      <c r="C236" s="3" t="b">
        <f>RAW_DATA!C236&gt;=300000</f>
        <v>1</v>
      </c>
      <c r="D236" s="3" t="b">
        <f>RAW_DATA!F236&gt;=650</f>
        <v>0</v>
      </c>
      <c r="E236" s="3" t="b">
        <f>RAW_DATA!E236&gt;=1</f>
        <v>1</v>
      </c>
      <c r="F236" s="3" t="b">
        <f>RAW_DATA!L236="No"</f>
        <v>1</v>
      </c>
      <c r="G236" s="3" t="b">
        <f t="shared" si="18"/>
        <v>0</v>
      </c>
      <c r="H236" s="3" t="str">
        <f t="shared" si="19"/>
        <v>INELIGIBLE</v>
      </c>
      <c r="I236" s="3" t="str">
        <f t="shared" si="20"/>
        <v>Age, Credit Score</v>
      </c>
      <c r="K236" s="3" cm="1">
        <f t="array" ref="K2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36" s="5">
        <f>IF(RAW_DATA!C236&lt;300000,0,IF(RAW_DATA!C236&lt;600000,5,IF(RAW_DATA!C236&lt;1200000,15,IF(RAW_DATA!C236&lt;2000000,20,25))))</f>
        <v>25</v>
      </c>
      <c r="M236" s="3">
        <f>IF(RAW_DATA!E236&lt;1,0,IF(RAW_DATA!E236&lt;3,3,IF(RAW_DATA!E236&lt;5,5,IF(RAW_DATA!E236&lt;10,8,10))))</f>
        <v>10</v>
      </c>
      <c r="N236" s="3">
        <f>IF(RAW_DATA!F236&lt;650,0,IF(RAW_DATA!F236&lt;700,8,IF(RAW_DATA!F236&lt;750,15,IF(RAW_DATA!F236&lt;800,20,25))))</f>
        <v>0</v>
      </c>
      <c r="O236" s="3">
        <f>IF(RAW_DATA!G236=0,5,IF(RAW_DATA!G236=1,4,IF(RAW_DATA!G236=2,3,IF(RAW_DATA!G236=3,2,IF(RAW_DATA!G236=4,1,0)))))</f>
        <v>0</v>
      </c>
      <c r="P236" s="3">
        <f>IF(RAW_DATA!K236&gt;=RAW_DATA!H236,20,ROUND((RAW_DATA!K236/RAW_DATA!H236)*20,0))</f>
        <v>20</v>
      </c>
      <c r="Q236" s="3">
        <f>IF(RAW_DATA!L236="No",5,0)</f>
        <v>5</v>
      </c>
      <c r="R236" s="3">
        <f t="shared" si="21"/>
        <v>60</v>
      </c>
      <c r="S236" s="3">
        <f t="shared" si="22"/>
        <v>60</v>
      </c>
      <c r="T236" s="3" t="str">
        <f t="shared" si="23"/>
        <v>Not Scored - Ineligible</v>
      </c>
    </row>
    <row r="237" spans="1:20" x14ac:dyDescent="0.25">
      <c r="A237" s="3" t="str">
        <f>RAW_DATA!A237</f>
        <v>APP236</v>
      </c>
      <c r="B237" s="3" t="b">
        <f>AND(RAW_DATA!B237&gt;=21,RAW_DATA!B237&lt;=60)</f>
        <v>1</v>
      </c>
      <c r="C237" s="3" t="b">
        <f>RAW_DATA!C237&gt;=300000</f>
        <v>1</v>
      </c>
      <c r="D237" s="3" t="b">
        <f>RAW_DATA!F237&gt;=650</f>
        <v>0</v>
      </c>
      <c r="E237" s="3" t="b">
        <f>RAW_DATA!E237&gt;=1</f>
        <v>1</v>
      </c>
      <c r="F237" s="3" t="b">
        <f>RAW_DATA!L237="No"</f>
        <v>0</v>
      </c>
      <c r="G237" s="3" t="b">
        <f t="shared" si="18"/>
        <v>0</v>
      </c>
      <c r="H237" s="3" t="str">
        <f t="shared" si="19"/>
        <v>INELIGIBLE</v>
      </c>
      <c r="I237" s="3" t="str">
        <f t="shared" si="20"/>
        <v>Credit Score, Defaulter History</v>
      </c>
      <c r="K237" s="3" cm="1">
        <f t="array" ref="K2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7" s="5">
        <f>IF(RAW_DATA!C237&lt;300000,0,IF(RAW_DATA!C237&lt;600000,5,IF(RAW_DATA!C237&lt;1200000,15,IF(RAW_DATA!C237&lt;2000000,20,25))))</f>
        <v>5</v>
      </c>
      <c r="M237" s="3">
        <f>IF(RAW_DATA!E237&lt;1,0,IF(RAW_DATA!E237&lt;3,3,IF(RAW_DATA!E237&lt;5,5,IF(RAW_DATA!E237&lt;10,8,10))))</f>
        <v>10</v>
      </c>
      <c r="N237" s="3">
        <f>IF(RAW_DATA!F237&lt;650,0,IF(RAW_DATA!F237&lt;700,8,IF(RAW_DATA!F237&lt;750,15,IF(RAW_DATA!F237&lt;800,20,25))))</f>
        <v>0</v>
      </c>
      <c r="O237" s="3">
        <f>IF(RAW_DATA!G237=0,5,IF(RAW_DATA!G237=1,4,IF(RAW_DATA!G237=2,3,IF(RAW_DATA!G237=3,2,IF(RAW_DATA!G237=4,1,0)))))</f>
        <v>1</v>
      </c>
      <c r="P237" s="3">
        <f>IF(RAW_DATA!K237&gt;=RAW_DATA!H237,20,ROUND((RAW_DATA!K237/RAW_DATA!H237)*20,0))</f>
        <v>20</v>
      </c>
      <c r="Q237" s="3">
        <f>IF(RAW_DATA!L237="No",5,0)</f>
        <v>0</v>
      </c>
      <c r="R237" s="3">
        <f t="shared" si="21"/>
        <v>43</v>
      </c>
      <c r="S237" s="3">
        <f t="shared" si="22"/>
        <v>43</v>
      </c>
      <c r="T237" s="3" t="str">
        <f t="shared" si="23"/>
        <v>Not Scored - Ineligible</v>
      </c>
    </row>
    <row r="238" spans="1:20" x14ac:dyDescent="0.25">
      <c r="A238" s="3" t="str">
        <f>RAW_DATA!A238</f>
        <v>APP237</v>
      </c>
      <c r="B238" s="3" t="b">
        <f>AND(RAW_DATA!B238&gt;=21,RAW_DATA!B238&lt;=60)</f>
        <v>1</v>
      </c>
      <c r="C238" s="3" t="b">
        <f>RAW_DATA!C238&gt;=300000</f>
        <v>1</v>
      </c>
      <c r="D238" s="3" t="b">
        <f>RAW_DATA!F238&gt;=650</f>
        <v>0</v>
      </c>
      <c r="E238" s="3" t="b">
        <f>RAW_DATA!E238&gt;=1</f>
        <v>1</v>
      </c>
      <c r="F238" s="3" t="b">
        <f>RAW_DATA!L238="No"</f>
        <v>1</v>
      </c>
      <c r="G238" s="3" t="b">
        <f t="shared" si="18"/>
        <v>0</v>
      </c>
      <c r="H238" s="3" t="str">
        <f t="shared" si="19"/>
        <v>INELIGIBLE</v>
      </c>
      <c r="I238" s="3" t="str">
        <f t="shared" si="20"/>
        <v>Credit Score</v>
      </c>
      <c r="K238" s="3" cm="1">
        <f t="array" ref="K2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38" s="5">
        <f>IF(RAW_DATA!C238&lt;300000,0,IF(RAW_DATA!C238&lt;600000,5,IF(RAW_DATA!C238&lt;1200000,15,IF(RAW_DATA!C238&lt;2000000,20,25))))</f>
        <v>25</v>
      </c>
      <c r="M238" s="3">
        <f>IF(RAW_DATA!E238&lt;1,0,IF(RAW_DATA!E238&lt;3,3,IF(RAW_DATA!E238&lt;5,5,IF(RAW_DATA!E238&lt;10,8,10))))</f>
        <v>10</v>
      </c>
      <c r="N238" s="3">
        <f>IF(RAW_DATA!F238&lt;650,0,IF(RAW_DATA!F238&lt;700,8,IF(RAW_DATA!F238&lt;750,15,IF(RAW_DATA!F238&lt;800,20,25))))</f>
        <v>0</v>
      </c>
      <c r="O238" s="3">
        <f>IF(RAW_DATA!G238=0,5,IF(RAW_DATA!G238=1,4,IF(RAW_DATA!G238=2,3,IF(RAW_DATA!G238=3,2,IF(RAW_DATA!G238=4,1,0)))))</f>
        <v>2</v>
      </c>
      <c r="P238" s="3">
        <f>IF(RAW_DATA!K238&gt;=RAW_DATA!H238,20,ROUND((RAW_DATA!K238/RAW_DATA!H238)*20,0))</f>
        <v>2</v>
      </c>
      <c r="Q238" s="3">
        <f>IF(RAW_DATA!L238="No",5,0)</f>
        <v>5</v>
      </c>
      <c r="R238" s="3">
        <f t="shared" si="21"/>
        <v>48</v>
      </c>
      <c r="S238" s="3">
        <f t="shared" si="22"/>
        <v>48</v>
      </c>
      <c r="T238" s="3" t="str">
        <f t="shared" si="23"/>
        <v>Not Scored - Ineligible</v>
      </c>
    </row>
    <row r="239" spans="1:20" x14ac:dyDescent="0.25">
      <c r="A239" s="3" t="str">
        <f>RAW_DATA!A239</f>
        <v>APP238</v>
      </c>
      <c r="B239" s="3" t="b">
        <f>AND(RAW_DATA!B239&gt;=21,RAW_DATA!B239&lt;=60)</f>
        <v>1</v>
      </c>
      <c r="C239" s="3" t="b">
        <f>RAW_DATA!C239&gt;=300000</f>
        <v>1</v>
      </c>
      <c r="D239" s="3" t="b">
        <f>RAW_DATA!F239&gt;=650</f>
        <v>0</v>
      </c>
      <c r="E239" s="3" t="b">
        <f>RAW_DATA!E239&gt;=1</f>
        <v>1</v>
      </c>
      <c r="F239" s="3" t="b">
        <f>RAW_DATA!L239="No"</f>
        <v>0</v>
      </c>
      <c r="G239" s="3" t="b">
        <f t="shared" si="18"/>
        <v>0</v>
      </c>
      <c r="H239" s="3" t="str">
        <f t="shared" si="19"/>
        <v>INELIGIBLE</v>
      </c>
      <c r="I239" s="3" t="str">
        <f t="shared" si="20"/>
        <v>Credit Score, Defaulter History</v>
      </c>
      <c r="K239" s="3" cm="1">
        <f t="array" ref="K2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9" s="5">
        <f>IF(RAW_DATA!C239&lt;300000,0,IF(RAW_DATA!C239&lt;600000,5,IF(RAW_DATA!C239&lt;1200000,15,IF(RAW_DATA!C239&lt;2000000,20,25))))</f>
        <v>25</v>
      </c>
      <c r="M239" s="3">
        <f>IF(RAW_DATA!E239&lt;1,0,IF(RAW_DATA!E239&lt;3,3,IF(RAW_DATA!E239&lt;5,5,IF(RAW_DATA!E239&lt;10,8,10))))</f>
        <v>10</v>
      </c>
      <c r="N239" s="3">
        <f>IF(RAW_DATA!F239&lt;650,0,IF(RAW_DATA!F239&lt;700,8,IF(RAW_DATA!F239&lt;750,15,IF(RAW_DATA!F239&lt;800,20,25))))</f>
        <v>0</v>
      </c>
      <c r="O239" s="3">
        <f>IF(RAW_DATA!G239=0,5,IF(RAW_DATA!G239=1,4,IF(RAW_DATA!G239=2,3,IF(RAW_DATA!G239=3,2,IF(RAW_DATA!G239=4,1,0)))))</f>
        <v>1</v>
      </c>
      <c r="P239" s="3">
        <f>IF(RAW_DATA!K239&gt;=RAW_DATA!H239,20,ROUND((RAW_DATA!K239/RAW_DATA!H239)*20,0))</f>
        <v>20</v>
      </c>
      <c r="Q239" s="3">
        <f>IF(RAW_DATA!L239="No",5,0)</f>
        <v>0</v>
      </c>
      <c r="R239" s="3">
        <f t="shared" si="21"/>
        <v>63</v>
      </c>
      <c r="S239" s="3">
        <f t="shared" si="22"/>
        <v>63</v>
      </c>
      <c r="T239" s="3" t="str">
        <f t="shared" si="23"/>
        <v>Not Scored - Ineligible</v>
      </c>
    </row>
    <row r="240" spans="1:20" x14ac:dyDescent="0.25">
      <c r="A240" s="3" t="str">
        <f>RAW_DATA!A240</f>
        <v>APP239</v>
      </c>
      <c r="B240" s="3" t="b">
        <f>AND(RAW_DATA!B240&gt;=21,RAW_DATA!B240&lt;=60)</f>
        <v>1</v>
      </c>
      <c r="C240" s="3" t="b">
        <f>RAW_DATA!C240&gt;=300000</f>
        <v>1</v>
      </c>
      <c r="D240" s="3" t="b">
        <f>RAW_DATA!F240&gt;=650</f>
        <v>0</v>
      </c>
      <c r="E240" s="3" t="b">
        <f>RAW_DATA!E240&gt;=1</f>
        <v>1</v>
      </c>
      <c r="F240" s="3" t="b">
        <f>RAW_DATA!L240="No"</f>
        <v>1</v>
      </c>
      <c r="G240" s="3" t="b">
        <f t="shared" si="18"/>
        <v>0</v>
      </c>
      <c r="H240" s="3" t="str">
        <f t="shared" si="19"/>
        <v>INELIGIBLE</v>
      </c>
      <c r="I240" s="3" t="str">
        <f t="shared" si="20"/>
        <v>Credit Score</v>
      </c>
      <c r="K240" s="3" cm="1">
        <f t="array" ref="K2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0" s="5">
        <f>IF(RAW_DATA!C240&lt;300000,0,IF(RAW_DATA!C240&lt;600000,5,IF(RAW_DATA!C240&lt;1200000,15,IF(RAW_DATA!C240&lt;2000000,20,25))))</f>
        <v>15</v>
      </c>
      <c r="M240" s="3">
        <f>IF(RAW_DATA!E240&lt;1,0,IF(RAW_DATA!E240&lt;3,3,IF(RAW_DATA!E240&lt;5,5,IF(RAW_DATA!E240&lt;10,8,10))))</f>
        <v>10</v>
      </c>
      <c r="N240" s="3">
        <f>IF(RAW_DATA!F240&lt;650,0,IF(RAW_DATA!F240&lt;700,8,IF(RAW_DATA!F240&lt;750,15,IF(RAW_DATA!F240&lt;800,20,25))))</f>
        <v>0</v>
      </c>
      <c r="O240" s="3">
        <f>IF(RAW_DATA!G240=0,5,IF(RAW_DATA!G240=1,4,IF(RAW_DATA!G240=2,3,IF(RAW_DATA!G240=3,2,IF(RAW_DATA!G240=4,1,0)))))</f>
        <v>2</v>
      </c>
      <c r="P240" s="3">
        <f>IF(RAW_DATA!K240&gt;=RAW_DATA!H240,20,ROUND((RAW_DATA!K240/RAW_DATA!H240)*20,0))</f>
        <v>20</v>
      </c>
      <c r="Q240" s="3">
        <f>IF(RAW_DATA!L240="No",5,0)</f>
        <v>5</v>
      </c>
      <c r="R240" s="3">
        <f t="shared" si="21"/>
        <v>59</v>
      </c>
      <c r="S240" s="3">
        <f t="shared" si="22"/>
        <v>59</v>
      </c>
      <c r="T240" s="3" t="str">
        <f t="shared" si="23"/>
        <v>Not Scored - Ineligible</v>
      </c>
    </row>
    <row r="241" spans="1:20" x14ac:dyDescent="0.25">
      <c r="A241" s="3" t="str">
        <f>RAW_DATA!A241</f>
        <v>APP240</v>
      </c>
      <c r="B241" s="3" t="b">
        <f>AND(RAW_DATA!B241&gt;=21,RAW_DATA!B241&lt;=60)</f>
        <v>1</v>
      </c>
      <c r="C241" s="3" t="b">
        <f>RAW_DATA!C241&gt;=300000</f>
        <v>0</v>
      </c>
      <c r="D241" s="3" t="b">
        <f>RAW_DATA!F241&gt;=650</f>
        <v>1</v>
      </c>
      <c r="E241" s="3" t="b">
        <f>RAW_DATA!E241&gt;=1</f>
        <v>1</v>
      </c>
      <c r="F241" s="3" t="b">
        <f>RAW_DATA!L241="No"</f>
        <v>1</v>
      </c>
      <c r="G241" s="3" t="b">
        <f t="shared" si="18"/>
        <v>0</v>
      </c>
      <c r="H241" s="3" t="str">
        <f t="shared" si="19"/>
        <v>INELIGIBLE</v>
      </c>
      <c r="I241" s="3" t="str">
        <f t="shared" si="20"/>
        <v>Income</v>
      </c>
      <c r="K241" s="3" cm="1">
        <f t="array" ref="K2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1" s="5">
        <f>IF(RAW_DATA!C241&lt;300000,0,IF(RAW_DATA!C241&lt;600000,5,IF(RAW_DATA!C241&lt;1200000,15,IF(RAW_DATA!C241&lt;2000000,20,25))))</f>
        <v>0</v>
      </c>
      <c r="M241" s="3">
        <f>IF(RAW_DATA!E241&lt;1,0,IF(RAW_DATA!E241&lt;3,3,IF(RAW_DATA!E241&lt;5,5,IF(RAW_DATA!E241&lt;10,8,10))))</f>
        <v>8</v>
      </c>
      <c r="N241" s="3">
        <f>IF(RAW_DATA!F241&lt;650,0,IF(RAW_DATA!F241&lt;700,8,IF(RAW_DATA!F241&lt;750,15,IF(RAW_DATA!F241&lt;800,20,25))))</f>
        <v>8</v>
      </c>
      <c r="O241" s="3">
        <f>IF(RAW_DATA!G241=0,5,IF(RAW_DATA!G241=1,4,IF(RAW_DATA!G241=2,3,IF(RAW_DATA!G241=3,2,IF(RAW_DATA!G241=4,1,0)))))</f>
        <v>4</v>
      </c>
      <c r="P241" s="3">
        <f>IF(RAW_DATA!K241&gt;=RAW_DATA!H241,20,ROUND((RAW_DATA!K241/RAW_DATA!H241)*20,0))</f>
        <v>20</v>
      </c>
      <c r="Q241" s="3">
        <f>IF(RAW_DATA!L241="No",5,0)</f>
        <v>5</v>
      </c>
      <c r="R241" s="3">
        <f t="shared" si="21"/>
        <v>52</v>
      </c>
      <c r="S241" s="3">
        <f t="shared" si="22"/>
        <v>52</v>
      </c>
      <c r="T241" s="3" t="str">
        <f t="shared" si="23"/>
        <v>Not Scored - Ineligible</v>
      </c>
    </row>
    <row r="242" spans="1:20" x14ac:dyDescent="0.25">
      <c r="A242" s="3" t="str">
        <f>RAW_DATA!A242</f>
        <v>APP241</v>
      </c>
      <c r="B242" s="3" t="b">
        <f>AND(RAW_DATA!B242&gt;=21,RAW_DATA!B242&lt;=60)</f>
        <v>1</v>
      </c>
      <c r="C242" s="3" t="b">
        <f>RAW_DATA!C242&gt;=300000</f>
        <v>1</v>
      </c>
      <c r="D242" s="3" t="b">
        <f>RAW_DATA!F242&gt;=650</f>
        <v>1</v>
      </c>
      <c r="E242" s="3" t="b">
        <f>RAW_DATA!E242&gt;=1</f>
        <v>0</v>
      </c>
      <c r="F242" s="3" t="b">
        <f>RAW_DATA!L242="No"</f>
        <v>1</v>
      </c>
      <c r="G242" s="3" t="b">
        <f t="shared" si="18"/>
        <v>0</v>
      </c>
      <c r="H242" s="3" t="str">
        <f t="shared" si="19"/>
        <v>INELIGIBLE</v>
      </c>
      <c r="I242" s="3" t="str">
        <f t="shared" si="20"/>
        <v>Employment</v>
      </c>
      <c r="K242" s="3" cm="1">
        <f t="array" ref="K2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2" s="5">
        <f>IF(RAW_DATA!C242&lt;300000,0,IF(RAW_DATA!C242&lt;600000,5,IF(RAW_DATA!C242&lt;1200000,15,IF(RAW_DATA!C242&lt;2000000,20,25))))</f>
        <v>25</v>
      </c>
      <c r="M242" s="3">
        <f>IF(RAW_DATA!E242&lt;1,0,IF(RAW_DATA!E242&lt;3,3,IF(RAW_DATA!E242&lt;5,5,IF(RAW_DATA!E242&lt;10,8,10))))</f>
        <v>0</v>
      </c>
      <c r="N242" s="3">
        <f>IF(RAW_DATA!F242&lt;650,0,IF(RAW_DATA!F242&lt;700,8,IF(RAW_DATA!F242&lt;750,15,IF(RAW_DATA!F242&lt;800,20,25))))</f>
        <v>25</v>
      </c>
      <c r="O242" s="3">
        <f>IF(RAW_DATA!G242=0,5,IF(RAW_DATA!G242=1,4,IF(RAW_DATA!G242=2,3,IF(RAW_DATA!G242=3,2,IF(RAW_DATA!G242=4,1,0)))))</f>
        <v>0</v>
      </c>
      <c r="P242" s="3">
        <f>IF(RAW_DATA!K242&gt;=RAW_DATA!H242,20,ROUND((RAW_DATA!K242/RAW_DATA!H242)*20,0))</f>
        <v>20</v>
      </c>
      <c r="Q242" s="3">
        <f>IF(RAW_DATA!L242="No",5,0)</f>
        <v>5</v>
      </c>
      <c r="R242" s="3">
        <f t="shared" si="21"/>
        <v>85</v>
      </c>
      <c r="S242" s="3">
        <f t="shared" si="22"/>
        <v>85</v>
      </c>
      <c r="T242" s="3" t="str">
        <f t="shared" si="23"/>
        <v>Not Scored - Ineligible</v>
      </c>
    </row>
    <row r="243" spans="1:20" x14ac:dyDescent="0.25">
      <c r="A243" s="3" t="str">
        <f>RAW_DATA!A243</f>
        <v>APP242</v>
      </c>
      <c r="B243" s="3" t="b">
        <f>AND(RAW_DATA!B243&gt;=21,RAW_DATA!B243&lt;=60)</f>
        <v>1</v>
      </c>
      <c r="C243" s="3" t="b">
        <f>RAW_DATA!C243&gt;=300000</f>
        <v>1</v>
      </c>
      <c r="D243" s="3" t="b">
        <f>RAW_DATA!F243&gt;=650</f>
        <v>0</v>
      </c>
      <c r="E243" s="3" t="b">
        <f>RAW_DATA!E243&gt;=1</f>
        <v>1</v>
      </c>
      <c r="F243" s="3" t="b">
        <f>RAW_DATA!L243="No"</f>
        <v>1</v>
      </c>
      <c r="G243" s="3" t="b">
        <f t="shared" si="18"/>
        <v>0</v>
      </c>
      <c r="H243" s="3" t="str">
        <f t="shared" si="19"/>
        <v>INELIGIBLE</v>
      </c>
      <c r="I243" s="3" t="str">
        <f t="shared" si="20"/>
        <v>Credit Score</v>
      </c>
      <c r="K243" s="3" cm="1">
        <f t="array" ref="K2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3" s="5">
        <f>IF(RAW_DATA!C243&lt;300000,0,IF(RAW_DATA!C243&lt;600000,5,IF(RAW_DATA!C243&lt;1200000,15,IF(RAW_DATA!C243&lt;2000000,20,25))))</f>
        <v>25</v>
      </c>
      <c r="M243" s="3">
        <f>IF(RAW_DATA!E243&lt;1,0,IF(RAW_DATA!E243&lt;3,3,IF(RAW_DATA!E243&lt;5,5,IF(RAW_DATA!E243&lt;10,8,10))))</f>
        <v>3</v>
      </c>
      <c r="N243" s="3">
        <f>IF(RAW_DATA!F243&lt;650,0,IF(RAW_DATA!F243&lt;700,8,IF(RAW_DATA!F243&lt;750,15,IF(RAW_DATA!F243&lt;800,20,25))))</f>
        <v>0</v>
      </c>
      <c r="O243" s="3">
        <f>IF(RAW_DATA!G243=0,5,IF(RAW_DATA!G243=1,4,IF(RAW_DATA!G243=2,3,IF(RAW_DATA!G243=3,2,IF(RAW_DATA!G243=4,1,0)))))</f>
        <v>3</v>
      </c>
      <c r="P243" s="3">
        <f>IF(RAW_DATA!K243&gt;=RAW_DATA!H243,20,ROUND((RAW_DATA!K243/RAW_DATA!H243)*20,0))</f>
        <v>20</v>
      </c>
      <c r="Q243" s="3">
        <f>IF(RAW_DATA!L243="No",5,0)</f>
        <v>5</v>
      </c>
      <c r="R243" s="3">
        <f t="shared" si="21"/>
        <v>64</v>
      </c>
      <c r="S243" s="3">
        <f t="shared" si="22"/>
        <v>64</v>
      </c>
      <c r="T243" s="3" t="str">
        <f t="shared" si="23"/>
        <v>Not Scored - Ineligible</v>
      </c>
    </row>
    <row r="244" spans="1:20" x14ac:dyDescent="0.25">
      <c r="A244" s="3" t="str">
        <f>RAW_DATA!A244</f>
        <v>APP243</v>
      </c>
      <c r="B244" s="3" t="b">
        <f>AND(RAW_DATA!B244&gt;=21,RAW_DATA!B244&lt;=60)</f>
        <v>0</v>
      </c>
      <c r="C244" s="3" t="b">
        <f>RAW_DATA!C244&gt;=300000</f>
        <v>1</v>
      </c>
      <c r="D244" s="3" t="b">
        <f>RAW_DATA!F244&gt;=650</f>
        <v>1</v>
      </c>
      <c r="E244" s="3" t="b">
        <f>RAW_DATA!E244&gt;=1</f>
        <v>1</v>
      </c>
      <c r="F244" s="3" t="b">
        <f>RAW_DATA!L244="No"</f>
        <v>1</v>
      </c>
      <c r="G244" s="3" t="b">
        <f t="shared" si="18"/>
        <v>0</v>
      </c>
      <c r="H244" s="3" t="str">
        <f t="shared" si="19"/>
        <v>INELIGIBLE</v>
      </c>
      <c r="I244" s="3" t="str">
        <f t="shared" si="20"/>
        <v>Age</v>
      </c>
      <c r="K244" s="3" cm="1">
        <f t="array" ref="K2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4" s="5">
        <f>IF(RAW_DATA!C244&lt;300000,0,IF(RAW_DATA!C244&lt;600000,5,IF(RAW_DATA!C244&lt;1200000,15,IF(RAW_DATA!C244&lt;2000000,20,25))))</f>
        <v>5</v>
      </c>
      <c r="M244" s="3">
        <f>IF(RAW_DATA!E244&lt;1,0,IF(RAW_DATA!E244&lt;3,3,IF(RAW_DATA!E244&lt;5,5,IF(RAW_DATA!E244&lt;10,8,10))))</f>
        <v>10</v>
      </c>
      <c r="N244" s="3">
        <f>IF(RAW_DATA!F244&lt;650,0,IF(RAW_DATA!F244&lt;700,8,IF(RAW_DATA!F244&lt;750,15,IF(RAW_DATA!F244&lt;800,20,25))))</f>
        <v>8</v>
      </c>
      <c r="O244" s="3">
        <f>IF(RAW_DATA!G244=0,5,IF(RAW_DATA!G244=1,4,IF(RAW_DATA!G244=2,3,IF(RAW_DATA!G244=3,2,IF(RAW_DATA!G244=4,1,0)))))</f>
        <v>0</v>
      </c>
      <c r="P244" s="3">
        <f>IF(RAW_DATA!K244&gt;=RAW_DATA!H244,20,ROUND((RAW_DATA!K244/RAW_DATA!H244)*20,0))</f>
        <v>20</v>
      </c>
      <c r="Q244" s="3">
        <f>IF(RAW_DATA!L244="No",5,0)</f>
        <v>5</v>
      </c>
      <c r="R244" s="3">
        <f t="shared" si="21"/>
        <v>48</v>
      </c>
      <c r="S244" s="3">
        <f t="shared" si="22"/>
        <v>48</v>
      </c>
      <c r="T244" s="3" t="str">
        <f t="shared" si="23"/>
        <v>Not Scored - Ineligible</v>
      </c>
    </row>
    <row r="245" spans="1:20" x14ac:dyDescent="0.25">
      <c r="A245" s="3" t="str">
        <f>RAW_DATA!A245</f>
        <v>APP244</v>
      </c>
      <c r="B245" s="3" t="b">
        <f>AND(RAW_DATA!B245&gt;=21,RAW_DATA!B245&lt;=60)</f>
        <v>1</v>
      </c>
      <c r="C245" s="3" t="b">
        <f>RAW_DATA!C245&gt;=300000</f>
        <v>1</v>
      </c>
      <c r="D245" s="3" t="b">
        <f>RAW_DATA!F245&gt;=650</f>
        <v>1</v>
      </c>
      <c r="E245" s="3" t="b">
        <f>RAW_DATA!E245&gt;=1</f>
        <v>1</v>
      </c>
      <c r="F245" s="3" t="b">
        <f>RAW_DATA!L245="No"</f>
        <v>0</v>
      </c>
      <c r="G245" s="3" t="b">
        <f t="shared" si="18"/>
        <v>0</v>
      </c>
      <c r="H245" s="3" t="str">
        <f t="shared" si="19"/>
        <v>INELIGIBLE</v>
      </c>
      <c r="I245" s="3" t="str">
        <f t="shared" si="20"/>
        <v>Defaulter History</v>
      </c>
      <c r="K245" s="3" cm="1">
        <f t="array" ref="K2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5" s="5">
        <f>IF(RAW_DATA!C245&lt;300000,0,IF(RAW_DATA!C245&lt;600000,5,IF(RAW_DATA!C245&lt;1200000,15,IF(RAW_DATA!C245&lt;2000000,20,25))))</f>
        <v>25</v>
      </c>
      <c r="M245" s="3">
        <f>IF(RAW_DATA!E245&lt;1,0,IF(RAW_DATA!E245&lt;3,3,IF(RAW_DATA!E245&lt;5,5,IF(RAW_DATA!E245&lt;10,8,10))))</f>
        <v>10</v>
      </c>
      <c r="N245" s="3">
        <f>IF(RAW_DATA!F245&lt;650,0,IF(RAW_DATA!F245&lt;700,8,IF(RAW_DATA!F245&lt;750,15,IF(RAW_DATA!F245&lt;800,20,25))))</f>
        <v>20</v>
      </c>
      <c r="O245" s="3">
        <f>IF(RAW_DATA!G245=0,5,IF(RAW_DATA!G245=1,4,IF(RAW_DATA!G245=2,3,IF(RAW_DATA!G245=3,2,IF(RAW_DATA!G245=4,1,0)))))</f>
        <v>0</v>
      </c>
      <c r="P245" s="3">
        <f>IF(RAW_DATA!K245&gt;=RAW_DATA!H245,20,ROUND((RAW_DATA!K245/RAW_DATA!H245)*20,0))</f>
        <v>20</v>
      </c>
      <c r="Q245" s="3">
        <f>IF(RAW_DATA!L245="No",5,0)</f>
        <v>0</v>
      </c>
      <c r="R245" s="3">
        <f t="shared" si="21"/>
        <v>85</v>
      </c>
      <c r="S245" s="3">
        <f t="shared" si="22"/>
        <v>85</v>
      </c>
      <c r="T245" s="3" t="str">
        <f t="shared" si="23"/>
        <v>Not Scored - Ineligible</v>
      </c>
    </row>
    <row r="246" spans="1:20" x14ac:dyDescent="0.25">
      <c r="A246" s="3" t="str">
        <f>RAW_DATA!A246</f>
        <v>APP245</v>
      </c>
      <c r="B246" s="3" t="b">
        <f>AND(RAW_DATA!B246&gt;=21,RAW_DATA!B246&lt;=60)</f>
        <v>1</v>
      </c>
      <c r="C246" s="3" t="b">
        <f>RAW_DATA!C246&gt;=300000</f>
        <v>1</v>
      </c>
      <c r="D246" s="3" t="b">
        <f>RAW_DATA!F246&gt;=650</f>
        <v>0</v>
      </c>
      <c r="E246" s="3" t="b">
        <f>RAW_DATA!E246&gt;=1</f>
        <v>1</v>
      </c>
      <c r="F246" s="3" t="b">
        <f>RAW_DATA!L246="No"</f>
        <v>1</v>
      </c>
      <c r="G246" s="3" t="b">
        <f t="shared" si="18"/>
        <v>0</v>
      </c>
      <c r="H246" s="3" t="str">
        <f t="shared" si="19"/>
        <v>INELIGIBLE</v>
      </c>
      <c r="I246" s="3" t="str">
        <f t="shared" si="20"/>
        <v>Credit Score</v>
      </c>
      <c r="K246" s="3" cm="1">
        <f t="array" ref="K2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6" s="5">
        <f>IF(RAW_DATA!C246&lt;300000,0,IF(RAW_DATA!C246&lt;600000,5,IF(RAW_DATA!C246&lt;1200000,15,IF(RAW_DATA!C246&lt;2000000,20,25))))</f>
        <v>25</v>
      </c>
      <c r="M246" s="3">
        <f>IF(RAW_DATA!E246&lt;1,0,IF(RAW_DATA!E246&lt;3,3,IF(RAW_DATA!E246&lt;5,5,IF(RAW_DATA!E246&lt;10,8,10))))</f>
        <v>10</v>
      </c>
      <c r="N246" s="3">
        <f>IF(RAW_DATA!F246&lt;650,0,IF(RAW_DATA!F246&lt;700,8,IF(RAW_DATA!F246&lt;750,15,IF(RAW_DATA!F246&lt;800,20,25))))</f>
        <v>0</v>
      </c>
      <c r="O246" s="3">
        <f>IF(RAW_DATA!G246=0,5,IF(RAW_DATA!G246=1,4,IF(RAW_DATA!G246=2,3,IF(RAW_DATA!G246=3,2,IF(RAW_DATA!G246=4,1,0)))))</f>
        <v>3</v>
      </c>
      <c r="P246" s="3">
        <f>IF(RAW_DATA!K246&gt;=RAW_DATA!H246,20,ROUND((RAW_DATA!K246/RAW_DATA!H246)*20,0))</f>
        <v>10</v>
      </c>
      <c r="Q246" s="3">
        <f>IF(RAW_DATA!L246="No",5,0)</f>
        <v>5</v>
      </c>
      <c r="R246" s="3">
        <f t="shared" si="21"/>
        <v>63</v>
      </c>
      <c r="S246" s="3">
        <f t="shared" si="22"/>
        <v>63</v>
      </c>
      <c r="T246" s="3" t="str">
        <f t="shared" si="23"/>
        <v>Not Scored - Ineligible</v>
      </c>
    </row>
    <row r="247" spans="1:20" x14ac:dyDescent="0.25">
      <c r="A247" s="3" t="str">
        <f>RAW_DATA!A247</f>
        <v>APP246</v>
      </c>
      <c r="B247" s="3" t="b">
        <f>AND(RAW_DATA!B247&gt;=21,RAW_DATA!B247&lt;=60)</f>
        <v>0</v>
      </c>
      <c r="C247" s="3" t="b">
        <f>RAW_DATA!C247&gt;=300000</f>
        <v>1</v>
      </c>
      <c r="D247" s="3" t="b">
        <f>RAW_DATA!F247&gt;=650</f>
        <v>1</v>
      </c>
      <c r="E247" s="3" t="b">
        <f>RAW_DATA!E247&gt;=1</f>
        <v>1</v>
      </c>
      <c r="F247" s="3" t="b">
        <f>RAW_DATA!L247="No"</f>
        <v>1</v>
      </c>
      <c r="G247" s="3" t="b">
        <f t="shared" si="18"/>
        <v>0</v>
      </c>
      <c r="H247" s="3" t="str">
        <f t="shared" si="19"/>
        <v>INELIGIBLE</v>
      </c>
      <c r="I247" s="3" t="str">
        <f t="shared" si="20"/>
        <v>Age</v>
      </c>
      <c r="K247" s="3" cm="1">
        <f t="array" ref="K2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7" s="5">
        <f>IF(RAW_DATA!C247&lt;300000,0,IF(RAW_DATA!C247&lt;600000,5,IF(RAW_DATA!C247&lt;1200000,15,IF(RAW_DATA!C247&lt;2000000,20,25))))</f>
        <v>5</v>
      </c>
      <c r="M247" s="3">
        <f>IF(RAW_DATA!E247&lt;1,0,IF(RAW_DATA!E247&lt;3,3,IF(RAW_DATA!E247&lt;5,5,IF(RAW_DATA!E247&lt;10,8,10))))</f>
        <v>10</v>
      </c>
      <c r="N247" s="3">
        <f>IF(RAW_DATA!F247&lt;650,0,IF(RAW_DATA!F247&lt;700,8,IF(RAW_DATA!F247&lt;750,15,IF(RAW_DATA!F247&lt;800,20,25))))</f>
        <v>8</v>
      </c>
      <c r="O247" s="3">
        <f>IF(RAW_DATA!G247=0,5,IF(RAW_DATA!G247=1,4,IF(RAW_DATA!G247=2,3,IF(RAW_DATA!G247=3,2,IF(RAW_DATA!G247=4,1,0)))))</f>
        <v>4</v>
      </c>
      <c r="P247" s="3">
        <f>IF(RAW_DATA!K247&gt;=RAW_DATA!H247,20,ROUND((RAW_DATA!K247/RAW_DATA!H247)*20,0))</f>
        <v>10</v>
      </c>
      <c r="Q247" s="3">
        <f>IF(RAW_DATA!L247="No",5,0)</f>
        <v>5</v>
      </c>
      <c r="R247" s="3">
        <f t="shared" si="21"/>
        <v>42</v>
      </c>
      <c r="S247" s="3">
        <f t="shared" si="22"/>
        <v>42</v>
      </c>
      <c r="T247" s="3" t="str">
        <f t="shared" si="23"/>
        <v>Not Scored - Ineligible</v>
      </c>
    </row>
    <row r="248" spans="1:20" x14ac:dyDescent="0.25">
      <c r="A248" s="3" t="str">
        <f>RAW_DATA!A248</f>
        <v>APP247</v>
      </c>
      <c r="B248" s="3" t="b">
        <f>AND(RAW_DATA!B248&gt;=21,RAW_DATA!B248&lt;=60)</f>
        <v>1</v>
      </c>
      <c r="C248" s="3" t="b">
        <f>RAW_DATA!C248&gt;=300000</f>
        <v>1</v>
      </c>
      <c r="D248" s="3" t="b">
        <f>RAW_DATA!F248&gt;=650</f>
        <v>0</v>
      </c>
      <c r="E248" s="3" t="b">
        <f>RAW_DATA!E248&gt;=1</f>
        <v>1</v>
      </c>
      <c r="F248" s="3" t="b">
        <f>RAW_DATA!L248="No"</f>
        <v>1</v>
      </c>
      <c r="G248" s="3" t="b">
        <f t="shared" si="18"/>
        <v>0</v>
      </c>
      <c r="H248" s="3" t="str">
        <f t="shared" si="19"/>
        <v>INELIGIBLE</v>
      </c>
      <c r="I248" s="3" t="str">
        <f t="shared" si="20"/>
        <v>Credit Score</v>
      </c>
      <c r="K248" s="3" cm="1">
        <f t="array" ref="K2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8" s="5">
        <f>IF(RAW_DATA!C248&lt;300000,0,IF(RAW_DATA!C248&lt;600000,5,IF(RAW_DATA!C248&lt;1200000,15,IF(RAW_DATA!C248&lt;2000000,20,25))))</f>
        <v>20</v>
      </c>
      <c r="M248" s="3">
        <f>IF(RAW_DATA!E248&lt;1,0,IF(RAW_DATA!E248&lt;3,3,IF(RAW_DATA!E248&lt;5,5,IF(RAW_DATA!E248&lt;10,8,10))))</f>
        <v>3</v>
      </c>
      <c r="N248" s="3">
        <f>IF(RAW_DATA!F248&lt;650,0,IF(RAW_DATA!F248&lt;700,8,IF(RAW_DATA!F248&lt;750,15,IF(RAW_DATA!F248&lt;800,20,25))))</f>
        <v>0</v>
      </c>
      <c r="O248" s="3">
        <f>IF(RAW_DATA!G248=0,5,IF(RAW_DATA!G248=1,4,IF(RAW_DATA!G248=2,3,IF(RAW_DATA!G248=3,2,IF(RAW_DATA!G248=4,1,0)))))</f>
        <v>1</v>
      </c>
      <c r="P248" s="3">
        <f>IF(RAW_DATA!K248&gt;=RAW_DATA!H248,20,ROUND((RAW_DATA!K248/RAW_DATA!H248)*20,0))</f>
        <v>9</v>
      </c>
      <c r="Q248" s="3">
        <f>IF(RAW_DATA!L248="No",5,0)</f>
        <v>5</v>
      </c>
      <c r="R248" s="3">
        <f t="shared" si="21"/>
        <v>46</v>
      </c>
      <c r="S248" s="3">
        <f t="shared" si="22"/>
        <v>46</v>
      </c>
      <c r="T248" s="3" t="str">
        <f t="shared" si="23"/>
        <v>Not Scored - Ineligible</v>
      </c>
    </row>
    <row r="249" spans="1:20" x14ac:dyDescent="0.25">
      <c r="A249" s="3" t="str">
        <f>RAW_DATA!A249</f>
        <v>APP248</v>
      </c>
      <c r="B249" s="3" t="b">
        <f>AND(RAW_DATA!B249&gt;=21,RAW_DATA!B249&lt;=60)</f>
        <v>1</v>
      </c>
      <c r="C249" s="3" t="b">
        <f>RAW_DATA!C249&gt;=300000</f>
        <v>0</v>
      </c>
      <c r="D249" s="3" t="b">
        <f>RAW_DATA!F249&gt;=650</f>
        <v>0</v>
      </c>
      <c r="E249" s="3" t="b">
        <f>RAW_DATA!E249&gt;=1</f>
        <v>1</v>
      </c>
      <c r="F249" s="3" t="b">
        <f>RAW_DATA!L249="No"</f>
        <v>1</v>
      </c>
      <c r="G249" s="3" t="b">
        <f t="shared" si="18"/>
        <v>0</v>
      </c>
      <c r="H249" s="3" t="str">
        <f t="shared" si="19"/>
        <v>INELIGIBLE</v>
      </c>
      <c r="I249" s="3" t="str">
        <f t="shared" si="20"/>
        <v>Income, Credit Score</v>
      </c>
      <c r="K249" s="3" cm="1">
        <f t="array" ref="K2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9" s="5">
        <f>IF(RAW_DATA!C249&lt;300000,0,IF(RAW_DATA!C249&lt;600000,5,IF(RAW_DATA!C249&lt;1200000,15,IF(RAW_DATA!C249&lt;2000000,20,25))))</f>
        <v>0</v>
      </c>
      <c r="M249" s="3">
        <f>IF(RAW_DATA!E249&lt;1,0,IF(RAW_DATA!E249&lt;3,3,IF(RAW_DATA!E249&lt;5,5,IF(RAW_DATA!E249&lt;10,8,10))))</f>
        <v>10</v>
      </c>
      <c r="N249" s="3">
        <f>IF(RAW_DATA!F249&lt;650,0,IF(RAW_DATA!F249&lt;700,8,IF(RAW_DATA!F249&lt;750,15,IF(RAW_DATA!F249&lt;800,20,25))))</f>
        <v>0</v>
      </c>
      <c r="O249" s="3">
        <f>IF(RAW_DATA!G249=0,5,IF(RAW_DATA!G249=1,4,IF(RAW_DATA!G249=2,3,IF(RAW_DATA!G249=3,2,IF(RAW_DATA!G249=4,1,0)))))</f>
        <v>2</v>
      </c>
      <c r="P249" s="3">
        <f>IF(RAW_DATA!K249&gt;=RAW_DATA!H249,20,ROUND((RAW_DATA!K249/RAW_DATA!H249)*20,0))</f>
        <v>20</v>
      </c>
      <c r="Q249" s="3">
        <f>IF(RAW_DATA!L249="No",5,0)</f>
        <v>5</v>
      </c>
      <c r="R249" s="3">
        <f t="shared" si="21"/>
        <v>45</v>
      </c>
      <c r="S249" s="3">
        <f t="shared" si="22"/>
        <v>45</v>
      </c>
      <c r="T249" s="3" t="str">
        <f t="shared" si="23"/>
        <v>Not Scored - Ineligible</v>
      </c>
    </row>
    <row r="250" spans="1:20" x14ac:dyDescent="0.25">
      <c r="A250" s="3" t="str">
        <f>RAW_DATA!A250</f>
        <v>APP249</v>
      </c>
      <c r="B250" s="3" t="b">
        <f>AND(RAW_DATA!B250&gt;=21,RAW_DATA!B250&lt;=60)</f>
        <v>1</v>
      </c>
      <c r="C250" s="3" t="b">
        <f>RAW_DATA!C250&gt;=300000</f>
        <v>1</v>
      </c>
      <c r="D250" s="3" t="b">
        <f>RAW_DATA!F250&gt;=650</f>
        <v>1</v>
      </c>
      <c r="E250" s="3" t="b">
        <f>RAW_DATA!E250&gt;=1</f>
        <v>1</v>
      </c>
      <c r="F250" s="3" t="b">
        <f>RAW_DATA!L250="No"</f>
        <v>1</v>
      </c>
      <c r="G250" s="3" t="b">
        <f t="shared" si="18"/>
        <v>1</v>
      </c>
      <c r="H250" s="3" t="str">
        <f t="shared" si="19"/>
        <v>ELIGIBLE</v>
      </c>
      <c r="I250" s="3" t="str">
        <f t="shared" si="20"/>
        <v/>
      </c>
      <c r="K250" s="3" cm="1">
        <f t="array" ref="K2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0" s="5">
        <f>IF(RAW_DATA!C250&lt;300000,0,IF(RAW_DATA!C250&lt;600000,5,IF(RAW_DATA!C250&lt;1200000,15,IF(RAW_DATA!C250&lt;2000000,20,25))))</f>
        <v>15</v>
      </c>
      <c r="M250" s="3">
        <f>IF(RAW_DATA!E250&lt;1,0,IF(RAW_DATA!E250&lt;3,3,IF(RAW_DATA!E250&lt;5,5,IF(RAW_DATA!E250&lt;10,8,10))))</f>
        <v>10</v>
      </c>
      <c r="N250" s="3">
        <f>IF(RAW_DATA!F250&lt;650,0,IF(RAW_DATA!F250&lt;700,8,IF(RAW_DATA!F250&lt;750,15,IF(RAW_DATA!F250&lt;800,20,25))))</f>
        <v>20</v>
      </c>
      <c r="O250" s="3">
        <f>IF(RAW_DATA!G250=0,5,IF(RAW_DATA!G250=1,4,IF(RAW_DATA!G250=2,3,IF(RAW_DATA!G250=3,2,IF(RAW_DATA!G250=4,1,0)))))</f>
        <v>1</v>
      </c>
      <c r="P250" s="3">
        <f>IF(RAW_DATA!K250&gt;=RAW_DATA!H250,20,ROUND((RAW_DATA!K250/RAW_DATA!H250)*20,0))</f>
        <v>20</v>
      </c>
      <c r="Q250" s="3">
        <f>IF(RAW_DATA!L250="No",5,0)</f>
        <v>5</v>
      </c>
      <c r="R250" s="3">
        <f t="shared" si="21"/>
        <v>78</v>
      </c>
      <c r="S250" s="3">
        <f t="shared" si="22"/>
        <v>78</v>
      </c>
      <c r="T250" s="3" t="str">
        <f t="shared" si="23"/>
        <v>Strong</v>
      </c>
    </row>
    <row r="251" spans="1:20" x14ac:dyDescent="0.25">
      <c r="A251" s="3" t="str">
        <f>RAW_DATA!A251</f>
        <v>APP250</v>
      </c>
      <c r="B251" s="3" t="b">
        <f>AND(RAW_DATA!B251&gt;=21,RAW_DATA!B251&lt;=60)</f>
        <v>1</v>
      </c>
      <c r="C251" s="3" t="b">
        <f>RAW_DATA!C251&gt;=300000</f>
        <v>1</v>
      </c>
      <c r="D251" s="3" t="b">
        <f>RAW_DATA!F251&gt;=650</f>
        <v>0</v>
      </c>
      <c r="E251" s="3" t="b">
        <f>RAW_DATA!E251&gt;=1</f>
        <v>1</v>
      </c>
      <c r="F251" s="3" t="b">
        <f>RAW_DATA!L251="No"</f>
        <v>1</v>
      </c>
      <c r="G251" s="3" t="b">
        <f t="shared" si="18"/>
        <v>0</v>
      </c>
      <c r="H251" s="3" t="str">
        <f t="shared" si="19"/>
        <v>INELIGIBLE</v>
      </c>
      <c r="I251" s="3" t="str">
        <f t="shared" si="20"/>
        <v>Credit Score</v>
      </c>
      <c r="K251" s="3" cm="1">
        <f t="array" ref="K2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1" s="5">
        <f>IF(RAW_DATA!C251&lt;300000,0,IF(RAW_DATA!C251&lt;600000,5,IF(RAW_DATA!C251&lt;1200000,15,IF(RAW_DATA!C251&lt;2000000,20,25))))</f>
        <v>5</v>
      </c>
      <c r="M251" s="3">
        <f>IF(RAW_DATA!E251&lt;1,0,IF(RAW_DATA!E251&lt;3,3,IF(RAW_DATA!E251&lt;5,5,IF(RAW_DATA!E251&lt;10,8,10))))</f>
        <v>10</v>
      </c>
      <c r="N251" s="3">
        <f>IF(RAW_DATA!F251&lt;650,0,IF(RAW_DATA!F251&lt;700,8,IF(RAW_DATA!F251&lt;750,15,IF(RAW_DATA!F251&lt;800,20,25))))</f>
        <v>0</v>
      </c>
      <c r="O251" s="3">
        <f>IF(RAW_DATA!G251=0,5,IF(RAW_DATA!G251=1,4,IF(RAW_DATA!G251=2,3,IF(RAW_DATA!G251=3,2,IF(RAW_DATA!G251=4,1,0)))))</f>
        <v>5</v>
      </c>
      <c r="P251" s="3">
        <f>IF(RAW_DATA!K251&gt;=RAW_DATA!H251,20,ROUND((RAW_DATA!K251/RAW_DATA!H251)*20,0))</f>
        <v>20</v>
      </c>
      <c r="Q251" s="3">
        <f>IF(RAW_DATA!L251="No",5,0)</f>
        <v>5</v>
      </c>
      <c r="R251" s="3">
        <f t="shared" si="21"/>
        <v>51</v>
      </c>
      <c r="S251" s="3">
        <f t="shared" si="22"/>
        <v>51</v>
      </c>
      <c r="T251" s="3" t="str">
        <f t="shared" si="23"/>
        <v>Not Scored - Ineligible</v>
      </c>
    </row>
    <row r="252" spans="1:20" x14ac:dyDescent="0.25">
      <c r="A252" s="3" t="str">
        <f>RAW_DATA!A252</f>
        <v>APP251</v>
      </c>
      <c r="B252" s="3" t="b">
        <f>AND(RAW_DATA!B252&gt;=21,RAW_DATA!B252&lt;=60)</f>
        <v>1</v>
      </c>
      <c r="C252" s="3" t="b">
        <f>RAW_DATA!C252&gt;=300000</f>
        <v>1</v>
      </c>
      <c r="D252" s="3" t="b">
        <f>RAW_DATA!F252&gt;=650</f>
        <v>0</v>
      </c>
      <c r="E252" s="3" t="b">
        <f>RAW_DATA!E252&gt;=1</f>
        <v>1</v>
      </c>
      <c r="F252" s="3" t="b">
        <f>RAW_DATA!L252="No"</f>
        <v>1</v>
      </c>
      <c r="G252" s="3" t="b">
        <f t="shared" si="18"/>
        <v>0</v>
      </c>
      <c r="H252" s="3" t="str">
        <f t="shared" si="19"/>
        <v>INELIGIBLE</v>
      </c>
      <c r="I252" s="3" t="str">
        <f t="shared" si="20"/>
        <v>Credit Score</v>
      </c>
      <c r="K252" s="3" cm="1">
        <f t="array" ref="K2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52" s="5">
        <f>IF(RAW_DATA!C252&lt;300000,0,IF(RAW_DATA!C252&lt;600000,5,IF(RAW_DATA!C252&lt;1200000,15,IF(RAW_DATA!C252&lt;2000000,20,25))))</f>
        <v>15</v>
      </c>
      <c r="M252" s="3">
        <f>IF(RAW_DATA!E252&lt;1,0,IF(RAW_DATA!E252&lt;3,3,IF(RAW_DATA!E252&lt;5,5,IF(RAW_DATA!E252&lt;10,8,10))))</f>
        <v>8</v>
      </c>
      <c r="N252" s="3">
        <f>IF(RAW_DATA!F252&lt;650,0,IF(RAW_DATA!F252&lt;700,8,IF(RAW_DATA!F252&lt;750,15,IF(RAW_DATA!F252&lt;800,20,25))))</f>
        <v>0</v>
      </c>
      <c r="O252" s="3">
        <f>IF(RAW_DATA!G252=0,5,IF(RAW_DATA!G252=1,4,IF(RAW_DATA!G252=2,3,IF(RAW_DATA!G252=3,2,IF(RAW_DATA!G252=4,1,0)))))</f>
        <v>5</v>
      </c>
      <c r="P252" s="3">
        <f>IF(RAW_DATA!K252&gt;=RAW_DATA!H252,20,ROUND((RAW_DATA!K252/RAW_DATA!H252)*20,0))</f>
        <v>20</v>
      </c>
      <c r="Q252" s="3">
        <f>IF(RAW_DATA!L252="No",5,0)</f>
        <v>5</v>
      </c>
      <c r="R252" s="3">
        <f t="shared" si="21"/>
        <v>61</v>
      </c>
      <c r="S252" s="3">
        <f t="shared" si="22"/>
        <v>61</v>
      </c>
      <c r="T252" s="3" t="str">
        <f t="shared" si="23"/>
        <v>Not Scored - Ineligible</v>
      </c>
    </row>
    <row r="253" spans="1:20" x14ac:dyDescent="0.25">
      <c r="A253" s="3" t="str">
        <f>RAW_DATA!A253</f>
        <v>APP252</v>
      </c>
      <c r="B253" s="3" t="b">
        <f>AND(RAW_DATA!B253&gt;=21,RAW_DATA!B253&lt;=60)</f>
        <v>1</v>
      </c>
      <c r="C253" s="3" t="b">
        <f>RAW_DATA!C253&gt;=300000</f>
        <v>1</v>
      </c>
      <c r="D253" s="3" t="b">
        <f>RAW_DATA!F253&gt;=650</f>
        <v>0</v>
      </c>
      <c r="E253" s="3" t="b">
        <f>RAW_DATA!E253&gt;=1</f>
        <v>1</v>
      </c>
      <c r="F253" s="3" t="b">
        <f>RAW_DATA!L253="No"</f>
        <v>0</v>
      </c>
      <c r="G253" s="3" t="b">
        <f t="shared" si="18"/>
        <v>0</v>
      </c>
      <c r="H253" s="3" t="str">
        <f t="shared" si="19"/>
        <v>INELIGIBLE</v>
      </c>
      <c r="I253" s="3" t="str">
        <f t="shared" si="20"/>
        <v>Credit Score, Defaulter History</v>
      </c>
      <c r="K253" s="3" cm="1">
        <f t="array" ref="K2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3" s="5">
        <f>IF(RAW_DATA!C253&lt;300000,0,IF(RAW_DATA!C253&lt;600000,5,IF(RAW_DATA!C253&lt;1200000,15,IF(RAW_DATA!C253&lt;2000000,20,25))))</f>
        <v>20</v>
      </c>
      <c r="M253" s="3">
        <f>IF(RAW_DATA!E253&lt;1,0,IF(RAW_DATA!E253&lt;3,3,IF(RAW_DATA!E253&lt;5,5,IF(RAW_DATA!E253&lt;10,8,10))))</f>
        <v>5</v>
      </c>
      <c r="N253" s="3">
        <f>IF(RAW_DATA!F253&lt;650,0,IF(RAW_DATA!F253&lt;700,8,IF(RAW_DATA!F253&lt;750,15,IF(RAW_DATA!F253&lt;800,20,25))))</f>
        <v>0</v>
      </c>
      <c r="O253" s="3">
        <f>IF(RAW_DATA!G253=0,5,IF(RAW_DATA!G253=1,4,IF(RAW_DATA!G253=2,3,IF(RAW_DATA!G253=3,2,IF(RAW_DATA!G253=4,1,0)))))</f>
        <v>5</v>
      </c>
      <c r="P253" s="3">
        <f>IF(RAW_DATA!K253&gt;=RAW_DATA!H253,20,ROUND((RAW_DATA!K253/RAW_DATA!H253)*20,0))</f>
        <v>17</v>
      </c>
      <c r="Q253" s="3">
        <f>IF(RAW_DATA!L253="No",5,0)</f>
        <v>0</v>
      </c>
      <c r="R253" s="3">
        <f t="shared" si="21"/>
        <v>57</v>
      </c>
      <c r="S253" s="3">
        <f t="shared" si="22"/>
        <v>57</v>
      </c>
      <c r="T253" s="3" t="str">
        <f t="shared" si="23"/>
        <v>Not Scored - Ineligible</v>
      </c>
    </row>
    <row r="254" spans="1:20" x14ac:dyDescent="0.25">
      <c r="A254" s="3" t="str">
        <f>RAW_DATA!A254</f>
        <v>APP253</v>
      </c>
      <c r="B254" s="3" t="b">
        <f>AND(RAW_DATA!B254&gt;=21,RAW_DATA!B254&lt;=60)</f>
        <v>1</v>
      </c>
      <c r="C254" s="3" t="b">
        <f>RAW_DATA!C254&gt;=300000</f>
        <v>1</v>
      </c>
      <c r="D254" s="3" t="b">
        <f>RAW_DATA!F254&gt;=650</f>
        <v>0</v>
      </c>
      <c r="E254" s="3" t="b">
        <f>RAW_DATA!E254&gt;=1</f>
        <v>1</v>
      </c>
      <c r="F254" s="3" t="b">
        <f>RAW_DATA!L254="No"</f>
        <v>1</v>
      </c>
      <c r="G254" s="3" t="b">
        <f t="shared" si="18"/>
        <v>0</v>
      </c>
      <c r="H254" s="3" t="str">
        <f t="shared" si="19"/>
        <v>INELIGIBLE</v>
      </c>
      <c r="I254" s="3" t="str">
        <f t="shared" si="20"/>
        <v>Credit Score</v>
      </c>
      <c r="K254" s="3" cm="1">
        <f t="array" ref="K2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4" s="5">
        <f>IF(RAW_DATA!C254&lt;300000,0,IF(RAW_DATA!C254&lt;600000,5,IF(RAW_DATA!C254&lt;1200000,15,IF(RAW_DATA!C254&lt;2000000,20,25))))</f>
        <v>25</v>
      </c>
      <c r="M254" s="3">
        <f>IF(RAW_DATA!E254&lt;1,0,IF(RAW_DATA!E254&lt;3,3,IF(RAW_DATA!E254&lt;5,5,IF(RAW_DATA!E254&lt;10,8,10))))</f>
        <v>10</v>
      </c>
      <c r="N254" s="3">
        <f>IF(RAW_DATA!F254&lt;650,0,IF(RAW_DATA!F254&lt;700,8,IF(RAW_DATA!F254&lt;750,15,IF(RAW_DATA!F254&lt;800,20,25))))</f>
        <v>0</v>
      </c>
      <c r="O254" s="3">
        <f>IF(RAW_DATA!G254=0,5,IF(RAW_DATA!G254=1,4,IF(RAW_DATA!G254=2,3,IF(RAW_DATA!G254=3,2,IF(RAW_DATA!G254=4,1,0)))))</f>
        <v>5</v>
      </c>
      <c r="P254" s="3">
        <f>IF(RAW_DATA!K254&gt;=RAW_DATA!H254,20,ROUND((RAW_DATA!K254/RAW_DATA!H254)*20,0))</f>
        <v>20</v>
      </c>
      <c r="Q254" s="3">
        <f>IF(RAW_DATA!L254="No",5,0)</f>
        <v>5</v>
      </c>
      <c r="R254" s="3">
        <f t="shared" si="21"/>
        <v>72</v>
      </c>
      <c r="S254" s="3">
        <f t="shared" si="22"/>
        <v>72</v>
      </c>
      <c r="T254" s="3" t="str">
        <f t="shared" si="23"/>
        <v>Not Scored - Ineligible</v>
      </c>
    </row>
    <row r="255" spans="1:20" x14ac:dyDescent="0.25">
      <c r="A255" s="3" t="str">
        <f>RAW_DATA!A255</f>
        <v>APP254</v>
      </c>
      <c r="B255" s="3" t="b">
        <f>AND(RAW_DATA!B255&gt;=21,RAW_DATA!B255&lt;=60)</f>
        <v>1</v>
      </c>
      <c r="C255" s="3" t="b">
        <f>RAW_DATA!C255&gt;=300000</f>
        <v>0</v>
      </c>
      <c r="D255" s="3" t="b">
        <f>RAW_DATA!F255&gt;=650</f>
        <v>0</v>
      </c>
      <c r="E255" s="3" t="b">
        <f>RAW_DATA!E255&gt;=1</f>
        <v>1</v>
      </c>
      <c r="F255" s="3" t="b">
        <f>RAW_DATA!L255="No"</f>
        <v>1</v>
      </c>
      <c r="G255" s="3" t="b">
        <f t="shared" si="18"/>
        <v>0</v>
      </c>
      <c r="H255" s="3" t="str">
        <f t="shared" si="19"/>
        <v>INELIGIBLE</v>
      </c>
      <c r="I255" s="3" t="str">
        <f t="shared" si="20"/>
        <v>Income, Credit Score</v>
      </c>
      <c r="K255" s="3" cm="1">
        <f t="array" ref="K2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55" s="5">
        <f>IF(RAW_DATA!C255&lt;300000,0,IF(RAW_DATA!C255&lt;600000,5,IF(RAW_DATA!C255&lt;1200000,15,IF(RAW_DATA!C255&lt;2000000,20,25))))</f>
        <v>0</v>
      </c>
      <c r="M255" s="3">
        <f>IF(RAW_DATA!E255&lt;1,0,IF(RAW_DATA!E255&lt;3,3,IF(RAW_DATA!E255&lt;5,5,IF(RAW_DATA!E255&lt;10,8,10))))</f>
        <v>10</v>
      </c>
      <c r="N255" s="3">
        <f>IF(RAW_DATA!F255&lt;650,0,IF(RAW_DATA!F255&lt;700,8,IF(RAW_DATA!F255&lt;750,15,IF(RAW_DATA!F255&lt;800,20,25))))</f>
        <v>0</v>
      </c>
      <c r="O255" s="3">
        <f>IF(RAW_DATA!G255=0,5,IF(RAW_DATA!G255=1,4,IF(RAW_DATA!G255=2,3,IF(RAW_DATA!G255=3,2,IF(RAW_DATA!G255=4,1,0)))))</f>
        <v>0</v>
      </c>
      <c r="P255" s="3">
        <f>IF(RAW_DATA!K255&gt;=RAW_DATA!H255,20,ROUND((RAW_DATA!K255/RAW_DATA!H255)*20,0))</f>
        <v>5</v>
      </c>
      <c r="Q255" s="3">
        <f>IF(RAW_DATA!L255="No",5,0)</f>
        <v>5</v>
      </c>
      <c r="R255" s="3">
        <f t="shared" si="21"/>
        <v>24</v>
      </c>
      <c r="S255" s="3">
        <f t="shared" si="22"/>
        <v>24</v>
      </c>
      <c r="T255" s="3" t="str">
        <f t="shared" si="23"/>
        <v>Not Scored - Ineligible</v>
      </c>
    </row>
    <row r="256" spans="1:20" x14ac:dyDescent="0.25">
      <c r="A256" s="3" t="str">
        <f>RAW_DATA!A256</f>
        <v>APP255</v>
      </c>
      <c r="B256" s="3" t="b">
        <f>AND(RAW_DATA!B256&gt;=21,RAW_DATA!B256&lt;=60)</f>
        <v>0</v>
      </c>
      <c r="C256" s="3" t="b">
        <f>RAW_DATA!C256&gt;=300000</f>
        <v>1</v>
      </c>
      <c r="D256" s="3" t="b">
        <f>RAW_DATA!F256&gt;=650</f>
        <v>1</v>
      </c>
      <c r="E256" s="3" t="b">
        <f>RAW_DATA!E256&gt;=1</f>
        <v>1</v>
      </c>
      <c r="F256" s="3" t="b">
        <f>RAW_DATA!L256="No"</f>
        <v>0</v>
      </c>
      <c r="G256" s="3" t="b">
        <f t="shared" si="18"/>
        <v>0</v>
      </c>
      <c r="H256" s="3" t="str">
        <f t="shared" si="19"/>
        <v>INELIGIBLE</v>
      </c>
      <c r="I256" s="3" t="str">
        <f t="shared" si="20"/>
        <v>Age, Defaulter History</v>
      </c>
      <c r="K256" s="3" cm="1">
        <f t="array" ref="K2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6" s="5">
        <f>IF(RAW_DATA!C256&lt;300000,0,IF(RAW_DATA!C256&lt;600000,5,IF(RAW_DATA!C256&lt;1200000,15,IF(RAW_DATA!C256&lt;2000000,20,25))))</f>
        <v>20</v>
      </c>
      <c r="M256" s="3">
        <f>IF(RAW_DATA!E256&lt;1,0,IF(RAW_DATA!E256&lt;3,3,IF(RAW_DATA!E256&lt;5,5,IF(RAW_DATA!E256&lt;10,8,10))))</f>
        <v>10</v>
      </c>
      <c r="N256" s="3">
        <f>IF(RAW_DATA!F256&lt;650,0,IF(RAW_DATA!F256&lt;700,8,IF(RAW_DATA!F256&lt;750,15,IF(RAW_DATA!F256&lt;800,20,25))))</f>
        <v>20</v>
      </c>
      <c r="O256" s="3">
        <f>IF(RAW_DATA!G256=0,5,IF(RAW_DATA!G256=1,4,IF(RAW_DATA!G256=2,3,IF(RAW_DATA!G256=3,2,IF(RAW_DATA!G256=4,1,0)))))</f>
        <v>0</v>
      </c>
      <c r="P256" s="3">
        <f>IF(RAW_DATA!K256&gt;=RAW_DATA!H256,20,ROUND((RAW_DATA!K256/RAW_DATA!H256)*20,0))</f>
        <v>20</v>
      </c>
      <c r="Q256" s="3">
        <f>IF(RAW_DATA!L256="No",5,0)</f>
        <v>0</v>
      </c>
      <c r="R256" s="3">
        <f t="shared" si="21"/>
        <v>70</v>
      </c>
      <c r="S256" s="3">
        <f t="shared" si="22"/>
        <v>70</v>
      </c>
      <c r="T256" s="3" t="str">
        <f t="shared" si="23"/>
        <v>Not Scored - Ineligible</v>
      </c>
    </row>
    <row r="257" spans="1:20" x14ac:dyDescent="0.25">
      <c r="A257" s="3" t="str">
        <f>RAW_DATA!A257</f>
        <v>APP256</v>
      </c>
      <c r="B257" s="3" t="b">
        <f>AND(RAW_DATA!B257&gt;=21,RAW_DATA!B257&lt;=60)</f>
        <v>1</v>
      </c>
      <c r="C257" s="3" t="b">
        <f>RAW_DATA!C257&gt;=300000</f>
        <v>1</v>
      </c>
      <c r="D257" s="3" t="b">
        <f>RAW_DATA!F257&gt;=650</f>
        <v>1</v>
      </c>
      <c r="E257" s="3" t="b">
        <f>RAW_DATA!E257&gt;=1</f>
        <v>1</v>
      </c>
      <c r="F257" s="3" t="b">
        <f>RAW_DATA!L257="No"</f>
        <v>1</v>
      </c>
      <c r="G257" s="3" t="b">
        <f t="shared" si="18"/>
        <v>1</v>
      </c>
      <c r="H257" s="3" t="str">
        <f t="shared" si="19"/>
        <v>ELIGIBLE</v>
      </c>
      <c r="I257" s="3" t="str">
        <f t="shared" si="20"/>
        <v/>
      </c>
      <c r="K257" s="3" cm="1">
        <f t="array" ref="K2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7" s="5">
        <f>IF(RAW_DATA!C257&lt;300000,0,IF(RAW_DATA!C257&lt;600000,5,IF(RAW_DATA!C257&lt;1200000,15,IF(RAW_DATA!C257&lt;2000000,20,25))))</f>
        <v>20</v>
      </c>
      <c r="M257" s="3">
        <f>IF(RAW_DATA!E257&lt;1,0,IF(RAW_DATA!E257&lt;3,3,IF(RAW_DATA!E257&lt;5,5,IF(RAW_DATA!E257&lt;10,8,10))))</f>
        <v>10</v>
      </c>
      <c r="N257" s="3">
        <f>IF(RAW_DATA!F257&lt;650,0,IF(RAW_DATA!F257&lt;700,8,IF(RAW_DATA!F257&lt;750,15,IF(RAW_DATA!F257&lt;800,20,25))))</f>
        <v>25</v>
      </c>
      <c r="O257" s="3">
        <f>IF(RAW_DATA!G257=0,5,IF(RAW_DATA!G257=1,4,IF(RAW_DATA!G257=2,3,IF(RAW_DATA!G257=3,2,IF(RAW_DATA!G257=4,1,0)))))</f>
        <v>0</v>
      </c>
      <c r="P257" s="3">
        <f>IF(RAW_DATA!K257&gt;=RAW_DATA!H257,20,ROUND((RAW_DATA!K257/RAW_DATA!H257)*20,0))</f>
        <v>20</v>
      </c>
      <c r="Q257" s="3">
        <f>IF(RAW_DATA!L257="No",5,0)</f>
        <v>5</v>
      </c>
      <c r="R257" s="3">
        <f t="shared" si="21"/>
        <v>90</v>
      </c>
      <c r="S257" s="3">
        <f t="shared" si="22"/>
        <v>90</v>
      </c>
      <c r="T257" s="3" t="str">
        <f t="shared" si="23"/>
        <v>Strong</v>
      </c>
    </row>
    <row r="258" spans="1:20" x14ac:dyDescent="0.25">
      <c r="A258" s="3" t="str">
        <f>RAW_DATA!A258</f>
        <v>APP257</v>
      </c>
      <c r="B258" s="3" t="b">
        <f>AND(RAW_DATA!B258&gt;=21,RAW_DATA!B258&lt;=60)</f>
        <v>1</v>
      </c>
      <c r="C258" s="3" t="b">
        <f>RAW_DATA!C258&gt;=300000</f>
        <v>0</v>
      </c>
      <c r="D258" s="3" t="b">
        <f>RAW_DATA!F258&gt;=650</f>
        <v>0</v>
      </c>
      <c r="E258" s="3" t="b">
        <f>RAW_DATA!E258&gt;=1</f>
        <v>1</v>
      </c>
      <c r="F258" s="3" t="b">
        <f>RAW_DATA!L258="No"</f>
        <v>0</v>
      </c>
      <c r="G258" s="3" t="b">
        <f t="shared" si="18"/>
        <v>0</v>
      </c>
      <c r="H258" s="3" t="str">
        <f t="shared" si="19"/>
        <v>INELIGIBLE</v>
      </c>
      <c r="I258" s="3" t="str">
        <f t="shared" si="20"/>
        <v>Income, Credit Score, Defaulter History</v>
      </c>
      <c r="K258" s="3" cm="1">
        <f t="array" ref="K2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8" s="5">
        <f>IF(RAW_DATA!C258&lt;300000,0,IF(RAW_DATA!C258&lt;600000,5,IF(RAW_DATA!C258&lt;1200000,15,IF(RAW_DATA!C258&lt;2000000,20,25))))</f>
        <v>0</v>
      </c>
      <c r="M258" s="3">
        <f>IF(RAW_DATA!E258&lt;1,0,IF(RAW_DATA!E258&lt;3,3,IF(RAW_DATA!E258&lt;5,5,IF(RAW_DATA!E258&lt;10,8,10))))</f>
        <v>10</v>
      </c>
      <c r="N258" s="3">
        <f>IF(RAW_DATA!F258&lt;650,0,IF(RAW_DATA!F258&lt;700,8,IF(RAW_DATA!F258&lt;750,15,IF(RAW_DATA!F258&lt;800,20,25))))</f>
        <v>0</v>
      </c>
      <c r="O258" s="3">
        <f>IF(RAW_DATA!G258=0,5,IF(RAW_DATA!G258=1,4,IF(RAW_DATA!G258=2,3,IF(RAW_DATA!G258=3,2,IF(RAW_DATA!G258=4,1,0)))))</f>
        <v>3</v>
      </c>
      <c r="P258" s="3">
        <f>IF(RAW_DATA!K258&gt;=RAW_DATA!H258,20,ROUND((RAW_DATA!K258/RAW_DATA!H258)*20,0))</f>
        <v>8</v>
      </c>
      <c r="Q258" s="3">
        <f>IF(RAW_DATA!L258="No",5,0)</f>
        <v>0</v>
      </c>
      <c r="R258" s="3">
        <f t="shared" si="21"/>
        <v>31</v>
      </c>
      <c r="S258" s="3">
        <f t="shared" si="22"/>
        <v>31</v>
      </c>
      <c r="T258" s="3" t="str">
        <f t="shared" si="23"/>
        <v>Not Scored - Ineligible</v>
      </c>
    </row>
    <row r="259" spans="1:20" x14ac:dyDescent="0.25">
      <c r="A259" s="3" t="str">
        <f>RAW_DATA!A259</f>
        <v>APP258</v>
      </c>
      <c r="B259" s="3" t="b">
        <f>AND(RAW_DATA!B259&gt;=21,RAW_DATA!B259&lt;=60)</f>
        <v>1</v>
      </c>
      <c r="C259" s="3" t="b">
        <f>RAW_DATA!C259&gt;=300000</f>
        <v>1</v>
      </c>
      <c r="D259" s="3" t="b">
        <f>RAW_DATA!F259&gt;=650</f>
        <v>0</v>
      </c>
      <c r="E259" s="3" t="b">
        <f>RAW_DATA!E259&gt;=1</f>
        <v>1</v>
      </c>
      <c r="F259" s="3" t="b">
        <f>RAW_DATA!L259="No"</f>
        <v>0</v>
      </c>
      <c r="G259" s="3" t="b">
        <f t="shared" ref="G259:G322" si="24">AND(B259:F259)</f>
        <v>0</v>
      </c>
      <c r="H259" s="3" t="str">
        <f t="shared" ref="H259:H322" si="25">IF(G259,"ELIGIBLE","INELIGIBLE")</f>
        <v>INELIGIBLE</v>
      </c>
      <c r="I259" s="3" t="str">
        <f t="shared" ref="I259:I322" si="26">IF(G259,"",_xlfn.TEXTJOIN(", ",TRUE,IF(B259,"","Age"),IF(C259,"","Income"),IF(D259,"","Credit Score"),IF(E259,"","Employment"),IF(F259,"","Defaulter History")))</f>
        <v>Credit Score, Defaulter History</v>
      </c>
      <c r="K259" s="3" cm="1">
        <f t="array" ref="K2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9" s="5">
        <f>IF(RAW_DATA!C259&lt;300000,0,IF(RAW_DATA!C259&lt;600000,5,IF(RAW_DATA!C259&lt;1200000,15,IF(RAW_DATA!C259&lt;2000000,20,25))))</f>
        <v>20</v>
      </c>
      <c r="M259" s="3">
        <f>IF(RAW_DATA!E259&lt;1,0,IF(RAW_DATA!E259&lt;3,3,IF(RAW_DATA!E259&lt;5,5,IF(RAW_DATA!E259&lt;10,8,10))))</f>
        <v>10</v>
      </c>
      <c r="N259" s="3">
        <f>IF(RAW_DATA!F259&lt;650,0,IF(RAW_DATA!F259&lt;700,8,IF(RAW_DATA!F259&lt;750,15,IF(RAW_DATA!F259&lt;800,20,25))))</f>
        <v>0</v>
      </c>
      <c r="O259" s="3">
        <f>IF(RAW_DATA!G259=0,5,IF(RAW_DATA!G259=1,4,IF(RAW_DATA!G259=2,3,IF(RAW_DATA!G259=3,2,IF(RAW_DATA!G259=4,1,0)))))</f>
        <v>4</v>
      </c>
      <c r="P259" s="3">
        <f>IF(RAW_DATA!K259&gt;=RAW_DATA!H259,20,ROUND((RAW_DATA!K259/RAW_DATA!H259)*20,0))</f>
        <v>20</v>
      </c>
      <c r="Q259" s="3">
        <f>IF(RAW_DATA!L259="No",5,0)</f>
        <v>0</v>
      </c>
      <c r="R259" s="3">
        <f t="shared" ref="R259:R322" si="27">K259+L259+M259+N259+O259+P259+Q259</f>
        <v>60</v>
      </c>
      <c r="S259" s="3">
        <f t="shared" ref="S259:S322" si="28">R259</f>
        <v>60</v>
      </c>
      <c r="T259" s="3" t="str">
        <f t="shared" ref="T259:T322" si="29">IF(H259="INELIGIBLE","Not Scored - Ineligible",IF(S259&gt;=70,"Strong",IF(S259&gt;=50,"Moderate","Weak")))</f>
        <v>Not Scored - Ineligible</v>
      </c>
    </row>
    <row r="260" spans="1:20" x14ac:dyDescent="0.25">
      <c r="A260" s="3" t="str">
        <f>RAW_DATA!A260</f>
        <v>APP259</v>
      </c>
      <c r="B260" s="3" t="b">
        <f>AND(RAW_DATA!B260&gt;=21,RAW_DATA!B260&lt;=60)</f>
        <v>1</v>
      </c>
      <c r="C260" s="3" t="b">
        <f>RAW_DATA!C260&gt;=300000</f>
        <v>1</v>
      </c>
      <c r="D260" s="3" t="b">
        <f>RAW_DATA!F260&gt;=650</f>
        <v>1</v>
      </c>
      <c r="E260" s="3" t="b">
        <f>RAW_DATA!E260&gt;=1</f>
        <v>1</v>
      </c>
      <c r="F260" s="3" t="b">
        <f>RAW_DATA!L260="No"</f>
        <v>1</v>
      </c>
      <c r="G260" s="3" t="b">
        <f t="shared" si="24"/>
        <v>1</v>
      </c>
      <c r="H260" s="3" t="str">
        <f t="shared" si="25"/>
        <v>ELIGIBLE</v>
      </c>
      <c r="I260" s="3" t="str">
        <f t="shared" si="26"/>
        <v/>
      </c>
      <c r="K260" s="3" cm="1">
        <f t="array" ref="K2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0" s="5">
        <f>IF(RAW_DATA!C260&lt;300000,0,IF(RAW_DATA!C260&lt;600000,5,IF(RAW_DATA!C260&lt;1200000,15,IF(RAW_DATA!C260&lt;2000000,20,25))))</f>
        <v>5</v>
      </c>
      <c r="M260" s="3">
        <f>IF(RAW_DATA!E260&lt;1,0,IF(RAW_DATA!E260&lt;3,3,IF(RAW_DATA!E260&lt;5,5,IF(RAW_DATA!E260&lt;10,8,10))))</f>
        <v>8</v>
      </c>
      <c r="N260" s="3">
        <f>IF(RAW_DATA!F260&lt;650,0,IF(RAW_DATA!F260&lt;700,8,IF(RAW_DATA!F260&lt;750,15,IF(RAW_DATA!F260&lt;800,20,25))))</f>
        <v>20</v>
      </c>
      <c r="O260" s="3">
        <f>IF(RAW_DATA!G260=0,5,IF(RAW_DATA!G260=1,4,IF(RAW_DATA!G260=2,3,IF(RAW_DATA!G260=3,2,IF(RAW_DATA!G260=4,1,0)))))</f>
        <v>3</v>
      </c>
      <c r="P260" s="3">
        <f>IF(RAW_DATA!K260&gt;=RAW_DATA!H260,20,ROUND((RAW_DATA!K260/RAW_DATA!H260)*20,0))</f>
        <v>20</v>
      </c>
      <c r="Q260" s="3">
        <f>IF(RAW_DATA!L260="No",5,0)</f>
        <v>5</v>
      </c>
      <c r="R260" s="3">
        <f t="shared" si="27"/>
        <v>69</v>
      </c>
      <c r="S260" s="3">
        <f t="shared" si="28"/>
        <v>69</v>
      </c>
      <c r="T260" s="3" t="str">
        <f t="shared" si="29"/>
        <v>Moderate</v>
      </c>
    </row>
    <row r="261" spans="1:20" x14ac:dyDescent="0.25">
      <c r="A261" s="3" t="str">
        <f>RAW_DATA!A261</f>
        <v>APP260</v>
      </c>
      <c r="B261" s="3" t="b">
        <f>AND(RAW_DATA!B261&gt;=21,RAW_DATA!B261&lt;=60)</f>
        <v>1</v>
      </c>
      <c r="C261" s="3" t="b">
        <f>RAW_DATA!C261&gt;=300000</f>
        <v>1</v>
      </c>
      <c r="D261" s="3" t="b">
        <f>RAW_DATA!F261&gt;=650</f>
        <v>1</v>
      </c>
      <c r="E261" s="3" t="b">
        <f>RAW_DATA!E261&gt;=1</f>
        <v>1</v>
      </c>
      <c r="F261" s="3" t="b">
        <f>RAW_DATA!L261="No"</f>
        <v>1</v>
      </c>
      <c r="G261" s="3" t="b">
        <f t="shared" si="24"/>
        <v>1</v>
      </c>
      <c r="H261" s="3" t="str">
        <f t="shared" si="25"/>
        <v>ELIGIBLE</v>
      </c>
      <c r="I261" s="3" t="str">
        <f t="shared" si="26"/>
        <v/>
      </c>
      <c r="K261" s="3" cm="1">
        <f t="array" ref="K2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1" s="5">
        <f>IF(RAW_DATA!C261&lt;300000,0,IF(RAW_DATA!C261&lt;600000,5,IF(RAW_DATA!C261&lt;1200000,15,IF(RAW_DATA!C261&lt;2000000,20,25))))</f>
        <v>5</v>
      </c>
      <c r="M261" s="3">
        <f>IF(RAW_DATA!E261&lt;1,0,IF(RAW_DATA!E261&lt;3,3,IF(RAW_DATA!E261&lt;5,5,IF(RAW_DATA!E261&lt;10,8,10))))</f>
        <v>10</v>
      </c>
      <c r="N261" s="3">
        <f>IF(RAW_DATA!F261&lt;650,0,IF(RAW_DATA!F261&lt;700,8,IF(RAW_DATA!F261&lt;750,15,IF(RAW_DATA!F261&lt;800,20,25))))</f>
        <v>15</v>
      </c>
      <c r="O261" s="3">
        <f>IF(RAW_DATA!G261=0,5,IF(RAW_DATA!G261=1,4,IF(RAW_DATA!G261=2,3,IF(RAW_DATA!G261=3,2,IF(RAW_DATA!G261=4,1,0)))))</f>
        <v>5</v>
      </c>
      <c r="P261" s="3">
        <f>IF(RAW_DATA!K261&gt;=RAW_DATA!H261,20,ROUND((RAW_DATA!K261/RAW_DATA!H261)*20,0))</f>
        <v>14</v>
      </c>
      <c r="Q261" s="3">
        <f>IF(RAW_DATA!L261="No",5,0)</f>
        <v>5</v>
      </c>
      <c r="R261" s="3">
        <f t="shared" si="27"/>
        <v>64</v>
      </c>
      <c r="S261" s="3">
        <f t="shared" si="28"/>
        <v>64</v>
      </c>
      <c r="T261" s="3" t="str">
        <f t="shared" si="29"/>
        <v>Moderate</v>
      </c>
    </row>
    <row r="262" spans="1:20" x14ac:dyDescent="0.25">
      <c r="A262" s="3" t="str">
        <f>RAW_DATA!A262</f>
        <v>APP261</v>
      </c>
      <c r="B262" s="3" t="b">
        <f>AND(RAW_DATA!B262&gt;=21,RAW_DATA!B262&lt;=60)</f>
        <v>1</v>
      </c>
      <c r="C262" s="3" t="b">
        <f>RAW_DATA!C262&gt;=300000</f>
        <v>1</v>
      </c>
      <c r="D262" s="3" t="b">
        <f>RAW_DATA!F262&gt;=650</f>
        <v>1</v>
      </c>
      <c r="E262" s="3" t="b">
        <f>RAW_DATA!E262&gt;=1</f>
        <v>1</v>
      </c>
      <c r="F262" s="3" t="b">
        <f>RAW_DATA!L262="No"</f>
        <v>1</v>
      </c>
      <c r="G262" s="3" t="b">
        <f t="shared" si="24"/>
        <v>1</v>
      </c>
      <c r="H262" s="3" t="str">
        <f t="shared" si="25"/>
        <v>ELIGIBLE</v>
      </c>
      <c r="I262" s="3" t="str">
        <f t="shared" si="26"/>
        <v/>
      </c>
      <c r="K262" s="3" cm="1">
        <f t="array" ref="K2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2" s="5">
        <f>IF(RAW_DATA!C262&lt;300000,0,IF(RAW_DATA!C262&lt;600000,5,IF(RAW_DATA!C262&lt;1200000,15,IF(RAW_DATA!C262&lt;2000000,20,25))))</f>
        <v>15</v>
      </c>
      <c r="M262" s="3">
        <f>IF(RAW_DATA!E262&lt;1,0,IF(RAW_DATA!E262&lt;3,3,IF(RAW_DATA!E262&lt;5,5,IF(RAW_DATA!E262&lt;10,8,10))))</f>
        <v>10</v>
      </c>
      <c r="N262" s="3">
        <f>IF(RAW_DATA!F262&lt;650,0,IF(RAW_DATA!F262&lt;700,8,IF(RAW_DATA!F262&lt;750,15,IF(RAW_DATA!F262&lt;800,20,25))))</f>
        <v>20</v>
      </c>
      <c r="O262" s="3">
        <f>IF(RAW_DATA!G262=0,5,IF(RAW_DATA!G262=1,4,IF(RAW_DATA!G262=2,3,IF(RAW_DATA!G262=3,2,IF(RAW_DATA!G262=4,1,0)))))</f>
        <v>1</v>
      </c>
      <c r="P262" s="3">
        <f>IF(RAW_DATA!K262&gt;=RAW_DATA!H262,20,ROUND((RAW_DATA!K262/RAW_DATA!H262)*20,0))</f>
        <v>20</v>
      </c>
      <c r="Q262" s="3">
        <f>IF(RAW_DATA!L262="No",5,0)</f>
        <v>5</v>
      </c>
      <c r="R262" s="3">
        <f t="shared" si="27"/>
        <v>79</v>
      </c>
      <c r="S262" s="3">
        <f t="shared" si="28"/>
        <v>79</v>
      </c>
      <c r="T262" s="3" t="str">
        <f t="shared" si="29"/>
        <v>Strong</v>
      </c>
    </row>
    <row r="263" spans="1:20" x14ac:dyDescent="0.25">
      <c r="A263" s="3" t="str">
        <f>RAW_DATA!A263</f>
        <v>APP262</v>
      </c>
      <c r="B263" s="3" t="b">
        <f>AND(RAW_DATA!B263&gt;=21,RAW_DATA!B263&lt;=60)</f>
        <v>1</v>
      </c>
      <c r="C263" s="3" t="b">
        <f>RAW_DATA!C263&gt;=300000</f>
        <v>1</v>
      </c>
      <c r="D263" s="3" t="b">
        <f>RAW_DATA!F263&gt;=650</f>
        <v>0</v>
      </c>
      <c r="E263" s="3" t="b">
        <f>RAW_DATA!E263&gt;=1</f>
        <v>1</v>
      </c>
      <c r="F263" s="3" t="b">
        <f>RAW_DATA!L263="No"</f>
        <v>1</v>
      </c>
      <c r="G263" s="3" t="b">
        <f t="shared" si="24"/>
        <v>0</v>
      </c>
      <c r="H263" s="3" t="str">
        <f t="shared" si="25"/>
        <v>INELIGIBLE</v>
      </c>
      <c r="I263" s="3" t="str">
        <f t="shared" si="26"/>
        <v>Credit Score</v>
      </c>
      <c r="K263" s="3" cm="1">
        <f t="array" ref="K2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3" s="5">
        <f>IF(RAW_DATA!C263&lt;300000,0,IF(RAW_DATA!C263&lt;600000,5,IF(RAW_DATA!C263&lt;1200000,15,IF(RAW_DATA!C263&lt;2000000,20,25))))</f>
        <v>15</v>
      </c>
      <c r="M263" s="3">
        <f>IF(RAW_DATA!E263&lt;1,0,IF(RAW_DATA!E263&lt;3,3,IF(RAW_DATA!E263&lt;5,5,IF(RAW_DATA!E263&lt;10,8,10))))</f>
        <v>8</v>
      </c>
      <c r="N263" s="3">
        <f>IF(RAW_DATA!F263&lt;650,0,IF(RAW_DATA!F263&lt;700,8,IF(RAW_DATA!F263&lt;750,15,IF(RAW_DATA!F263&lt;800,20,25))))</f>
        <v>0</v>
      </c>
      <c r="O263" s="3">
        <f>IF(RAW_DATA!G263=0,5,IF(RAW_DATA!G263=1,4,IF(RAW_DATA!G263=2,3,IF(RAW_DATA!G263=3,2,IF(RAW_DATA!G263=4,1,0)))))</f>
        <v>4</v>
      </c>
      <c r="P263" s="3">
        <f>IF(RAW_DATA!K263&gt;=RAW_DATA!H263,20,ROUND((RAW_DATA!K263/RAW_DATA!H263)*20,0))</f>
        <v>15</v>
      </c>
      <c r="Q263" s="3">
        <f>IF(RAW_DATA!L263="No",5,0)</f>
        <v>5</v>
      </c>
      <c r="R263" s="3">
        <f t="shared" si="27"/>
        <v>57</v>
      </c>
      <c r="S263" s="3">
        <f t="shared" si="28"/>
        <v>57</v>
      </c>
      <c r="T263" s="3" t="str">
        <f t="shared" si="29"/>
        <v>Not Scored - Ineligible</v>
      </c>
    </row>
    <row r="264" spans="1:20" x14ac:dyDescent="0.25">
      <c r="A264" s="3" t="str">
        <f>RAW_DATA!A264</f>
        <v>APP263</v>
      </c>
      <c r="B264" s="3" t="b">
        <f>AND(RAW_DATA!B264&gt;=21,RAW_DATA!B264&lt;=60)</f>
        <v>1</v>
      </c>
      <c r="C264" s="3" t="b">
        <f>RAW_DATA!C264&gt;=300000</f>
        <v>1</v>
      </c>
      <c r="D264" s="3" t="b">
        <f>RAW_DATA!F264&gt;=650</f>
        <v>0</v>
      </c>
      <c r="E264" s="3" t="b">
        <f>RAW_DATA!E264&gt;=1</f>
        <v>1</v>
      </c>
      <c r="F264" s="3" t="b">
        <f>RAW_DATA!L264="No"</f>
        <v>1</v>
      </c>
      <c r="G264" s="3" t="b">
        <f t="shared" si="24"/>
        <v>0</v>
      </c>
      <c r="H264" s="3" t="str">
        <f t="shared" si="25"/>
        <v>INELIGIBLE</v>
      </c>
      <c r="I264" s="3" t="str">
        <f t="shared" si="26"/>
        <v>Credit Score</v>
      </c>
      <c r="K264" s="3" cm="1">
        <f t="array" ref="K2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4" s="5">
        <f>IF(RAW_DATA!C264&lt;300000,0,IF(RAW_DATA!C264&lt;600000,5,IF(RAW_DATA!C264&lt;1200000,15,IF(RAW_DATA!C264&lt;2000000,20,25))))</f>
        <v>15</v>
      </c>
      <c r="M264" s="3">
        <f>IF(RAW_DATA!E264&lt;1,0,IF(RAW_DATA!E264&lt;3,3,IF(RAW_DATA!E264&lt;5,5,IF(RAW_DATA!E264&lt;10,8,10))))</f>
        <v>10</v>
      </c>
      <c r="N264" s="3">
        <f>IF(RAW_DATA!F264&lt;650,0,IF(RAW_DATA!F264&lt;700,8,IF(RAW_DATA!F264&lt;750,15,IF(RAW_DATA!F264&lt;800,20,25))))</f>
        <v>0</v>
      </c>
      <c r="O264" s="3">
        <f>IF(RAW_DATA!G264=0,5,IF(RAW_DATA!G264=1,4,IF(RAW_DATA!G264=2,3,IF(RAW_DATA!G264=3,2,IF(RAW_DATA!G264=4,1,0)))))</f>
        <v>0</v>
      </c>
      <c r="P264" s="3">
        <f>IF(RAW_DATA!K264&gt;=RAW_DATA!H264,20,ROUND((RAW_DATA!K264/RAW_DATA!H264)*20,0))</f>
        <v>20</v>
      </c>
      <c r="Q264" s="3">
        <f>IF(RAW_DATA!L264="No",5,0)</f>
        <v>5</v>
      </c>
      <c r="R264" s="3">
        <f t="shared" si="27"/>
        <v>57</v>
      </c>
      <c r="S264" s="3">
        <f t="shared" si="28"/>
        <v>57</v>
      </c>
      <c r="T264" s="3" t="str">
        <f t="shared" si="29"/>
        <v>Not Scored - Ineligible</v>
      </c>
    </row>
    <row r="265" spans="1:20" x14ac:dyDescent="0.25">
      <c r="A265" s="3" t="str">
        <f>RAW_DATA!A265</f>
        <v>APP264</v>
      </c>
      <c r="B265" s="3" t="b">
        <f>AND(RAW_DATA!B265&gt;=21,RAW_DATA!B265&lt;=60)</f>
        <v>1</v>
      </c>
      <c r="C265" s="3" t="b">
        <f>RAW_DATA!C265&gt;=300000</f>
        <v>1</v>
      </c>
      <c r="D265" s="3" t="b">
        <f>RAW_DATA!F265&gt;=650</f>
        <v>0</v>
      </c>
      <c r="E265" s="3" t="b">
        <f>RAW_DATA!E265&gt;=1</f>
        <v>1</v>
      </c>
      <c r="F265" s="3" t="b">
        <f>RAW_DATA!L265="No"</f>
        <v>1</v>
      </c>
      <c r="G265" s="3" t="b">
        <f t="shared" si="24"/>
        <v>0</v>
      </c>
      <c r="H265" s="3" t="str">
        <f t="shared" si="25"/>
        <v>INELIGIBLE</v>
      </c>
      <c r="I265" s="3" t="str">
        <f t="shared" si="26"/>
        <v>Credit Score</v>
      </c>
      <c r="K265" s="3" cm="1">
        <f t="array" ref="K2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5" s="5">
        <f>IF(RAW_DATA!C265&lt;300000,0,IF(RAW_DATA!C265&lt;600000,5,IF(RAW_DATA!C265&lt;1200000,15,IF(RAW_DATA!C265&lt;2000000,20,25))))</f>
        <v>15</v>
      </c>
      <c r="M265" s="3">
        <f>IF(RAW_DATA!E265&lt;1,0,IF(RAW_DATA!E265&lt;3,3,IF(RAW_DATA!E265&lt;5,5,IF(RAW_DATA!E265&lt;10,8,10))))</f>
        <v>10</v>
      </c>
      <c r="N265" s="3">
        <f>IF(RAW_DATA!F265&lt;650,0,IF(RAW_DATA!F265&lt;700,8,IF(RAW_DATA!F265&lt;750,15,IF(RAW_DATA!F265&lt;800,20,25))))</f>
        <v>0</v>
      </c>
      <c r="O265" s="3">
        <f>IF(RAW_DATA!G265=0,5,IF(RAW_DATA!G265=1,4,IF(RAW_DATA!G265=2,3,IF(RAW_DATA!G265=3,2,IF(RAW_DATA!G265=4,1,0)))))</f>
        <v>3</v>
      </c>
      <c r="P265" s="3">
        <f>IF(RAW_DATA!K265&gt;=RAW_DATA!H265,20,ROUND((RAW_DATA!K265/RAW_DATA!H265)*20,0))</f>
        <v>20</v>
      </c>
      <c r="Q265" s="3">
        <f>IF(RAW_DATA!L265="No",5,0)</f>
        <v>5</v>
      </c>
      <c r="R265" s="3">
        <f t="shared" si="27"/>
        <v>61</v>
      </c>
      <c r="S265" s="3">
        <f t="shared" si="28"/>
        <v>61</v>
      </c>
      <c r="T265" s="3" t="str">
        <f t="shared" si="29"/>
        <v>Not Scored - Ineligible</v>
      </c>
    </row>
    <row r="266" spans="1:20" x14ac:dyDescent="0.25">
      <c r="A266" s="3" t="str">
        <f>RAW_DATA!A266</f>
        <v>APP265</v>
      </c>
      <c r="B266" s="3" t="b">
        <f>AND(RAW_DATA!B266&gt;=21,RAW_DATA!B266&lt;=60)</f>
        <v>1</v>
      </c>
      <c r="C266" s="3" t="b">
        <f>RAW_DATA!C266&gt;=300000</f>
        <v>1</v>
      </c>
      <c r="D266" s="3" t="b">
        <f>RAW_DATA!F266&gt;=650</f>
        <v>0</v>
      </c>
      <c r="E266" s="3" t="b">
        <f>RAW_DATA!E266&gt;=1</f>
        <v>0</v>
      </c>
      <c r="F266" s="3" t="b">
        <f>RAW_DATA!L266="No"</f>
        <v>1</v>
      </c>
      <c r="G266" s="3" t="b">
        <f t="shared" si="24"/>
        <v>0</v>
      </c>
      <c r="H266" s="3" t="str">
        <f t="shared" si="25"/>
        <v>INELIGIBLE</v>
      </c>
      <c r="I266" s="3" t="str">
        <f t="shared" si="26"/>
        <v>Credit Score, Employment</v>
      </c>
      <c r="K266" s="3" cm="1">
        <f t="array" ref="K2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6" s="5">
        <f>IF(RAW_DATA!C266&lt;300000,0,IF(RAW_DATA!C266&lt;600000,5,IF(RAW_DATA!C266&lt;1200000,15,IF(RAW_DATA!C266&lt;2000000,20,25))))</f>
        <v>20</v>
      </c>
      <c r="M266" s="3">
        <f>IF(RAW_DATA!E266&lt;1,0,IF(RAW_DATA!E266&lt;3,3,IF(RAW_DATA!E266&lt;5,5,IF(RAW_DATA!E266&lt;10,8,10))))</f>
        <v>0</v>
      </c>
      <c r="N266" s="3">
        <f>IF(RAW_DATA!F266&lt;650,0,IF(RAW_DATA!F266&lt;700,8,IF(RAW_DATA!F266&lt;750,15,IF(RAW_DATA!F266&lt;800,20,25))))</f>
        <v>0</v>
      </c>
      <c r="O266" s="3">
        <f>IF(RAW_DATA!G266=0,5,IF(RAW_DATA!G266=1,4,IF(RAW_DATA!G266=2,3,IF(RAW_DATA!G266=3,2,IF(RAW_DATA!G266=4,1,0)))))</f>
        <v>3</v>
      </c>
      <c r="P266" s="3">
        <f>IF(RAW_DATA!K266&gt;=RAW_DATA!H266,20,ROUND((RAW_DATA!K266/RAW_DATA!H266)*20,0))</f>
        <v>20</v>
      </c>
      <c r="Q266" s="3">
        <f>IF(RAW_DATA!L266="No",5,0)</f>
        <v>5</v>
      </c>
      <c r="R266" s="3">
        <f t="shared" si="27"/>
        <v>55</v>
      </c>
      <c r="S266" s="3">
        <f t="shared" si="28"/>
        <v>55</v>
      </c>
      <c r="T266" s="3" t="str">
        <f t="shared" si="29"/>
        <v>Not Scored - Ineligible</v>
      </c>
    </row>
    <row r="267" spans="1:20" x14ac:dyDescent="0.25">
      <c r="A267" s="3" t="str">
        <f>RAW_DATA!A267</f>
        <v>APP266</v>
      </c>
      <c r="B267" s="3" t="b">
        <f>AND(RAW_DATA!B267&gt;=21,RAW_DATA!B267&lt;=60)</f>
        <v>1</v>
      </c>
      <c r="C267" s="3" t="b">
        <f>RAW_DATA!C267&gt;=300000</f>
        <v>0</v>
      </c>
      <c r="D267" s="3" t="b">
        <f>RAW_DATA!F267&gt;=650</f>
        <v>1</v>
      </c>
      <c r="E267" s="3" t="b">
        <f>RAW_DATA!E267&gt;=1</f>
        <v>1</v>
      </c>
      <c r="F267" s="3" t="b">
        <f>RAW_DATA!L267="No"</f>
        <v>0</v>
      </c>
      <c r="G267" s="3" t="b">
        <f t="shared" si="24"/>
        <v>0</v>
      </c>
      <c r="H267" s="3" t="str">
        <f t="shared" si="25"/>
        <v>INELIGIBLE</v>
      </c>
      <c r="I267" s="3" t="str">
        <f t="shared" si="26"/>
        <v>Income, Defaulter History</v>
      </c>
      <c r="K267" s="3" cm="1">
        <f t="array" ref="K2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7" s="5">
        <f>IF(RAW_DATA!C267&lt;300000,0,IF(RAW_DATA!C267&lt;600000,5,IF(RAW_DATA!C267&lt;1200000,15,IF(RAW_DATA!C267&lt;2000000,20,25))))</f>
        <v>0</v>
      </c>
      <c r="M267" s="3">
        <f>IF(RAW_DATA!E267&lt;1,0,IF(RAW_DATA!E267&lt;3,3,IF(RAW_DATA!E267&lt;5,5,IF(RAW_DATA!E267&lt;10,8,10))))</f>
        <v>8</v>
      </c>
      <c r="N267" s="3">
        <f>IF(RAW_DATA!F267&lt;650,0,IF(RAW_DATA!F267&lt;700,8,IF(RAW_DATA!F267&lt;750,15,IF(RAW_DATA!F267&lt;800,20,25))))</f>
        <v>8</v>
      </c>
      <c r="O267" s="3">
        <f>IF(RAW_DATA!G267=0,5,IF(RAW_DATA!G267=1,4,IF(RAW_DATA!G267=2,3,IF(RAW_DATA!G267=3,2,IF(RAW_DATA!G267=4,1,0)))))</f>
        <v>5</v>
      </c>
      <c r="P267" s="3">
        <f>IF(RAW_DATA!K267&gt;=RAW_DATA!H267,20,ROUND((RAW_DATA!K267/RAW_DATA!H267)*20,0))</f>
        <v>20</v>
      </c>
      <c r="Q267" s="3">
        <f>IF(RAW_DATA!L267="No",5,0)</f>
        <v>0</v>
      </c>
      <c r="R267" s="3">
        <f t="shared" si="27"/>
        <v>48</v>
      </c>
      <c r="S267" s="3">
        <f t="shared" si="28"/>
        <v>48</v>
      </c>
      <c r="T267" s="3" t="str">
        <f t="shared" si="29"/>
        <v>Not Scored - Ineligible</v>
      </c>
    </row>
    <row r="268" spans="1:20" x14ac:dyDescent="0.25">
      <c r="A268" s="3" t="str">
        <f>RAW_DATA!A268</f>
        <v>APP267</v>
      </c>
      <c r="B268" s="3" t="b">
        <f>AND(RAW_DATA!B268&gt;=21,RAW_DATA!B268&lt;=60)</f>
        <v>1</v>
      </c>
      <c r="C268" s="3" t="b">
        <f>RAW_DATA!C268&gt;=300000</f>
        <v>1</v>
      </c>
      <c r="D268" s="3" t="b">
        <f>RAW_DATA!F268&gt;=650</f>
        <v>0</v>
      </c>
      <c r="E268" s="3" t="b">
        <f>RAW_DATA!E268&gt;=1</f>
        <v>1</v>
      </c>
      <c r="F268" s="3" t="b">
        <f>RAW_DATA!L268="No"</f>
        <v>1</v>
      </c>
      <c r="G268" s="3" t="b">
        <f t="shared" si="24"/>
        <v>0</v>
      </c>
      <c r="H268" s="3" t="str">
        <f t="shared" si="25"/>
        <v>INELIGIBLE</v>
      </c>
      <c r="I268" s="3" t="str">
        <f t="shared" si="26"/>
        <v>Credit Score</v>
      </c>
      <c r="K268" s="3" cm="1">
        <f t="array" ref="K2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8" s="5">
        <f>IF(RAW_DATA!C268&lt;300000,0,IF(RAW_DATA!C268&lt;600000,5,IF(RAW_DATA!C268&lt;1200000,15,IF(RAW_DATA!C268&lt;2000000,20,25))))</f>
        <v>25</v>
      </c>
      <c r="M268" s="3">
        <f>IF(RAW_DATA!E268&lt;1,0,IF(RAW_DATA!E268&lt;3,3,IF(RAW_DATA!E268&lt;5,5,IF(RAW_DATA!E268&lt;10,8,10))))</f>
        <v>8</v>
      </c>
      <c r="N268" s="3">
        <f>IF(RAW_DATA!F268&lt;650,0,IF(RAW_DATA!F268&lt;700,8,IF(RAW_DATA!F268&lt;750,15,IF(RAW_DATA!F268&lt;800,20,25))))</f>
        <v>0</v>
      </c>
      <c r="O268" s="3">
        <f>IF(RAW_DATA!G268=0,5,IF(RAW_DATA!G268=1,4,IF(RAW_DATA!G268=2,3,IF(RAW_DATA!G268=3,2,IF(RAW_DATA!G268=4,1,0)))))</f>
        <v>3</v>
      </c>
      <c r="P268" s="3">
        <f>IF(RAW_DATA!K268&gt;=RAW_DATA!H268,20,ROUND((RAW_DATA!K268/RAW_DATA!H268)*20,0))</f>
        <v>8</v>
      </c>
      <c r="Q268" s="3">
        <f>IF(RAW_DATA!L268="No",5,0)</f>
        <v>5</v>
      </c>
      <c r="R268" s="3">
        <f t="shared" si="27"/>
        <v>57</v>
      </c>
      <c r="S268" s="3">
        <f t="shared" si="28"/>
        <v>57</v>
      </c>
      <c r="T268" s="3" t="str">
        <f t="shared" si="29"/>
        <v>Not Scored - Ineligible</v>
      </c>
    </row>
    <row r="269" spans="1:20" x14ac:dyDescent="0.25">
      <c r="A269" s="3" t="str">
        <f>RAW_DATA!A269</f>
        <v>APP268</v>
      </c>
      <c r="B269" s="3" t="b">
        <f>AND(RAW_DATA!B269&gt;=21,RAW_DATA!B269&lt;=60)</f>
        <v>1</v>
      </c>
      <c r="C269" s="3" t="b">
        <f>RAW_DATA!C269&gt;=300000</f>
        <v>1</v>
      </c>
      <c r="D269" s="3" t="b">
        <f>RAW_DATA!F269&gt;=650</f>
        <v>1</v>
      </c>
      <c r="E269" s="3" t="b">
        <f>RAW_DATA!E269&gt;=1</f>
        <v>1</v>
      </c>
      <c r="F269" s="3" t="b">
        <f>RAW_DATA!L269="No"</f>
        <v>1</v>
      </c>
      <c r="G269" s="3" t="b">
        <f t="shared" si="24"/>
        <v>1</v>
      </c>
      <c r="H269" s="3" t="str">
        <f t="shared" si="25"/>
        <v>ELIGIBLE</v>
      </c>
      <c r="I269" s="3" t="str">
        <f t="shared" si="26"/>
        <v/>
      </c>
      <c r="K269" s="3" cm="1">
        <f t="array" ref="K2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9" s="5">
        <f>IF(RAW_DATA!C269&lt;300000,0,IF(RAW_DATA!C269&lt;600000,5,IF(RAW_DATA!C269&lt;1200000,15,IF(RAW_DATA!C269&lt;2000000,20,25))))</f>
        <v>20</v>
      </c>
      <c r="M269" s="3">
        <f>IF(RAW_DATA!E269&lt;1,0,IF(RAW_DATA!E269&lt;3,3,IF(RAW_DATA!E269&lt;5,5,IF(RAW_DATA!E269&lt;10,8,10))))</f>
        <v>10</v>
      </c>
      <c r="N269" s="3">
        <f>IF(RAW_DATA!F269&lt;650,0,IF(RAW_DATA!F269&lt;700,8,IF(RAW_DATA!F269&lt;750,15,IF(RAW_DATA!F269&lt;800,20,25))))</f>
        <v>20</v>
      </c>
      <c r="O269" s="3">
        <f>IF(RAW_DATA!G269=0,5,IF(RAW_DATA!G269=1,4,IF(RAW_DATA!G269=2,3,IF(RAW_DATA!G269=3,2,IF(RAW_DATA!G269=4,1,0)))))</f>
        <v>2</v>
      </c>
      <c r="P269" s="3">
        <f>IF(RAW_DATA!K269&gt;=RAW_DATA!H269,20,ROUND((RAW_DATA!K269/RAW_DATA!H269)*20,0))</f>
        <v>20</v>
      </c>
      <c r="Q269" s="3">
        <f>IF(RAW_DATA!L269="No",5,0)</f>
        <v>5</v>
      </c>
      <c r="R269" s="3">
        <f t="shared" si="27"/>
        <v>84</v>
      </c>
      <c r="S269" s="3">
        <f t="shared" si="28"/>
        <v>84</v>
      </c>
      <c r="T269" s="3" t="str">
        <f t="shared" si="29"/>
        <v>Strong</v>
      </c>
    </row>
    <row r="270" spans="1:20" x14ac:dyDescent="0.25">
      <c r="A270" s="3" t="str">
        <f>RAW_DATA!A270</f>
        <v>APP269</v>
      </c>
      <c r="B270" s="3" t="b">
        <f>AND(RAW_DATA!B270&gt;=21,RAW_DATA!B270&lt;=60)</f>
        <v>1</v>
      </c>
      <c r="C270" s="3" t="b">
        <f>RAW_DATA!C270&gt;=300000</f>
        <v>0</v>
      </c>
      <c r="D270" s="3" t="b">
        <f>RAW_DATA!F270&gt;=650</f>
        <v>1</v>
      </c>
      <c r="E270" s="3" t="b">
        <f>RAW_DATA!E270&gt;=1</f>
        <v>1</v>
      </c>
      <c r="F270" s="3" t="b">
        <f>RAW_DATA!L270="No"</f>
        <v>0</v>
      </c>
      <c r="G270" s="3" t="b">
        <f t="shared" si="24"/>
        <v>0</v>
      </c>
      <c r="H270" s="3" t="str">
        <f t="shared" si="25"/>
        <v>INELIGIBLE</v>
      </c>
      <c r="I270" s="3" t="str">
        <f t="shared" si="26"/>
        <v>Income, Defaulter History</v>
      </c>
      <c r="K270" s="3" cm="1">
        <f t="array" ref="K2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0" s="5">
        <f>IF(RAW_DATA!C270&lt;300000,0,IF(RAW_DATA!C270&lt;600000,5,IF(RAW_DATA!C270&lt;1200000,15,IF(RAW_DATA!C270&lt;2000000,20,25))))</f>
        <v>0</v>
      </c>
      <c r="M270" s="3">
        <f>IF(RAW_DATA!E270&lt;1,0,IF(RAW_DATA!E270&lt;3,3,IF(RAW_DATA!E270&lt;5,5,IF(RAW_DATA!E270&lt;10,8,10))))</f>
        <v>10</v>
      </c>
      <c r="N270" s="3">
        <f>IF(RAW_DATA!F270&lt;650,0,IF(RAW_DATA!F270&lt;700,8,IF(RAW_DATA!F270&lt;750,15,IF(RAW_DATA!F270&lt;800,20,25))))</f>
        <v>25</v>
      </c>
      <c r="O270" s="3">
        <f>IF(RAW_DATA!G270=0,5,IF(RAW_DATA!G270=1,4,IF(RAW_DATA!G270=2,3,IF(RAW_DATA!G270=3,2,IF(RAW_DATA!G270=4,1,0)))))</f>
        <v>4</v>
      </c>
      <c r="P270" s="3">
        <f>IF(RAW_DATA!K270&gt;=RAW_DATA!H270,20,ROUND((RAW_DATA!K270/RAW_DATA!H270)*20,0))</f>
        <v>20</v>
      </c>
      <c r="Q270" s="3">
        <f>IF(RAW_DATA!L270="No",5,0)</f>
        <v>0</v>
      </c>
      <c r="R270" s="3">
        <f t="shared" si="27"/>
        <v>65</v>
      </c>
      <c r="S270" s="3">
        <f t="shared" si="28"/>
        <v>65</v>
      </c>
      <c r="T270" s="3" t="str">
        <f t="shared" si="29"/>
        <v>Not Scored - Ineligible</v>
      </c>
    </row>
    <row r="271" spans="1:20" x14ac:dyDescent="0.25">
      <c r="A271" s="3" t="str">
        <f>RAW_DATA!A271</f>
        <v>APP270</v>
      </c>
      <c r="B271" s="3" t="b">
        <f>AND(RAW_DATA!B271&gt;=21,RAW_DATA!B271&lt;=60)</f>
        <v>0</v>
      </c>
      <c r="C271" s="3" t="b">
        <f>RAW_DATA!C271&gt;=300000</f>
        <v>1</v>
      </c>
      <c r="D271" s="3" t="b">
        <f>RAW_DATA!F271&gt;=650</f>
        <v>1</v>
      </c>
      <c r="E271" s="3" t="b">
        <f>RAW_DATA!E271&gt;=1</f>
        <v>1</v>
      </c>
      <c r="F271" s="3" t="b">
        <f>RAW_DATA!L271="No"</f>
        <v>0</v>
      </c>
      <c r="G271" s="3" t="b">
        <f t="shared" si="24"/>
        <v>0</v>
      </c>
      <c r="H271" s="3" t="str">
        <f t="shared" si="25"/>
        <v>INELIGIBLE</v>
      </c>
      <c r="I271" s="3" t="str">
        <f t="shared" si="26"/>
        <v>Age, Defaulter History</v>
      </c>
      <c r="K271" s="3" cm="1">
        <f t="array" ref="K2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71" s="5">
        <f>IF(RAW_DATA!C271&lt;300000,0,IF(RAW_DATA!C271&lt;600000,5,IF(RAW_DATA!C271&lt;1200000,15,IF(RAW_DATA!C271&lt;2000000,20,25))))</f>
        <v>15</v>
      </c>
      <c r="M271" s="3">
        <f>IF(RAW_DATA!E271&lt;1,0,IF(RAW_DATA!E271&lt;3,3,IF(RAW_DATA!E271&lt;5,5,IF(RAW_DATA!E271&lt;10,8,10))))</f>
        <v>3</v>
      </c>
      <c r="N271" s="3">
        <f>IF(RAW_DATA!F271&lt;650,0,IF(RAW_DATA!F271&lt;700,8,IF(RAW_DATA!F271&lt;750,15,IF(RAW_DATA!F271&lt;800,20,25))))</f>
        <v>25</v>
      </c>
      <c r="O271" s="3">
        <f>IF(RAW_DATA!G271=0,5,IF(RAW_DATA!G271=1,4,IF(RAW_DATA!G271=2,3,IF(RAW_DATA!G271=3,2,IF(RAW_DATA!G271=4,1,0)))))</f>
        <v>1</v>
      </c>
      <c r="P271" s="3">
        <f>IF(RAW_DATA!K271&gt;=RAW_DATA!H271,20,ROUND((RAW_DATA!K271/RAW_DATA!H271)*20,0))</f>
        <v>20</v>
      </c>
      <c r="Q271" s="3">
        <f>IF(RAW_DATA!L271="No",5,0)</f>
        <v>0</v>
      </c>
      <c r="R271" s="3">
        <f t="shared" si="27"/>
        <v>64</v>
      </c>
      <c r="S271" s="3">
        <f t="shared" si="28"/>
        <v>64</v>
      </c>
      <c r="T271" s="3" t="str">
        <f t="shared" si="29"/>
        <v>Not Scored - Ineligible</v>
      </c>
    </row>
    <row r="272" spans="1:20" x14ac:dyDescent="0.25">
      <c r="A272" s="3" t="str">
        <f>RAW_DATA!A272</f>
        <v>APP271</v>
      </c>
      <c r="B272" s="3" t="b">
        <f>AND(RAW_DATA!B272&gt;=21,RAW_DATA!B272&lt;=60)</f>
        <v>1</v>
      </c>
      <c r="C272" s="3" t="b">
        <f>RAW_DATA!C272&gt;=300000</f>
        <v>1</v>
      </c>
      <c r="D272" s="3" t="b">
        <f>RAW_DATA!F272&gt;=650</f>
        <v>1</v>
      </c>
      <c r="E272" s="3" t="b">
        <f>RAW_DATA!E272&gt;=1</f>
        <v>1</v>
      </c>
      <c r="F272" s="3" t="b">
        <f>RAW_DATA!L272="No"</f>
        <v>0</v>
      </c>
      <c r="G272" s="3" t="b">
        <f t="shared" si="24"/>
        <v>0</v>
      </c>
      <c r="H272" s="3" t="str">
        <f t="shared" si="25"/>
        <v>INELIGIBLE</v>
      </c>
      <c r="I272" s="3" t="str">
        <f t="shared" si="26"/>
        <v>Defaulter History</v>
      </c>
      <c r="K272" s="3" cm="1">
        <f t="array" ref="K2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72" s="5">
        <f>IF(RAW_DATA!C272&lt;300000,0,IF(RAW_DATA!C272&lt;600000,5,IF(RAW_DATA!C272&lt;1200000,15,IF(RAW_DATA!C272&lt;2000000,20,25))))</f>
        <v>15</v>
      </c>
      <c r="M272" s="3">
        <f>IF(RAW_DATA!E272&lt;1,0,IF(RAW_DATA!E272&lt;3,3,IF(RAW_DATA!E272&lt;5,5,IF(RAW_DATA!E272&lt;10,8,10))))</f>
        <v>10</v>
      </c>
      <c r="N272" s="3">
        <f>IF(RAW_DATA!F272&lt;650,0,IF(RAW_DATA!F272&lt;700,8,IF(RAW_DATA!F272&lt;750,15,IF(RAW_DATA!F272&lt;800,20,25))))</f>
        <v>20</v>
      </c>
      <c r="O272" s="3">
        <f>IF(RAW_DATA!G272=0,5,IF(RAW_DATA!G272=1,4,IF(RAW_DATA!G272=2,3,IF(RAW_DATA!G272=3,2,IF(RAW_DATA!G272=4,1,0)))))</f>
        <v>5</v>
      </c>
      <c r="P272" s="3">
        <f>IF(RAW_DATA!K272&gt;=RAW_DATA!H272,20,ROUND((RAW_DATA!K272/RAW_DATA!H272)*20,0))</f>
        <v>20</v>
      </c>
      <c r="Q272" s="3">
        <f>IF(RAW_DATA!L272="No",5,0)</f>
        <v>0</v>
      </c>
      <c r="R272" s="3">
        <f t="shared" si="27"/>
        <v>78</v>
      </c>
      <c r="S272" s="3">
        <f t="shared" si="28"/>
        <v>78</v>
      </c>
      <c r="T272" s="3" t="str">
        <f t="shared" si="29"/>
        <v>Not Scored - Ineligible</v>
      </c>
    </row>
    <row r="273" spans="1:20" x14ac:dyDescent="0.25">
      <c r="A273" s="3" t="str">
        <f>RAW_DATA!A273</f>
        <v>APP272</v>
      </c>
      <c r="B273" s="3" t="b">
        <f>AND(RAW_DATA!B273&gt;=21,RAW_DATA!B273&lt;=60)</f>
        <v>1</v>
      </c>
      <c r="C273" s="3" t="b">
        <f>RAW_DATA!C273&gt;=300000</f>
        <v>1</v>
      </c>
      <c r="D273" s="3" t="b">
        <f>RAW_DATA!F273&gt;=650</f>
        <v>0</v>
      </c>
      <c r="E273" s="3" t="b">
        <f>RAW_DATA!E273&gt;=1</f>
        <v>1</v>
      </c>
      <c r="F273" s="3" t="b">
        <f>RAW_DATA!L273="No"</f>
        <v>1</v>
      </c>
      <c r="G273" s="3" t="b">
        <f t="shared" si="24"/>
        <v>0</v>
      </c>
      <c r="H273" s="3" t="str">
        <f t="shared" si="25"/>
        <v>INELIGIBLE</v>
      </c>
      <c r="I273" s="3" t="str">
        <f t="shared" si="26"/>
        <v>Credit Score</v>
      </c>
      <c r="K273" s="3" cm="1">
        <f t="array" ref="K2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3" s="5">
        <f>IF(RAW_DATA!C273&lt;300000,0,IF(RAW_DATA!C273&lt;600000,5,IF(RAW_DATA!C273&lt;1200000,15,IF(RAW_DATA!C273&lt;2000000,20,25))))</f>
        <v>25</v>
      </c>
      <c r="M273" s="3">
        <f>IF(RAW_DATA!E273&lt;1,0,IF(RAW_DATA!E273&lt;3,3,IF(RAW_DATA!E273&lt;5,5,IF(RAW_DATA!E273&lt;10,8,10))))</f>
        <v>10</v>
      </c>
      <c r="N273" s="3">
        <f>IF(RAW_DATA!F273&lt;650,0,IF(RAW_DATA!F273&lt;700,8,IF(RAW_DATA!F273&lt;750,15,IF(RAW_DATA!F273&lt;800,20,25))))</f>
        <v>0</v>
      </c>
      <c r="O273" s="3">
        <f>IF(RAW_DATA!G273=0,5,IF(RAW_DATA!G273=1,4,IF(RAW_DATA!G273=2,3,IF(RAW_DATA!G273=3,2,IF(RAW_DATA!G273=4,1,0)))))</f>
        <v>4</v>
      </c>
      <c r="P273" s="3">
        <f>IF(RAW_DATA!K273&gt;=RAW_DATA!H273,20,ROUND((RAW_DATA!K273/RAW_DATA!H273)*20,0))</f>
        <v>13</v>
      </c>
      <c r="Q273" s="3">
        <f>IF(RAW_DATA!L273="No",5,0)</f>
        <v>5</v>
      </c>
      <c r="R273" s="3">
        <f t="shared" si="27"/>
        <v>64</v>
      </c>
      <c r="S273" s="3">
        <f t="shared" si="28"/>
        <v>64</v>
      </c>
      <c r="T273" s="3" t="str">
        <f t="shared" si="29"/>
        <v>Not Scored - Ineligible</v>
      </c>
    </row>
    <row r="274" spans="1:20" x14ac:dyDescent="0.25">
      <c r="A274" s="3" t="str">
        <f>RAW_DATA!A274</f>
        <v>APP273</v>
      </c>
      <c r="B274" s="3" t="b">
        <f>AND(RAW_DATA!B274&gt;=21,RAW_DATA!B274&lt;=60)</f>
        <v>1</v>
      </c>
      <c r="C274" s="3" t="b">
        <f>RAW_DATA!C274&gt;=300000</f>
        <v>1</v>
      </c>
      <c r="D274" s="3" t="b">
        <f>RAW_DATA!F274&gt;=650</f>
        <v>1</v>
      </c>
      <c r="E274" s="3" t="b">
        <f>RAW_DATA!E274&gt;=1</f>
        <v>1</v>
      </c>
      <c r="F274" s="3" t="b">
        <f>RAW_DATA!L274="No"</f>
        <v>1</v>
      </c>
      <c r="G274" s="3" t="b">
        <f t="shared" si="24"/>
        <v>1</v>
      </c>
      <c r="H274" s="3" t="str">
        <f t="shared" si="25"/>
        <v>ELIGIBLE</v>
      </c>
      <c r="I274" s="3" t="str">
        <f t="shared" si="26"/>
        <v/>
      </c>
      <c r="K274" s="3" cm="1">
        <f t="array" ref="K2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74" s="5">
        <f>IF(RAW_DATA!C274&lt;300000,0,IF(RAW_DATA!C274&lt;600000,5,IF(RAW_DATA!C274&lt;1200000,15,IF(RAW_DATA!C274&lt;2000000,20,25))))</f>
        <v>20</v>
      </c>
      <c r="M274" s="3">
        <f>IF(RAW_DATA!E274&lt;1,0,IF(RAW_DATA!E274&lt;3,3,IF(RAW_DATA!E274&lt;5,5,IF(RAW_DATA!E274&lt;10,8,10))))</f>
        <v>10</v>
      </c>
      <c r="N274" s="3">
        <f>IF(RAW_DATA!F274&lt;650,0,IF(RAW_DATA!F274&lt;700,8,IF(RAW_DATA!F274&lt;750,15,IF(RAW_DATA!F274&lt;800,20,25))))</f>
        <v>25</v>
      </c>
      <c r="O274" s="3">
        <f>IF(RAW_DATA!G274=0,5,IF(RAW_DATA!G274=1,4,IF(RAW_DATA!G274=2,3,IF(RAW_DATA!G274=3,2,IF(RAW_DATA!G274=4,1,0)))))</f>
        <v>2</v>
      </c>
      <c r="P274" s="3">
        <f>IF(RAW_DATA!K274&gt;=RAW_DATA!H274,20,ROUND((RAW_DATA!K274/RAW_DATA!H274)*20,0))</f>
        <v>20</v>
      </c>
      <c r="Q274" s="3">
        <f>IF(RAW_DATA!L274="No",5,0)</f>
        <v>5</v>
      </c>
      <c r="R274" s="3">
        <f t="shared" si="27"/>
        <v>86</v>
      </c>
      <c r="S274" s="3">
        <f t="shared" si="28"/>
        <v>86</v>
      </c>
      <c r="T274" s="3" t="str">
        <f t="shared" si="29"/>
        <v>Strong</v>
      </c>
    </row>
    <row r="275" spans="1:20" x14ac:dyDescent="0.25">
      <c r="A275" s="3" t="str">
        <f>RAW_DATA!A275</f>
        <v>APP274</v>
      </c>
      <c r="B275" s="3" t="b">
        <f>AND(RAW_DATA!B275&gt;=21,RAW_DATA!B275&lt;=60)</f>
        <v>1</v>
      </c>
      <c r="C275" s="3" t="b">
        <f>RAW_DATA!C275&gt;=300000</f>
        <v>1</v>
      </c>
      <c r="D275" s="3" t="b">
        <f>RAW_DATA!F275&gt;=650</f>
        <v>0</v>
      </c>
      <c r="E275" s="3" t="b">
        <f>RAW_DATA!E275&gt;=1</f>
        <v>1</v>
      </c>
      <c r="F275" s="3" t="b">
        <f>RAW_DATA!L275="No"</f>
        <v>1</v>
      </c>
      <c r="G275" s="3" t="b">
        <f t="shared" si="24"/>
        <v>0</v>
      </c>
      <c r="H275" s="3" t="str">
        <f t="shared" si="25"/>
        <v>INELIGIBLE</v>
      </c>
      <c r="I275" s="3" t="str">
        <f t="shared" si="26"/>
        <v>Credit Score</v>
      </c>
      <c r="K275" s="3" cm="1">
        <f t="array" ref="K2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5" s="5">
        <f>IF(RAW_DATA!C275&lt;300000,0,IF(RAW_DATA!C275&lt;600000,5,IF(RAW_DATA!C275&lt;1200000,15,IF(RAW_DATA!C275&lt;2000000,20,25))))</f>
        <v>15</v>
      </c>
      <c r="M275" s="3">
        <f>IF(RAW_DATA!E275&lt;1,0,IF(RAW_DATA!E275&lt;3,3,IF(RAW_DATA!E275&lt;5,5,IF(RAW_DATA!E275&lt;10,8,10))))</f>
        <v>10</v>
      </c>
      <c r="N275" s="3">
        <f>IF(RAW_DATA!F275&lt;650,0,IF(RAW_DATA!F275&lt;700,8,IF(RAW_DATA!F275&lt;750,15,IF(RAW_DATA!F275&lt;800,20,25))))</f>
        <v>0</v>
      </c>
      <c r="O275" s="3">
        <f>IF(RAW_DATA!G275=0,5,IF(RAW_DATA!G275=1,4,IF(RAW_DATA!G275=2,3,IF(RAW_DATA!G275=3,2,IF(RAW_DATA!G275=4,1,0)))))</f>
        <v>2</v>
      </c>
      <c r="P275" s="3">
        <f>IF(RAW_DATA!K275&gt;=RAW_DATA!H275,20,ROUND((RAW_DATA!K275/RAW_DATA!H275)*20,0))</f>
        <v>20</v>
      </c>
      <c r="Q275" s="3">
        <f>IF(RAW_DATA!L275="No",5,0)</f>
        <v>5</v>
      </c>
      <c r="R275" s="3">
        <f t="shared" si="27"/>
        <v>58</v>
      </c>
      <c r="S275" s="3">
        <f t="shared" si="28"/>
        <v>58</v>
      </c>
      <c r="T275" s="3" t="str">
        <f t="shared" si="29"/>
        <v>Not Scored - Ineligible</v>
      </c>
    </row>
    <row r="276" spans="1:20" x14ac:dyDescent="0.25">
      <c r="A276" s="3" t="str">
        <f>RAW_DATA!A276</f>
        <v>APP275</v>
      </c>
      <c r="B276" s="3" t="b">
        <f>AND(RAW_DATA!B276&gt;=21,RAW_DATA!B276&lt;=60)</f>
        <v>1</v>
      </c>
      <c r="C276" s="3" t="b">
        <f>RAW_DATA!C276&gt;=300000</f>
        <v>1</v>
      </c>
      <c r="D276" s="3" t="b">
        <f>RAW_DATA!F276&gt;=650</f>
        <v>0</v>
      </c>
      <c r="E276" s="3" t="b">
        <f>RAW_DATA!E276&gt;=1</f>
        <v>1</v>
      </c>
      <c r="F276" s="3" t="b">
        <f>RAW_DATA!L276="No"</f>
        <v>1</v>
      </c>
      <c r="G276" s="3" t="b">
        <f t="shared" si="24"/>
        <v>0</v>
      </c>
      <c r="H276" s="3" t="str">
        <f t="shared" si="25"/>
        <v>INELIGIBLE</v>
      </c>
      <c r="I276" s="3" t="str">
        <f t="shared" si="26"/>
        <v>Credit Score</v>
      </c>
      <c r="K276" s="3" cm="1">
        <f t="array" ref="K2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6" s="5">
        <f>IF(RAW_DATA!C276&lt;300000,0,IF(RAW_DATA!C276&lt;600000,5,IF(RAW_DATA!C276&lt;1200000,15,IF(RAW_DATA!C276&lt;2000000,20,25))))</f>
        <v>25</v>
      </c>
      <c r="M276" s="3">
        <f>IF(RAW_DATA!E276&lt;1,0,IF(RAW_DATA!E276&lt;3,3,IF(RAW_DATA!E276&lt;5,5,IF(RAW_DATA!E276&lt;10,8,10))))</f>
        <v>10</v>
      </c>
      <c r="N276" s="3">
        <f>IF(RAW_DATA!F276&lt;650,0,IF(RAW_DATA!F276&lt;700,8,IF(RAW_DATA!F276&lt;750,15,IF(RAW_DATA!F276&lt;800,20,25))))</f>
        <v>0</v>
      </c>
      <c r="O276" s="3">
        <f>IF(RAW_DATA!G276=0,5,IF(RAW_DATA!G276=1,4,IF(RAW_DATA!G276=2,3,IF(RAW_DATA!G276=3,2,IF(RAW_DATA!G276=4,1,0)))))</f>
        <v>1</v>
      </c>
      <c r="P276" s="3">
        <f>IF(RAW_DATA!K276&gt;=RAW_DATA!H276,20,ROUND((RAW_DATA!K276/RAW_DATA!H276)*20,0))</f>
        <v>2</v>
      </c>
      <c r="Q276" s="3">
        <f>IF(RAW_DATA!L276="No",5,0)</f>
        <v>5</v>
      </c>
      <c r="R276" s="3">
        <f t="shared" si="27"/>
        <v>50</v>
      </c>
      <c r="S276" s="3">
        <f t="shared" si="28"/>
        <v>50</v>
      </c>
      <c r="T276" s="3" t="str">
        <f t="shared" si="29"/>
        <v>Not Scored - Ineligible</v>
      </c>
    </row>
    <row r="277" spans="1:20" x14ac:dyDescent="0.25">
      <c r="A277" s="3" t="str">
        <f>RAW_DATA!A277</f>
        <v>APP276</v>
      </c>
      <c r="B277" s="3" t="b">
        <f>AND(RAW_DATA!B277&gt;=21,RAW_DATA!B277&lt;=60)</f>
        <v>1</v>
      </c>
      <c r="C277" s="3" t="b">
        <f>RAW_DATA!C277&gt;=300000</f>
        <v>1</v>
      </c>
      <c r="D277" s="3" t="b">
        <f>RAW_DATA!F277&gt;=650</f>
        <v>1</v>
      </c>
      <c r="E277" s="3" t="b">
        <f>RAW_DATA!E277&gt;=1</f>
        <v>1</v>
      </c>
      <c r="F277" s="3" t="b">
        <f>RAW_DATA!L277="No"</f>
        <v>1</v>
      </c>
      <c r="G277" s="3" t="b">
        <f t="shared" si="24"/>
        <v>1</v>
      </c>
      <c r="H277" s="3" t="str">
        <f t="shared" si="25"/>
        <v>ELIGIBLE</v>
      </c>
      <c r="I277" s="3" t="str">
        <f t="shared" si="26"/>
        <v/>
      </c>
      <c r="K277" s="3" cm="1">
        <f t="array" ref="K2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7" s="5">
        <f>IF(RAW_DATA!C277&lt;300000,0,IF(RAW_DATA!C277&lt;600000,5,IF(RAW_DATA!C277&lt;1200000,15,IF(RAW_DATA!C277&lt;2000000,20,25))))</f>
        <v>15</v>
      </c>
      <c r="M277" s="3">
        <f>IF(RAW_DATA!E277&lt;1,0,IF(RAW_DATA!E277&lt;3,3,IF(RAW_DATA!E277&lt;5,5,IF(RAW_DATA!E277&lt;10,8,10))))</f>
        <v>10</v>
      </c>
      <c r="N277" s="3">
        <f>IF(RAW_DATA!F277&lt;650,0,IF(RAW_DATA!F277&lt;700,8,IF(RAW_DATA!F277&lt;750,15,IF(RAW_DATA!F277&lt;800,20,25))))</f>
        <v>25</v>
      </c>
      <c r="O277" s="3">
        <f>IF(RAW_DATA!G277=0,5,IF(RAW_DATA!G277=1,4,IF(RAW_DATA!G277=2,3,IF(RAW_DATA!G277=3,2,IF(RAW_DATA!G277=4,1,0)))))</f>
        <v>3</v>
      </c>
      <c r="P277" s="3">
        <f>IF(RAW_DATA!K277&gt;=RAW_DATA!H277,20,ROUND((RAW_DATA!K277/RAW_DATA!H277)*20,0))</f>
        <v>20</v>
      </c>
      <c r="Q277" s="3">
        <f>IF(RAW_DATA!L277="No",5,0)</f>
        <v>5</v>
      </c>
      <c r="R277" s="3">
        <f t="shared" si="27"/>
        <v>85</v>
      </c>
      <c r="S277" s="3">
        <f t="shared" si="28"/>
        <v>85</v>
      </c>
      <c r="T277" s="3" t="str">
        <f t="shared" si="29"/>
        <v>Strong</v>
      </c>
    </row>
    <row r="278" spans="1:20" x14ac:dyDescent="0.25">
      <c r="A278" s="3" t="str">
        <f>RAW_DATA!A278</f>
        <v>APP277</v>
      </c>
      <c r="B278" s="3" t="b">
        <f>AND(RAW_DATA!B278&gt;=21,RAW_DATA!B278&lt;=60)</f>
        <v>1</v>
      </c>
      <c r="C278" s="3" t="b">
        <f>RAW_DATA!C278&gt;=300000</f>
        <v>1</v>
      </c>
      <c r="D278" s="3" t="b">
        <f>RAW_DATA!F278&gt;=650</f>
        <v>0</v>
      </c>
      <c r="E278" s="3" t="b">
        <f>RAW_DATA!E278&gt;=1</f>
        <v>1</v>
      </c>
      <c r="F278" s="3" t="b">
        <f>RAW_DATA!L278="No"</f>
        <v>1</v>
      </c>
      <c r="G278" s="3" t="b">
        <f t="shared" si="24"/>
        <v>0</v>
      </c>
      <c r="H278" s="3" t="str">
        <f t="shared" si="25"/>
        <v>INELIGIBLE</v>
      </c>
      <c r="I278" s="3" t="str">
        <f t="shared" si="26"/>
        <v>Credit Score</v>
      </c>
      <c r="K278" s="3" cm="1">
        <f t="array" ref="K2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8" s="5">
        <f>IF(RAW_DATA!C278&lt;300000,0,IF(RAW_DATA!C278&lt;600000,5,IF(RAW_DATA!C278&lt;1200000,15,IF(RAW_DATA!C278&lt;2000000,20,25))))</f>
        <v>15</v>
      </c>
      <c r="M278" s="3">
        <f>IF(RAW_DATA!E278&lt;1,0,IF(RAW_DATA!E278&lt;3,3,IF(RAW_DATA!E278&lt;5,5,IF(RAW_DATA!E278&lt;10,8,10))))</f>
        <v>10</v>
      </c>
      <c r="N278" s="3">
        <f>IF(RAW_DATA!F278&lt;650,0,IF(RAW_DATA!F278&lt;700,8,IF(RAW_DATA!F278&lt;750,15,IF(RAW_DATA!F278&lt;800,20,25))))</f>
        <v>0</v>
      </c>
      <c r="O278" s="3">
        <f>IF(RAW_DATA!G278=0,5,IF(RAW_DATA!G278=1,4,IF(RAW_DATA!G278=2,3,IF(RAW_DATA!G278=3,2,IF(RAW_DATA!G278=4,1,0)))))</f>
        <v>1</v>
      </c>
      <c r="P278" s="3">
        <f>IF(RAW_DATA!K278&gt;=RAW_DATA!H278,20,ROUND((RAW_DATA!K278/RAW_DATA!H278)*20,0))</f>
        <v>20</v>
      </c>
      <c r="Q278" s="3">
        <f>IF(RAW_DATA!L278="No",5,0)</f>
        <v>5</v>
      </c>
      <c r="R278" s="3">
        <f t="shared" si="27"/>
        <v>58</v>
      </c>
      <c r="S278" s="3">
        <f t="shared" si="28"/>
        <v>58</v>
      </c>
      <c r="T278" s="3" t="str">
        <f t="shared" si="29"/>
        <v>Not Scored - Ineligible</v>
      </c>
    </row>
    <row r="279" spans="1:20" x14ac:dyDescent="0.25">
      <c r="A279" s="3" t="str">
        <f>RAW_DATA!A279</f>
        <v>APP278</v>
      </c>
      <c r="B279" s="3" t="b">
        <f>AND(RAW_DATA!B279&gt;=21,RAW_DATA!B279&lt;=60)</f>
        <v>1</v>
      </c>
      <c r="C279" s="3" t="b">
        <f>RAW_DATA!C279&gt;=300000</f>
        <v>1</v>
      </c>
      <c r="D279" s="3" t="b">
        <f>RAW_DATA!F279&gt;=650</f>
        <v>0</v>
      </c>
      <c r="E279" s="3" t="b">
        <f>RAW_DATA!E279&gt;=1</f>
        <v>1</v>
      </c>
      <c r="F279" s="3" t="b">
        <f>RAW_DATA!L279="No"</f>
        <v>1</v>
      </c>
      <c r="G279" s="3" t="b">
        <f t="shared" si="24"/>
        <v>0</v>
      </c>
      <c r="H279" s="3" t="str">
        <f t="shared" si="25"/>
        <v>INELIGIBLE</v>
      </c>
      <c r="I279" s="3" t="str">
        <f t="shared" si="26"/>
        <v>Credit Score</v>
      </c>
      <c r="K279" s="3" cm="1">
        <f t="array" ref="K2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79" s="5">
        <f>IF(RAW_DATA!C279&lt;300000,0,IF(RAW_DATA!C279&lt;600000,5,IF(RAW_DATA!C279&lt;1200000,15,IF(RAW_DATA!C279&lt;2000000,20,25))))</f>
        <v>25</v>
      </c>
      <c r="M279" s="3">
        <f>IF(RAW_DATA!E279&lt;1,0,IF(RAW_DATA!E279&lt;3,3,IF(RAW_DATA!E279&lt;5,5,IF(RAW_DATA!E279&lt;10,8,10))))</f>
        <v>10</v>
      </c>
      <c r="N279" s="3">
        <f>IF(RAW_DATA!F279&lt;650,0,IF(RAW_DATA!F279&lt;700,8,IF(RAW_DATA!F279&lt;750,15,IF(RAW_DATA!F279&lt;800,20,25))))</f>
        <v>0</v>
      </c>
      <c r="O279" s="3">
        <f>IF(RAW_DATA!G279=0,5,IF(RAW_DATA!G279=1,4,IF(RAW_DATA!G279=2,3,IF(RAW_DATA!G279=3,2,IF(RAW_DATA!G279=4,1,0)))))</f>
        <v>1</v>
      </c>
      <c r="P279" s="3">
        <f>IF(RAW_DATA!K279&gt;=RAW_DATA!H279,20,ROUND((RAW_DATA!K279/RAW_DATA!H279)*20,0))</f>
        <v>20</v>
      </c>
      <c r="Q279" s="3">
        <f>IF(RAW_DATA!L279="No",5,0)</f>
        <v>5</v>
      </c>
      <c r="R279" s="3">
        <f t="shared" si="27"/>
        <v>71</v>
      </c>
      <c r="S279" s="3">
        <f t="shared" si="28"/>
        <v>71</v>
      </c>
      <c r="T279" s="3" t="str">
        <f t="shared" si="29"/>
        <v>Not Scored - Ineligible</v>
      </c>
    </row>
    <row r="280" spans="1:20" x14ac:dyDescent="0.25">
      <c r="A280" s="3" t="str">
        <f>RAW_DATA!A280</f>
        <v>APP279</v>
      </c>
      <c r="B280" s="3" t="b">
        <f>AND(RAW_DATA!B280&gt;=21,RAW_DATA!B280&lt;=60)</f>
        <v>1</v>
      </c>
      <c r="C280" s="3" t="b">
        <f>RAW_DATA!C280&gt;=300000</f>
        <v>1</v>
      </c>
      <c r="D280" s="3" t="b">
        <f>RAW_DATA!F280&gt;=650</f>
        <v>1</v>
      </c>
      <c r="E280" s="3" t="b">
        <f>RAW_DATA!E280&gt;=1</f>
        <v>1</v>
      </c>
      <c r="F280" s="3" t="b">
        <f>RAW_DATA!L280="No"</f>
        <v>1</v>
      </c>
      <c r="G280" s="3" t="b">
        <f t="shared" si="24"/>
        <v>1</v>
      </c>
      <c r="H280" s="3" t="str">
        <f t="shared" si="25"/>
        <v>ELIGIBLE</v>
      </c>
      <c r="I280" s="3" t="str">
        <f t="shared" si="26"/>
        <v/>
      </c>
      <c r="K280" s="3" cm="1">
        <f t="array" ref="K2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0" s="5">
        <f>IF(RAW_DATA!C280&lt;300000,0,IF(RAW_DATA!C280&lt;600000,5,IF(RAW_DATA!C280&lt;1200000,15,IF(RAW_DATA!C280&lt;2000000,20,25))))</f>
        <v>25</v>
      </c>
      <c r="M280" s="3">
        <f>IF(RAW_DATA!E280&lt;1,0,IF(RAW_DATA!E280&lt;3,3,IF(RAW_DATA!E280&lt;5,5,IF(RAW_DATA!E280&lt;10,8,10))))</f>
        <v>10</v>
      </c>
      <c r="N280" s="3">
        <f>IF(RAW_DATA!F280&lt;650,0,IF(RAW_DATA!F280&lt;700,8,IF(RAW_DATA!F280&lt;750,15,IF(RAW_DATA!F280&lt;800,20,25))))</f>
        <v>15</v>
      </c>
      <c r="O280" s="3">
        <f>IF(RAW_DATA!G280=0,5,IF(RAW_DATA!G280=1,4,IF(RAW_DATA!G280=2,3,IF(RAW_DATA!G280=3,2,IF(RAW_DATA!G280=4,1,0)))))</f>
        <v>3</v>
      </c>
      <c r="P280" s="3">
        <f>IF(RAW_DATA!K280&gt;=RAW_DATA!H280,20,ROUND((RAW_DATA!K280/RAW_DATA!H280)*20,0))</f>
        <v>19</v>
      </c>
      <c r="Q280" s="3">
        <f>IF(RAW_DATA!L280="No",5,0)</f>
        <v>5</v>
      </c>
      <c r="R280" s="3">
        <f t="shared" si="27"/>
        <v>84</v>
      </c>
      <c r="S280" s="3">
        <f t="shared" si="28"/>
        <v>84</v>
      </c>
      <c r="T280" s="3" t="str">
        <f t="shared" si="29"/>
        <v>Strong</v>
      </c>
    </row>
    <row r="281" spans="1:20" x14ac:dyDescent="0.25">
      <c r="A281" s="3" t="str">
        <f>RAW_DATA!A281</f>
        <v>APP280</v>
      </c>
      <c r="B281" s="3" t="b">
        <f>AND(RAW_DATA!B281&gt;=21,RAW_DATA!B281&lt;=60)</f>
        <v>1</v>
      </c>
      <c r="C281" s="3" t="b">
        <f>RAW_DATA!C281&gt;=300000</f>
        <v>1</v>
      </c>
      <c r="D281" s="3" t="b">
        <f>RAW_DATA!F281&gt;=650</f>
        <v>1</v>
      </c>
      <c r="E281" s="3" t="b">
        <f>RAW_DATA!E281&gt;=1</f>
        <v>1</v>
      </c>
      <c r="F281" s="3" t="b">
        <f>RAW_DATA!L281="No"</f>
        <v>1</v>
      </c>
      <c r="G281" s="3" t="b">
        <f t="shared" si="24"/>
        <v>1</v>
      </c>
      <c r="H281" s="3" t="str">
        <f t="shared" si="25"/>
        <v>ELIGIBLE</v>
      </c>
      <c r="I281" s="3" t="str">
        <f t="shared" si="26"/>
        <v/>
      </c>
      <c r="K281" s="3" cm="1">
        <f t="array" ref="K2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1" s="5">
        <f>IF(RAW_DATA!C281&lt;300000,0,IF(RAW_DATA!C281&lt;600000,5,IF(RAW_DATA!C281&lt;1200000,15,IF(RAW_DATA!C281&lt;2000000,20,25))))</f>
        <v>25</v>
      </c>
      <c r="M281" s="3">
        <f>IF(RAW_DATA!E281&lt;1,0,IF(RAW_DATA!E281&lt;3,3,IF(RAW_DATA!E281&lt;5,5,IF(RAW_DATA!E281&lt;10,8,10))))</f>
        <v>10</v>
      </c>
      <c r="N281" s="3">
        <f>IF(RAW_DATA!F281&lt;650,0,IF(RAW_DATA!F281&lt;700,8,IF(RAW_DATA!F281&lt;750,15,IF(RAW_DATA!F281&lt;800,20,25))))</f>
        <v>8</v>
      </c>
      <c r="O281" s="3">
        <f>IF(RAW_DATA!G281=0,5,IF(RAW_DATA!G281=1,4,IF(RAW_DATA!G281=2,3,IF(RAW_DATA!G281=3,2,IF(RAW_DATA!G281=4,1,0)))))</f>
        <v>4</v>
      </c>
      <c r="P281" s="3">
        <f>IF(RAW_DATA!K281&gt;=RAW_DATA!H281,20,ROUND((RAW_DATA!K281/RAW_DATA!H281)*20,0))</f>
        <v>20</v>
      </c>
      <c r="Q281" s="3">
        <f>IF(RAW_DATA!L281="No",5,0)</f>
        <v>5</v>
      </c>
      <c r="R281" s="3">
        <f t="shared" si="27"/>
        <v>78</v>
      </c>
      <c r="S281" s="3">
        <f t="shared" si="28"/>
        <v>78</v>
      </c>
      <c r="T281" s="3" t="str">
        <f t="shared" si="29"/>
        <v>Strong</v>
      </c>
    </row>
    <row r="282" spans="1:20" x14ac:dyDescent="0.25">
      <c r="A282" s="3" t="str">
        <f>RAW_DATA!A282</f>
        <v>APP281</v>
      </c>
      <c r="B282" s="3" t="b">
        <f>AND(RAW_DATA!B282&gt;=21,RAW_DATA!B282&lt;=60)</f>
        <v>1</v>
      </c>
      <c r="C282" s="3" t="b">
        <f>RAW_DATA!C282&gt;=300000</f>
        <v>1</v>
      </c>
      <c r="D282" s="3" t="b">
        <f>RAW_DATA!F282&gt;=650</f>
        <v>0</v>
      </c>
      <c r="E282" s="3" t="b">
        <f>RAW_DATA!E282&gt;=1</f>
        <v>1</v>
      </c>
      <c r="F282" s="3" t="b">
        <f>RAW_DATA!L282="No"</f>
        <v>1</v>
      </c>
      <c r="G282" s="3" t="b">
        <f t="shared" si="24"/>
        <v>0</v>
      </c>
      <c r="H282" s="3" t="str">
        <f t="shared" si="25"/>
        <v>INELIGIBLE</v>
      </c>
      <c r="I282" s="3" t="str">
        <f t="shared" si="26"/>
        <v>Credit Score</v>
      </c>
      <c r="K282" s="3" cm="1">
        <f t="array" ref="K2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2" s="5">
        <f>IF(RAW_DATA!C282&lt;300000,0,IF(RAW_DATA!C282&lt;600000,5,IF(RAW_DATA!C282&lt;1200000,15,IF(RAW_DATA!C282&lt;2000000,20,25))))</f>
        <v>20</v>
      </c>
      <c r="M282" s="3">
        <f>IF(RAW_DATA!E282&lt;1,0,IF(RAW_DATA!E282&lt;3,3,IF(RAW_DATA!E282&lt;5,5,IF(RAW_DATA!E282&lt;10,8,10))))</f>
        <v>3</v>
      </c>
      <c r="N282" s="3">
        <f>IF(RAW_DATA!F282&lt;650,0,IF(RAW_DATA!F282&lt;700,8,IF(RAW_DATA!F282&lt;750,15,IF(RAW_DATA!F282&lt;800,20,25))))</f>
        <v>0</v>
      </c>
      <c r="O282" s="3">
        <f>IF(RAW_DATA!G282=0,5,IF(RAW_DATA!G282=1,4,IF(RAW_DATA!G282=2,3,IF(RAW_DATA!G282=3,2,IF(RAW_DATA!G282=4,1,0)))))</f>
        <v>1</v>
      </c>
      <c r="P282" s="3">
        <f>IF(RAW_DATA!K282&gt;=RAW_DATA!H282,20,ROUND((RAW_DATA!K282/RAW_DATA!H282)*20,0))</f>
        <v>20</v>
      </c>
      <c r="Q282" s="3">
        <f>IF(RAW_DATA!L282="No",5,0)</f>
        <v>5</v>
      </c>
      <c r="R282" s="3">
        <f t="shared" si="27"/>
        <v>56</v>
      </c>
      <c r="S282" s="3">
        <f t="shared" si="28"/>
        <v>56</v>
      </c>
      <c r="T282" s="3" t="str">
        <f t="shared" si="29"/>
        <v>Not Scored - Ineligible</v>
      </c>
    </row>
    <row r="283" spans="1:20" x14ac:dyDescent="0.25">
      <c r="A283" s="3" t="str">
        <f>RAW_DATA!A283</f>
        <v>APP282</v>
      </c>
      <c r="B283" s="3" t="b">
        <f>AND(RAW_DATA!B283&gt;=21,RAW_DATA!B283&lt;=60)</f>
        <v>1</v>
      </c>
      <c r="C283" s="3" t="b">
        <f>RAW_DATA!C283&gt;=300000</f>
        <v>1</v>
      </c>
      <c r="D283" s="3" t="b">
        <f>RAW_DATA!F283&gt;=650</f>
        <v>0</v>
      </c>
      <c r="E283" s="3" t="b">
        <f>RAW_DATA!E283&gt;=1</f>
        <v>1</v>
      </c>
      <c r="F283" s="3" t="b">
        <f>RAW_DATA!L283="No"</f>
        <v>1</v>
      </c>
      <c r="G283" s="3" t="b">
        <f t="shared" si="24"/>
        <v>0</v>
      </c>
      <c r="H283" s="3" t="str">
        <f t="shared" si="25"/>
        <v>INELIGIBLE</v>
      </c>
      <c r="I283" s="3" t="str">
        <f t="shared" si="26"/>
        <v>Credit Score</v>
      </c>
      <c r="K283" s="3" cm="1">
        <f t="array" ref="K2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3" s="5">
        <f>IF(RAW_DATA!C283&lt;300000,0,IF(RAW_DATA!C283&lt;600000,5,IF(RAW_DATA!C283&lt;1200000,15,IF(RAW_DATA!C283&lt;2000000,20,25))))</f>
        <v>15</v>
      </c>
      <c r="M283" s="3">
        <f>IF(RAW_DATA!E283&lt;1,0,IF(RAW_DATA!E283&lt;3,3,IF(RAW_DATA!E283&lt;5,5,IF(RAW_DATA!E283&lt;10,8,10))))</f>
        <v>5</v>
      </c>
      <c r="N283" s="3">
        <f>IF(RAW_DATA!F283&lt;650,0,IF(RAW_DATA!F283&lt;700,8,IF(RAW_DATA!F283&lt;750,15,IF(RAW_DATA!F283&lt;800,20,25))))</f>
        <v>0</v>
      </c>
      <c r="O283" s="3">
        <f>IF(RAW_DATA!G283=0,5,IF(RAW_DATA!G283=1,4,IF(RAW_DATA!G283=2,3,IF(RAW_DATA!G283=3,2,IF(RAW_DATA!G283=4,1,0)))))</f>
        <v>0</v>
      </c>
      <c r="P283" s="3">
        <f>IF(RAW_DATA!K283&gt;=RAW_DATA!H283,20,ROUND((RAW_DATA!K283/RAW_DATA!H283)*20,0))</f>
        <v>20</v>
      </c>
      <c r="Q283" s="3">
        <f>IF(RAW_DATA!L283="No",5,0)</f>
        <v>5</v>
      </c>
      <c r="R283" s="3">
        <f t="shared" si="27"/>
        <v>51</v>
      </c>
      <c r="S283" s="3">
        <f t="shared" si="28"/>
        <v>51</v>
      </c>
      <c r="T283" s="3" t="str">
        <f t="shared" si="29"/>
        <v>Not Scored - Ineligible</v>
      </c>
    </row>
    <row r="284" spans="1:20" x14ac:dyDescent="0.25">
      <c r="A284" s="3" t="str">
        <f>RAW_DATA!A284</f>
        <v>APP283</v>
      </c>
      <c r="B284" s="3" t="b">
        <f>AND(RAW_DATA!B284&gt;=21,RAW_DATA!B284&lt;=60)</f>
        <v>0</v>
      </c>
      <c r="C284" s="3" t="b">
        <f>RAW_DATA!C284&gt;=300000</f>
        <v>1</v>
      </c>
      <c r="D284" s="3" t="b">
        <f>RAW_DATA!F284&gt;=650</f>
        <v>1</v>
      </c>
      <c r="E284" s="3" t="b">
        <f>RAW_DATA!E284&gt;=1</f>
        <v>1</v>
      </c>
      <c r="F284" s="3" t="b">
        <f>RAW_DATA!L284="No"</f>
        <v>1</v>
      </c>
      <c r="G284" s="3" t="b">
        <f t="shared" si="24"/>
        <v>0</v>
      </c>
      <c r="H284" s="3" t="str">
        <f t="shared" si="25"/>
        <v>INELIGIBLE</v>
      </c>
      <c r="I284" s="3" t="str">
        <f t="shared" si="26"/>
        <v>Age</v>
      </c>
      <c r="K284" s="3" cm="1">
        <f t="array" ref="K2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4" s="5">
        <f>IF(RAW_DATA!C284&lt;300000,0,IF(RAW_DATA!C284&lt;600000,5,IF(RAW_DATA!C284&lt;1200000,15,IF(RAW_DATA!C284&lt;2000000,20,25))))</f>
        <v>15</v>
      </c>
      <c r="M284" s="3">
        <f>IF(RAW_DATA!E284&lt;1,0,IF(RAW_DATA!E284&lt;3,3,IF(RAW_DATA!E284&lt;5,5,IF(RAW_DATA!E284&lt;10,8,10))))</f>
        <v>3</v>
      </c>
      <c r="N284" s="3">
        <f>IF(RAW_DATA!F284&lt;650,0,IF(RAW_DATA!F284&lt;700,8,IF(RAW_DATA!F284&lt;750,15,IF(RAW_DATA!F284&lt;800,20,25))))</f>
        <v>25</v>
      </c>
      <c r="O284" s="3">
        <f>IF(RAW_DATA!G284=0,5,IF(RAW_DATA!G284=1,4,IF(RAW_DATA!G284=2,3,IF(RAW_DATA!G284=3,2,IF(RAW_DATA!G284=4,1,0)))))</f>
        <v>2</v>
      </c>
      <c r="P284" s="3">
        <f>IF(RAW_DATA!K284&gt;=RAW_DATA!H284,20,ROUND((RAW_DATA!K284/RAW_DATA!H284)*20,0))</f>
        <v>20</v>
      </c>
      <c r="Q284" s="3">
        <f>IF(RAW_DATA!L284="No",5,0)</f>
        <v>5</v>
      </c>
      <c r="R284" s="3">
        <f t="shared" si="27"/>
        <v>70</v>
      </c>
      <c r="S284" s="3">
        <f t="shared" si="28"/>
        <v>70</v>
      </c>
      <c r="T284" s="3" t="str">
        <f t="shared" si="29"/>
        <v>Not Scored - Ineligible</v>
      </c>
    </row>
    <row r="285" spans="1:20" x14ac:dyDescent="0.25">
      <c r="A285" s="3" t="str">
        <f>RAW_DATA!A285</f>
        <v>APP284</v>
      </c>
      <c r="B285" s="3" t="b">
        <f>AND(RAW_DATA!B285&gt;=21,RAW_DATA!B285&lt;=60)</f>
        <v>1</v>
      </c>
      <c r="C285" s="3" t="b">
        <f>RAW_DATA!C285&gt;=300000</f>
        <v>1</v>
      </c>
      <c r="D285" s="3" t="b">
        <f>RAW_DATA!F285&gt;=650</f>
        <v>0</v>
      </c>
      <c r="E285" s="3" t="b">
        <f>RAW_DATA!E285&gt;=1</f>
        <v>1</v>
      </c>
      <c r="F285" s="3" t="b">
        <f>RAW_DATA!L285="No"</f>
        <v>1</v>
      </c>
      <c r="G285" s="3" t="b">
        <f t="shared" si="24"/>
        <v>0</v>
      </c>
      <c r="H285" s="3" t="str">
        <f t="shared" si="25"/>
        <v>INELIGIBLE</v>
      </c>
      <c r="I285" s="3" t="str">
        <f t="shared" si="26"/>
        <v>Credit Score</v>
      </c>
      <c r="K285" s="3" cm="1">
        <f t="array" ref="K2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5" s="5">
        <f>IF(RAW_DATA!C285&lt;300000,0,IF(RAW_DATA!C285&lt;600000,5,IF(RAW_DATA!C285&lt;1200000,15,IF(RAW_DATA!C285&lt;2000000,20,25))))</f>
        <v>15</v>
      </c>
      <c r="M285" s="3">
        <f>IF(RAW_DATA!E285&lt;1,0,IF(RAW_DATA!E285&lt;3,3,IF(RAW_DATA!E285&lt;5,5,IF(RAW_DATA!E285&lt;10,8,10))))</f>
        <v>10</v>
      </c>
      <c r="N285" s="3">
        <f>IF(RAW_DATA!F285&lt;650,0,IF(RAW_DATA!F285&lt;700,8,IF(RAW_DATA!F285&lt;750,15,IF(RAW_DATA!F285&lt;800,20,25))))</f>
        <v>0</v>
      </c>
      <c r="O285" s="3">
        <f>IF(RAW_DATA!G285=0,5,IF(RAW_DATA!G285=1,4,IF(RAW_DATA!G285=2,3,IF(RAW_DATA!G285=3,2,IF(RAW_DATA!G285=4,1,0)))))</f>
        <v>0</v>
      </c>
      <c r="P285" s="3">
        <f>IF(RAW_DATA!K285&gt;=RAW_DATA!H285,20,ROUND((RAW_DATA!K285/RAW_DATA!H285)*20,0))</f>
        <v>20</v>
      </c>
      <c r="Q285" s="3">
        <f>IF(RAW_DATA!L285="No",5,0)</f>
        <v>5</v>
      </c>
      <c r="R285" s="3">
        <f t="shared" si="27"/>
        <v>56</v>
      </c>
      <c r="S285" s="3">
        <f t="shared" si="28"/>
        <v>56</v>
      </c>
      <c r="T285" s="3" t="str">
        <f t="shared" si="29"/>
        <v>Not Scored - Ineligible</v>
      </c>
    </row>
    <row r="286" spans="1:20" x14ac:dyDescent="0.25">
      <c r="A286" s="3" t="str">
        <f>RAW_DATA!A286</f>
        <v>APP285</v>
      </c>
      <c r="B286" s="3" t="b">
        <f>AND(RAW_DATA!B286&gt;=21,RAW_DATA!B286&lt;=60)</f>
        <v>1</v>
      </c>
      <c r="C286" s="3" t="b">
        <f>RAW_DATA!C286&gt;=300000</f>
        <v>1</v>
      </c>
      <c r="D286" s="3" t="b">
        <f>RAW_DATA!F286&gt;=650</f>
        <v>0</v>
      </c>
      <c r="E286" s="3" t="b">
        <f>RAW_DATA!E286&gt;=1</f>
        <v>1</v>
      </c>
      <c r="F286" s="3" t="b">
        <f>RAW_DATA!L286="No"</f>
        <v>1</v>
      </c>
      <c r="G286" s="3" t="b">
        <f t="shared" si="24"/>
        <v>0</v>
      </c>
      <c r="H286" s="3" t="str">
        <f t="shared" si="25"/>
        <v>INELIGIBLE</v>
      </c>
      <c r="I286" s="3" t="str">
        <f t="shared" si="26"/>
        <v>Credit Score</v>
      </c>
      <c r="K286" s="3" cm="1">
        <f t="array" ref="K2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86" s="5">
        <f>IF(RAW_DATA!C286&lt;300000,0,IF(RAW_DATA!C286&lt;600000,5,IF(RAW_DATA!C286&lt;1200000,15,IF(RAW_DATA!C286&lt;2000000,20,25))))</f>
        <v>20</v>
      </c>
      <c r="M286" s="3">
        <f>IF(RAW_DATA!E286&lt;1,0,IF(RAW_DATA!E286&lt;3,3,IF(RAW_DATA!E286&lt;5,5,IF(RAW_DATA!E286&lt;10,8,10))))</f>
        <v>10</v>
      </c>
      <c r="N286" s="3">
        <f>IF(RAW_DATA!F286&lt;650,0,IF(RAW_DATA!F286&lt;700,8,IF(RAW_DATA!F286&lt;750,15,IF(RAW_DATA!F286&lt;800,20,25))))</f>
        <v>0</v>
      </c>
      <c r="O286" s="3">
        <f>IF(RAW_DATA!G286=0,5,IF(RAW_DATA!G286=1,4,IF(RAW_DATA!G286=2,3,IF(RAW_DATA!G286=3,2,IF(RAW_DATA!G286=4,1,0)))))</f>
        <v>3</v>
      </c>
      <c r="P286" s="3">
        <f>IF(RAW_DATA!K286&gt;=RAW_DATA!H286,20,ROUND((RAW_DATA!K286/RAW_DATA!H286)*20,0))</f>
        <v>20</v>
      </c>
      <c r="Q286" s="3">
        <f>IF(RAW_DATA!L286="No",5,0)</f>
        <v>5</v>
      </c>
      <c r="R286" s="3">
        <f t="shared" si="27"/>
        <v>66</v>
      </c>
      <c r="S286" s="3">
        <f t="shared" si="28"/>
        <v>66</v>
      </c>
      <c r="T286" s="3" t="str">
        <f t="shared" si="29"/>
        <v>Not Scored - Ineligible</v>
      </c>
    </row>
    <row r="287" spans="1:20" x14ac:dyDescent="0.25">
      <c r="A287" s="3" t="str">
        <f>RAW_DATA!A287</f>
        <v>APP286</v>
      </c>
      <c r="B287" s="3" t="b">
        <f>AND(RAW_DATA!B287&gt;=21,RAW_DATA!B287&lt;=60)</f>
        <v>1</v>
      </c>
      <c r="C287" s="3" t="b">
        <f>RAW_DATA!C287&gt;=300000</f>
        <v>1</v>
      </c>
      <c r="D287" s="3" t="b">
        <f>RAW_DATA!F287&gt;=650</f>
        <v>1</v>
      </c>
      <c r="E287" s="3" t="b">
        <f>RAW_DATA!E287&gt;=1</f>
        <v>1</v>
      </c>
      <c r="F287" s="3" t="b">
        <f>RAW_DATA!L287="No"</f>
        <v>1</v>
      </c>
      <c r="G287" s="3" t="b">
        <f t="shared" si="24"/>
        <v>1</v>
      </c>
      <c r="H287" s="3" t="str">
        <f t="shared" si="25"/>
        <v>ELIGIBLE</v>
      </c>
      <c r="I287" s="3" t="str">
        <f t="shared" si="26"/>
        <v/>
      </c>
      <c r="K287" s="3" cm="1">
        <f t="array" ref="K2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7" s="5">
        <f>IF(RAW_DATA!C287&lt;300000,0,IF(RAW_DATA!C287&lt;600000,5,IF(RAW_DATA!C287&lt;1200000,15,IF(RAW_DATA!C287&lt;2000000,20,25))))</f>
        <v>25</v>
      </c>
      <c r="M287" s="3">
        <f>IF(RAW_DATA!E287&lt;1,0,IF(RAW_DATA!E287&lt;3,3,IF(RAW_DATA!E287&lt;5,5,IF(RAW_DATA!E287&lt;10,8,10))))</f>
        <v>8</v>
      </c>
      <c r="N287" s="3">
        <f>IF(RAW_DATA!F287&lt;650,0,IF(RAW_DATA!F287&lt;700,8,IF(RAW_DATA!F287&lt;750,15,IF(RAW_DATA!F287&lt;800,20,25))))</f>
        <v>20</v>
      </c>
      <c r="O287" s="3">
        <f>IF(RAW_DATA!G287=0,5,IF(RAW_DATA!G287=1,4,IF(RAW_DATA!G287=2,3,IF(RAW_DATA!G287=3,2,IF(RAW_DATA!G287=4,1,0)))))</f>
        <v>5</v>
      </c>
      <c r="P287" s="3">
        <f>IF(RAW_DATA!K287&gt;=RAW_DATA!H287,20,ROUND((RAW_DATA!K287/RAW_DATA!H287)*20,0))</f>
        <v>20</v>
      </c>
      <c r="Q287" s="3">
        <f>IF(RAW_DATA!L287="No",5,0)</f>
        <v>5</v>
      </c>
      <c r="R287" s="3">
        <f t="shared" si="27"/>
        <v>93</v>
      </c>
      <c r="S287" s="3">
        <f t="shared" si="28"/>
        <v>93</v>
      </c>
      <c r="T287" s="3" t="str">
        <f t="shared" si="29"/>
        <v>Strong</v>
      </c>
    </row>
    <row r="288" spans="1:20" x14ac:dyDescent="0.25">
      <c r="A288" s="3" t="str">
        <f>RAW_DATA!A288</f>
        <v>APP287</v>
      </c>
      <c r="B288" s="3" t="b">
        <f>AND(RAW_DATA!B288&gt;=21,RAW_DATA!B288&lt;=60)</f>
        <v>1</v>
      </c>
      <c r="C288" s="3" t="b">
        <f>RAW_DATA!C288&gt;=300000</f>
        <v>1</v>
      </c>
      <c r="D288" s="3" t="b">
        <f>RAW_DATA!F288&gt;=650</f>
        <v>1</v>
      </c>
      <c r="E288" s="3" t="b">
        <f>RAW_DATA!E288&gt;=1</f>
        <v>1</v>
      </c>
      <c r="F288" s="3" t="b">
        <f>RAW_DATA!L288="No"</f>
        <v>1</v>
      </c>
      <c r="G288" s="3" t="b">
        <f t="shared" si="24"/>
        <v>1</v>
      </c>
      <c r="H288" s="3" t="str">
        <f t="shared" si="25"/>
        <v>ELIGIBLE</v>
      </c>
      <c r="I288" s="3" t="str">
        <f t="shared" si="26"/>
        <v/>
      </c>
      <c r="K288" s="3" cm="1">
        <f t="array" ref="K2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8" s="5">
        <f>IF(RAW_DATA!C288&lt;300000,0,IF(RAW_DATA!C288&lt;600000,5,IF(RAW_DATA!C288&lt;1200000,15,IF(RAW_DATA!C288&lt;2000000,20,25))))</f>
        <v>20</v>
      </c>
      <c r="M288" s="3">
        <f>IF(RAW_DATA!E288&lt;1,0,IF(RAW_DATA!E288&lt;3,3,IF(RAW_DATA!E288&lt;5,5,IF(RAW_DATA!E288&lt;10,8,10))))</f>
        <v>10</v>
      </c>
      <c r="N288" s="3">
        <f>IF(RAW_DATA!F288&lt;650,0,IF(RAW_DATA!F288&lt;700,8,IF(RAW_DATA!F288&lt;750,15,IF(RAW_DATA!F288&lt;800,20,25))))</f>
        <v>25</v>
      </c>
      <c r="O288" s="3">
        <f>IF(RAW_DATA!G288=0,5,IF(RAW_DATA!G288=1,4,IF(RAW_DATA!G288=2,3,IF(RAW_DATA!G288=3,2,IF(RAW_DATA!G288=4,1,0)))))</f>
        <v>2</v>
      </c>
      <c r="P288" s="3">
        <f>IF(RAW_DATA!K288&gt;=RAW_DATA!H288,20,ROUND((RAW_DATA!K288/RAW_DATA!H288)*20,0))</f>
        <v>20</v>
      </c>
      <c r="Q288" s="3">
        <f>IF(RAW_DATA!L288="No",5,0)</f>
        <v>5</v>
      </c>
      <c r="R288" s="3">
        <f t="shared" si="27"/>
        <v>92</v>
      </c>
      <c r="S288" s="3">
        <f t="shared" si="28"/>
        <v>92</v>
      </c>
      <c r="T288" s="3" t="str">
        <f t="shared" si="29"/>
        <v>Strong</v>
      </c>
    </row>
    <row r="289" spans="1:20" x14ac:dyDescent="0.25">
      <c r="A289" s="3" t="str">
        <f>RAW_DATA!A289</f>
        <v>APP288</v>
      </c>
      <c r="B289" s="3" t="b">
        <f>AND(RAW_DATA!B289&gt;=21,RAW_DATA!B289&lt;=60)</f>
        <v>1</v>
      </c>
      <c r="C289" s="3" t="b">
        <f>RAW_DATA!C289&gt;=300000</f>
        <v>1</v>
      </c>
      <c r="D289" s="3" t="b">
        <f>RAW_DATA!F289&gt;=650</f>
        <v>0</v>
      </c>
      <c r="E289" s="3" t="b">
        <f>RAW_DATA!E289&gt;=1</f>
        <v>1</v>
      </c>
      <c r="F289" s="3" t="b">
        <f>RAW_DATA!L289="No"</f>
        <v>0</v>
      </c>
      <c r="G289" s="3" t="b">
        <f t="shared" si="24"/>
        <v>0</v>
      </c>
      <c r="H289" s="3" t="str">
        <f t="shared" si="25"/>
        <v>INELIGIBLE</v>
      </c>
      <c r="I289" s="3" t="str">
        <f t="shared" si="26"/>
        <v>Credit Score, Defaulter History</v>
      </c>
      <c r="K289" s="3" cm="1">
        <f t="array" ref="K2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9" s="5">
        <f>IF(RAW_DATA!C289&lt;300000,0,IF(RAW_DATA!C289&lt;600000,5,IF(RAW_DATA!C289&lt;1200000,15,IF(RAW_DATA!C289&lt;2000000,20,25))))</f>
        <v>25</v>
      </c>
      <c r="M289" s="3">
        <f>IF(RAW_DATA!E289&lt;1,0,IF(RAW_DATA!E289&lt;3,3,IF(RAW_DATA!E289&lt;5,5,IF(RAW_DATA!E289&lt;10,8,10))))</f>
        <v>8</v>
      </c>
      <c r="N289" s="3">
        <f>IF(RAW_DATA!F289&lt;650,0,IF(RAW_DATA!F289&lt;700,8,IF(RAW_DATA!F289&lt;750,15,IF(RAW_DATA!F289&lt;800,20,25))))</f>
        <v>0</v>
      </c>
      <c r="O289" s="3">
        <f>IF(RAW_DATA!G289=0,5,IF(RAW_DATA!G289=1,4,IF(RAW_DATA!G289=2,3,IF(RAW_DATA!G289=3,2,IF(RAW_DATA!G289=4,1,0)))))</f>
        <v>4</v>
      </c>
      <c r="P289" s="3">
        <f>IF(RAW_DATA!K289&gt;=RAW_DATA!H289,20,ROUND((RAW_DATA!K289/RAW_DATA!H289)*20,0))</f>
        <v>20</v>
      </c>
      <c r="Q289" s="3">
        <f>IF(RAW_DATA!L289="No",5,0)</f>
        <v>0</v>
      </c>
      <c r="R289" s="3">
        <f t="shared" si="27"/>
        <v>64</v>
      </c>
      <c r="S289" s="3">
        <f t="shared" si="28"/>
        <v>64</v>
      </c>
      <c r="T289" s="3" t="str">
        <f t="shared" si="29"/>
        <v>Not Scored - Ineligible</v>
      </c>
    </row>
    <row r="290" spans="1:20" x14ac:dyDescent="0.25">
      <c r="A290" s="3" t="str">
        <f>RAW_DATA!A290</f>
        <v>APP289</v>
      </c>
      <c r="B290" s="3" t="b">
        <f>AND(RAW_DATA!B290&gt;=21,RAW_DATA!B290&lt;=60)</f>
        <v>0</v>
      </c>
      <c r="C290" s="3" t="b">
        <f>RAW_DATA!C290&gt;=300000</f>
        <v>1</v>
      </c>
      <c r="D290" s="3" t="b">
        <f>RAW_DATA!F290&gt;=650</f>
        <v>0</v>
      </c>
      <c r="E290" s="3" t="b">
        <f>RAW_DATA!E290&gt;=1</f>
        <v>0</v>
      </c>
      <c r="F290" s="3" t="b">
        <f>RAW_DATA!L290="No"</f>
        <v>1</v>
      </c>
      <c r="G290" s="3" t="b">
        <f t="shared" si="24"/>
        <v>0</v>
      </c>
      <c r="H290" s="3" t="str">
        <f t="shared" si="25"/>
        <v>INELIGIBLE</v>
      </c>
      <c r="I290" s="3" t="str">
        <f t="shared" si="26"/>
        <v>Age, Credit Score, Employment</v>
      </c>
      <c r="K290" s="3" cm="1">
        <f t="array" ref="K2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0" s="5">
        <f>IF(RAW_DATA!C290&lt;300000,0,IF(RAW_DATA!C290&lt;600000,5,IF(RAW_DATA!C290&lt;1200000,15,IF(RAW_DATA!C290&lt;2000000,20,25))))</f>
        <v>5</v>
      </c>
      <c r="M290" s="3">
        <f>IF(RAW_DATA!E290&lt;1,0,IF(RAW_DATA!E290&lt;3,3,IF(RAW_DATA!E290&lt;5,5,IF(RAW_DATA!E290&lt;10,8,10))))</f>
        <v>0</v>
      </c>
      <c r="N290" s="3">
        <f>IF(RAW_DATA!F290&lt;650,0,IF(RAW_DATA!F290&lt;700,8,IF(RAW_DATA!F290&lt;750,15,IF(RAW_DATA!F290&lt;800,20,25))))</f>
        <v>0</v>
      </c>
      <c r="O290" s="3">
        <f>IF(RAW_DATA!G290=0,5,IF(RAW_DATA!G290=1,4,IF(RAW_DATA!G290=2,3,IF(RAW_DATA!G290=3,2,IF(RAW_DATA!G290=4,1,0)))))</f>
        <v>5</v>
      </c>
      <c r="P290" s="3">
        <f>IF(RAW_DATA!K290&gt;=RAW_DATA!H290,20,ROUND((RAW_DATA!K290/RAW_DATA!H290)*20,0))</f>
        <v>13</v>
      </c>
      <c r="Q290" s="3">
        <f>IF(RAW_DATA!L290="No",5,0)</f>
        <v>5</v>
      </c>
      <c r="R290" s="3">
        <f t="shared" si="27"/>
        <v>28</v>
      </c>
      <c r="S290" s="3">
        <f t="shared" si="28"/>
        <v>28</v>
      </c>
      <c r="T290" s="3" t="str">
        <f t="shared" si="29"/>
        <v>Not Scored - Ineligible</v>
      </c>
    </row>
    <row r="291" spans="1:20" x14ac:dyDescent="0.25">
      <c r="A291" s="3" t="str">
        <f>RAW_DATA!A291</f>
        <v>APP290</v>
      </c>
      <c r="B291" s="3" t="b">
        <f>AND(RAW_DATA!B291&gt;=21,RAW_DATA!B291&lt;=60)</f>
        <v>1</v>
      </c>
      <c r="C291" s="3" t="b">
        <f>RAW_DATA!C291&gt;=300000</f>
        <v>0</v>
      </c>
      <c r="D291" s="3" t="b">
        <f>RAW_DATA!F291&gt;=650</f>
        <v>0</v>
      </c>
      <c r="E291" s="3" t="b">
        <f>RAW_DATA!E291&gt;=1</f>
        <v>1</v>
      </c>
      <c r="F291" s="3" t="b">
        <f>RAW_DATA!L291="No"</f>
        <v>1</v>
      </c>
      <c r="G291" s="3" t="b">
        <f t="shared" si="24"/>
        <v>0</v>
      </c>
      <c r="H291" s="3" t="str">
        <f t="shared" si="25"/>
        <v>INELIGIBLE</v>
      </c>
      <c r="I291" s="3" t="str">
        <f t="shared" si="26"/>
        <v>Income, Credit Score</v>
      </c>
      <c r="K291" s="3" cm="1">
        <f t="array" ref="K2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1" s="5">
        <f>IF(RAW_DATA!C291&lt;300000,0,IF(RAW_DATA!C291&lt;600000,5,IF(RAW_DATA!C291&lt;1200000,15,IF(RAW_DATA!C291&lt;2000000,20,25))))</f>
        <v>0</v>
      </c>
      <c r="M291" s="3">
        <f>IF(RAW_DATA!E291&lt;1,0,IF(RAW_DATA!E291&lt;3,3,IF(RAW_DATA!E291&lt;5,5,IF(RAW_DATA!E291&lt;10,8,10))))</f>
        <v>10</v>
      </c>
      <c r="N291" s="3">
        <f>IF(RAW_DATA!F291&lt;650,0,IF(RAW_DATA!F291&lt;700,8,IF(RAW_DATA!F291&lt;750,15,IF(RAW_DATA!F291&lt;800,20,25))))</f>
        <v>0</v>
      </c>
      <c r="O291" s="3">
        <f>IF(RAW_DATA!G291=0,5,IF(RAW_DATA!G291=1,4,IF(RAW_DATA!G291=2,3,IF(RAW_DATA!G291=3,2,IF(RAW_DATA!G291=4,1,0)))))</f>
        <v>0</v>
      </c>
      <c r="P291" s="3">
        <f>IF(RAW_DATA!K291&gt;=RAW_DATA!H291,20,ROUND((RAW_DATA!K291/RAW_DATA!H291)*20,0))</f>
        <v>7</v>
      </c>
      <c r="Q291" s="3">
        <f>IF(RAW_DATA!L291="No",5,0)</f>
        <v>5</v>
      </c>
      <c r="R291" s="3">
        <f t="shared" si="27"/>
        <v>29</v>
      </c>
      <c r="S291" s="3">
        <f t="shared" si="28"/>
        <v>29</v>
      </c>
      <c r="T291" s="3" t="str">
        <f t="shared" si="29"/>
        <v>Not Scored - Ineligible</v>
      </c>
    </row>
    <row r="292" spans="1:20" x14ac:dyDescent="0.25">
      <c r="A292" s="3" t="str">
        <f>RAW_DATA!A292</f>
        <v>APP291</v>
      </c>
      <c r="B292" s="3" t="b">
        <f>AND(RAW_DATA!B292&gt;=21,RAW_DATA!B292&lt;=60)</f>
        <v>1</v>
      </c>
      <c r="C292" s="3" t="b">
        <f>RAW_DATA!C292&gt;=300000</f>
        <v>1</v>
      </c>
      <c r="D292" s="3" t="b">
        <f>RAW_DATA!F292&gt;=650</f>
        <v>0</v>
      </c>
      <c r="E292" s="3" t="b">
        <f>RAW_DATA!E292&gt;=1</f>
        <v>0</v>
      </c>
      <c r="F292" s="3" t="b">
        <f>RAW_DATA!L292="No"</f>
        <v>1</v>
      </c>
      <c r="G292" s="3" t="b">
        <f t="shared" si="24"/>
        <v>0</v>
      </c>
      <c r="H292" s="3" t="str">
        <f t="shared" si="25"/>
        <v>INELIGIBLE</v>
      </c>
      <c r="I292" s="3" t="str">
        <f t="shared" si="26"/>
        <v>Credit Score, Employment</v>
      </c>
      <c r="K292" s="3" cm="1">
        <f t="array" ref="K2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92" s="5">
        <f>IF(RAW_DATA!C292&lt;300000,0,IF(RAW_DATA!C292&lt;600000,5,IF(RAW_DATA!C292&lt;1200000,15,IF(RAW_DATA!C292&lt;2000000,20,25))))</f>
        <v>15</v>
      </c>
      <c r="M292" s="3">
        <f>IF(RAW_DATA!E292&lt;1,0,IF(RAW_DATA!E292&lt;3,3,IF(RAW_DATA!E292&lt;5,5,IF(RAW_DATA!E292&lt;10,8,10))))</f>
        <v>0</v>
      </c>
      <c r="N292" s="3">
        <f>IF(RAW_DATA!F292&lt;650,0,IF(RAW_DATA!F292&lt;700,8,IF(RAW_DATA!F292&lt;750,15,IF(RAW_DATA!F292&lt;800,20,25))))</f>
        <v>0</v>
      </c>
      <c r="O292" s="3">
        <f>IF(RAW_DATA!G292=0,5,IF(RAW_DATA!G292=1,4,IF(RAW_DATA!G292=2,3,IF(RAW_DATA!G292=3,2,IF(RAW_DATA!G292=4,1,0)))))</f>
        <v>5</v>
      </c>
      <c r="P292" s="3">
        <f>IF(RAW_DATA!K292&gt;=RAW_DATA!H292,20,ROUND((RAW_DATA!K292/RAW_DATA!H292)*20,0))</f>
        <v>20</v>
      </c>
      <c r="Q292" s="3">
        <f>IF(RAW_DATA!L292="No",5,0)</f>
        <v>5</v>
      </c>
      <c r="R292" s="3">
        <f t="shared" si="27"/>
        <v>51</v>
      </c>
      <c r="S292" s="3">
        <f t="shared" si="28"/>
        <v>51</v>
      </c>
      <c r="T292" s="3" t="str">
        <f t="shared" si="29"/>
        <v>Not Scored - Ineligible</v>
      </c>
    </row>
    <row r="293" spans="1:20" x14ac:dyDescent="0.25">
      <c r="A293" s="3" t="str">
        <f>RAW_DATA!A293</f>
        <v>APP292</v>
      </c>
      <c r="B293" s="3" t="b">
        <f>AND(RAW_DATA!B293&gt;=21,RAW_DATA!B293&lt;=60)</f>
        <v>1</v>
      </c>
      <c r="C293" s="3" t="b">
        <f>RAW_DATA!C293&gt;=300000</f>
        <v>1</v>
      </c>
      <c r="D293" s="3" t="b">
        <f>RAW_DATA!F293&gt;=650</f>
        <v>0</v>
      </c>
      <c r="E293" s="3" t="b">
        <f>RAW_DATA!E293&gt;=1</f>
        <v>1</v>
      </c>
      <c r="F293" s="3" t="b">
        <f>RAW_DATA!L293="No"</f>
        <v>0</v>
      </c>
      <c r="G293" s="3" t="b">
        <f t="shared" si="24"/>
        <v>0</v>
      </c>
      <c r="H293" s="3" t="str">
        <f t="shared" si="25"/>
        <v>INELIGIBLE</v>
      </c>
      <c r="I293" s="3" t="str">
        <f t="shared" si="26"/>
        <v>Credit Score, Defaulter History</v>
      </c>
      <c r="K293" s="3" cm="1">
        <f t="array" ref="K2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3" s="5">
        <f>IF(RAW_DATA!C293&lt;300000,0,IF(RAW_DATA!C293&lt;600000,5,IF(RAW_DATA!C293&lt;1200000,15,IF(RAW_DATA!C293&lt;2000000,20,25))))</f>
        <v>25</v>
      </c>
      <c r="M293" s="3">
        <f>IF(RAW_DATA!E293&lt;1,0,IF(RAW_DATA!E293&lt;3,3,IF(RAW_DATA!E293&lt;5,5,IF(RAW_DATA!E293&lt;10,8,10))))</f>
        <v>3</v>
      </c>
      <c r="N293" s="3">
        <f>IF(RAW_DATA!F293&lt;650,0,IF(RAW_DATA!F293&lt;700,8,IF(RAW_DATA!F293&lt;750,15,IF(RAW_DATA!F293&lt;800,20,25))))</f>
        <v>0</v>
      </c>
      <c r="O293" s="3">
        <f>IF(RAW_DATA!G293=0,5,IF(RAW_DATA!G293=1,4,IF(RAW_DATA!G293=2,3,IF(RAW_DATA!G293=3,2,IF(RAW_DATA!G293=4,1,0)))))</f>
        <v>5</v>
      </c>
      <c r="P293" s="3">
        <f>IF(RAW_DATA!K293&gt;=RAW_DATA!H293,20,ROUND((RAW_DATA!K293/RAW_DATA!H293)*20,0))</f>
        <v>20</v>
      </c>
      <c r="Q293" s="3">
        <f>IF(RAW_DATA!L293="No",5,0)</f>
        <v>0</v>
      </c>
      <c r="R293" s="3">
        <f t="shared" si="27"/>
        <v>60</v>
      </c>
      <c r="S293" s="3">
        <f t="shared" si="28"/>
        <v>60</v>
      </c>
      <c r="T293" s="3" t="str">
        <f t="shared" si="29"/>
        <v>Not Scored - Ineligible</v>
      </c>
    </row>
    <row r="294" spans="1:20" x14ac:dyDescent="0.25">
      <c r="A294" s="3" t="str">
        <f>RAW_DATA!A294</f>
        <v>APP293</v>
      </c>
      <c r="B294" s="3" t="b">
        <f>AND(RAW_DATA!B294&gt;=21,RAW_DATA!B294&lt;=60)</f>
        <v>0</v>
      </c>
      <c r="C294" s="3" t="b">
        <f>RAW_DATA!C294&gt;=300000</f>
        <v>1</v>
      </c>
      <c r="D294" s="3" t="b">
        <f>RAW_DATA!F294&gt;=650</f>
        <v>1</v>
      </c>
      <c r="E294" s="3" t="b">
        <f>RAW_DATA!E294&gt;=1</f>
        <v>1</v>
      </c>
      <c r="F294" s="3" t="b">
        <f>RAW_DATA!L294="No"</f>
        <v>1</v>
      </c>
      <c r="G294" s="3" t="b">
        <f t="shared" si="24"/>
        <v>0</v>
      </c>
      <c r="H294" s="3" t="str">
        <f t="shared" si="25"/>
        <v>INELIGIBLE</v>
      </c>
      <c r="I294" s="3" t="str">
        <f t="shared" si="26"/>
        <v>Age</v>
      </c>
      <c r="K294" s="3" cm="1">
        <f t="array" ref="K2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4" s="5">
        <f>IF(RAW_DATA!C294&lt;300000,0,IF(RAW_DATA!C294&lt;600000,5,IF(RAW_DATA!C294&lt;1200000,15,IF(RAW_DATA!C294&lt;2000000,20,25))))</f>
        <v>20</v>
      </c>
      <c r="M294" s="3">
        <f>IF(RAW_DATA!E294&lt;1,0,IF(RAW_DATA!E294&lt;3,3,IF(RAW_DATA!E294&lt;5,5,IF(RAW_DATA!E294&lt;10,8,10))))</f>
        <v>10</v>
      </c>
      <c r="N294" s="3">
        <f>IF(RAW_DATA!F294&lt;650,0,IF(RAW_DATA!F294&lt;700,8,IF(RAW_DATA!F294&lt;750,15,IF(RAW_DATA!F294&lt;800,20,25))))</f>
        <v>25</v>
      </c>
      <c r="O294" s="3">
        <f>IF(RAW_DATA!G294=0,5,IF(RAW_DATA!G294=1,4,IF(RAW_DATA!G294=2,3,IF(RAW_DATA!G294=3,2,IF(RAW_DATA!G294=4,1,0)))))</f>
        <v>0</v>
      </c>
      <c r="P294" s="3">
        <f>IF(RAW_DATA!K294&gt;=RAW_DATA!H294,20,ROUND((RAW_DATA!K294/RAW_DATA!H294)*20,0))</f>
        <v>20</v>
      </c>
      <c r="Q294" s="3">
        <f>IF(RAW_DATA!L294="No",5,0)</f>
        <v>5</v>
      </c>
      <c r="R294" s="3">
        <f t="shared" si="27"/>
        <v>80</v>
      </c>
      <c r="S294" s="3">
        <f t="shared" si="28"/>
        <v>80</v>
      </c>
      <c r="T294" s="3" t="str">
        <f t="shared" si="29"/>
        <v>Not Scored - Ineligible</v>
      </c>
    </row>
    <row r="295" spans="1:20" x14ac:dyDescent="0.25">
      <c r="A295" s="3" t="str">
        <f>RAW_DATA!A295</f>
        <v>APP294</v>
      </c>
      <c r="B295" s="3" t="b">
        <f>AND(RAW_DATA!B295&gt;=21,RAW_DATA!B295&lt;=60)</f>
        <v>1</v>
      </c>
      <c r="C295" s="3" t="b">
        <f>RAW_DATA!C295&gt;=300000</f>
        <v>1</v>
      </c>
      <c r="D295" s="3" t="b">
        <f>RAW_DATA!F295&gt;=650</f>
        <v>0</v>
      </c>
      <c r="E295" s="3" t="b">
        <f>RAW_DATA!E295&gt;=1</f>
        <v>1</v>
      </c>
      <c r="F295" s="3" t="b">
        <f>RAW_DATA!L295="No"</f>
        <v>1</v>
      </c>
      <c r="G295" s="3" t="b">
        <f t="shared" si="24"/>
        <v>0</v>
      </c>
      <c r="H295" s="3" t="str">
        <f t="shared" si="25"/>
        <v>INELIGIBLE</v>
      </c>
      <c r="I295" s="3" t="str">
        <f t="shared" si="26"/>
        <v>Credit Score</v>
      </c>
      <c r="K295" s="3" cm="1">
        <f t="array" ref="K2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5" s="5">
        <f>IF(RAW_DATA!C295&lt;300000,0,IF(RAW_DATA!C295&lt;600000,5,IF(RAW_DATA!C295&lt;1200000,15,IF(RAW_DATA!C295&lt;2000000,20,25))))</f>
        <v>25</v>
      </c>
      <c r="M295" s="3">
        <f>IF(RAW_DATA!E295&lt;1,0,IF(RAW_DATA!E295&lt;3,3,IF(RAW_DATA!E295&lt;5,5,IF(RAW_DATA!E295&lt;10,8,10))))</f>
        <v>10</v>
      </c>
      <c r="N295" s="3">
        <f>IF(RAW_DATA!F295&lt;650,0,IF(RAW_DATA!F295&lt;700,8,IF(RAW_DATA!F295&lt;750,15,IF(RAW_DATA!F295&lt;800,20,25))))</f>
        <v>0</v>
      </c>
      <c r="O295" s="3">
        <f>IF(RAW_DATA!G295=0,5,IF(RAW_DATA!G295=1,4,IF(RAW_DATA!G295=2,3,IF(RAW_DATA!G295=3,2,IF(RAW_DATA!G295=4,1,0)))))</f>
        <v>5</v>
      </c>
      <c r="P295" s="3">
        <f>IF(RAW_DATA!K295&gt;=RAW_DATA!H295,20,ROUND((RAW_DATA!K295/RAW_DATA!H295)*20,0))</f>
        <v>18</v>
      </c>
      <c r="Q295" s="3">
        <f>IF(RAW_DATA!L295="No",5,0)</f>
        <v>5</v>
      </c>
      <c r="R295" s="3">
        <f t="shared" si="27"/>
        <v>70</v>
      </c>
      <c r="S295" s="3">
        <f t="shared" si="28"/>
        <v>70</v>
      </c>
      <c r="T295" s="3" t="str">
        <f t="shared" si="29"/>
        <v>Not Scored - Ineligible</v>
      </c>
    </row>
    <row r="296" spans="1:20" x14ac:dyDescent="0.25">
      <c r="A296" s="3" t="str">
        <f>RAW_DATA!A296</f>
        <v>APP295</v>
      </c>
      <c r="B296" s="3" t="b">
        <f>AND(RAW_DATA!B296&gt;=21,RAW_DATA!B296&lt;=60)</f>
        <v>1</v>
      </c>
      <c r="C296" s="3" t="b">
        <f>RAW_DATA!C296&gt;=300000</f>
        <v>1</v>
      </c>
      <c r="D296" s="3" t="b">
        <f>RAW_DATA!F296&gt;=650</f>
        <v>1</v>
      </c>
      <c r="E296" s="3" t="b">
        <f>RAW_DATA!E296&gt;=1</f>
        <v>1</v>
      </c>
      <c r="F296" s="3" t="b">
        <f>RAW_DATA!L296="No"</f>
        <v>1</v>
      </c>
      <c r="G296" s="3" t="b">
        <f t="shared" si="24"/>
        <v>1</v>
      </c>
      <c r="H296" s="3" t="str">
        <f t="shared" si="25"/>
        <v>ELIGIBLE</v>
      </c>
      <c r="I296" s="3" t="str">
        <f t="shared" si="26"/>
        <v/>
      </c>
      <c r="K296" s="3" cm="1">
        <f t="array" ref="K2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96" s="5">
        <f>IF(RAW_DATA!C296&lt;300000,0,IF(RAW_DATA!C296&lt;600000,5,IF(RAW_DATA!C296&lt;1200000,15,IF(RAW_DATA!C296&lt;2000000,20,25))))</f>
        <v>20</v>
      </c>
      <c r="M296" s="3">
        <f>IF(RAW_DATA!E296&lt;1,0,IF(RAW_DATA!E296&lt;3,3,IF(RAW_DATA!E296&lt;5,5,IF(RAW_DATA!E296&lt;10,8,10))))</f>
        <v>10</v>
      </c>
      <c r="N296" s="3">
        <f>IF(RAW_DATA!F296&lt;650,0,IF(RAW_DATA!F296&lt;700,8,IF(RAW_DATA!F296&lt;750,15,IF(RAW_DATA!F296&lt;800,20,25))))</f>
        <v>25</v>
      </c>
      <c r="O296" s="3">
        <f>IF(RAW_DATA!G296=0,5,IF(RAW_DATA!G296=1,4,IF(RAW_DATA!G296=2,3,IF(RAW_DATA!G296=3,2,IF(RAW_DATA!G296=4,1,0)))))</f>
        <v>0</v>
      </c>
      <c r="P296" s="3">
        <f>IF(RAW_DATA!K296&gt;=RAW_DATA!H296,20,ROUND((RAW_DATA!K296/RAW_DATA!H296)*20,0))</f>
        <v>20</v>
      </c>
      <c r="Q296" s="3">
        <f>IF(RAW_DATA!L296="No",5,0)</f>
        <v>5</v>
      </c>
      <c r="R296" s="3">
        <f t="shared" si="27"/>
        <v>90</v>
      </c>
      <c r="S296" s="3">
        <f t="shared" si="28"/>
        <v>90</v>
      </c>
      <c r="T296" s="3" t="str">
        <f t="shared" si="29"/>
        <v>Strong</v>
      </c>
    </row>
    <row r="297" spans="1:20" x14ac:dyDescent="0.25">
      <c r="A297" s="3" t="str">
        <f>RAW_DATA!A297</f>
        <v>APP296</v>
      </c>
      <c r="B297" s="3" t="b">
        <f>AND(RAW_DATA!B297&gt;=21,RAW_DATA!B297&lt;=60)</f>
        <v>1</v>
      </c>
      <c r="C297" s="3" t="b">
        <f>RAW_DATA!C297&gt;=300000</f>
        <v>1</v>
      </c>
      <c r="D297" s="3" t="b">
        <f>RAW_DATA!F297&gt;=650</f>
        <v>1</v>
      </c>
      <c r="E297" s="3" t="b">
        <f>RAW_DATA!E297&gt;=1</f>
        <v>1</v>
      </c>
      <c r="F297" s="3" t="b">
        <f>RAW_DATA!L297="No"</f>
        <v>1</v>
      </c>
      <c r="G297" s="3" t="b">
        <f t="shared" si="24"/>
        <v>1</v>
      </c>
      <c r="H297" s="3" t="str">
        <f t="shared" si="25"/>
        <v>ELIGIBLE</v>
      </c>
      <c r="I297" s="3" t="str">
        <f t="shared" si="26"/>
        <v/>
      </c>
      <c r="K297" s="3" cm="1">
        <f t="array" ref="K2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7" s="5">
        <f>IF(RAW_DATA!C297&lt;300000,0,IF(RAW_DATA!C297&lt;600000,5,IF(RAW_DATA!C297&lt;1200000,15,IF(RAW_DATA!C297&lt;2000000,20,25))))</f>
        <v>5</v>
      </c>
      <c r="M297" s="3">
        <f>IF(RAW_DATA!E297&lt;1,0,IF(RAW_DATA!E297&lt;3,3,IF(RAW_DATA!E297&lt;5,5,IF(RAW_DATA!E297&lt;10,8,10))))</f>
        <v>8</v>
      </c>
      <c r="N297" s="3">
        <f>IF(RAW_DATA!F297&lt;650,0,IF(RAW_DATA!F297&lt;700,8,IF(RAW_DATA!F297&lt;750,15,IF(RAW_DATA!F297&lt;800,20,25))))</f>
        <v>25</v>
      </c>
      <c r="O297" s="3">
        <f>IF(RAW_DATA!G297=0,5,IF(RAW_DATA!G297=1,4,IF(RAW_DATA!G297=2,3,IF(RAW_DATA!G297=3,2,IF(RAW_DATA!G297=4,1,0)))))</f>
        <v>2</v>
      </c>
      <c r="P297" s="3">
        <f>IF(RAW_DATA!K297&gt;=RAW_DATA!H297,20,ROUND((RAW_DATA!K297/RAW_DATA!H297)*20,0))</f>
        <v>20</v>
      </c>
      <c r="Q297" s="3">
        <f>IF(RAW_DATA!L297="No",5,0)</f>
        <v>5</v>
      </c>
      <c r="R297" s="3">
        <f t="shared" si="27"/>
        <v>72</v>
      </c>
      <c r="S297" s="3">
        <f t="shared" si="28"/>
        <v>72</v>
      </c>
      <c r="T297" s="3" t="str">
        <f t="shared" si="29"/>
        <v>Strong</v>
      </c>
    </row>
    <row r="298" spans="1:20" x14ac:dyDescent="0.25">
      <c r="A298" s="3" t="str">
        <f>RAW_DATA!A298</f>
        <v>APP297</v>
      </c>
      <c r="B298" s="3" t="b">
        <f>AND(RAW_DATA!B298&gt;=21,RAW_DATA!B298&lt;=60)</f>
        <v>1</v>
      </c>
      <c r="C298" s="3" t="b">
        <f>RAW_DATA!C298&gt;=300000</f>
        <v>1</v>
      </c>
      <c r="D298" s="3" t="b">
        <f>RAW_DATA!F298&gt;=650</f>
        <v>0</v>
      </c>
      <c r="E298" s="3" t="b">
        <f>RAW_DATA!E298&gt;=1</f>
        <v>1</v>
      </c>
      <c r="F298" s="3" t="b">
        <f>RAW_DATA!L298="No"</f>
        <v>1</v>
      </c>
      <c r="G298" s="3" t="b">
        <f t="shared" si="24"/>
        <v>0</v>
      </c>
      <c r="H298" s="3" t="str">
        <f t="shared" si="25"/>
        <v>INELIGIBLE</v>
      </c>
      <c r="I298" s="3" t="str">
        <f t="shared" si="26"/>
        <v>Credit Score</v>
      </c>
      <c r="K298" s="3" cm="1">
        <f t="array" ref="K2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8" s="5">
        <f>IF(RAW_DATA!C298&lt;300000,0,IF(RAW_DATA!C298&lt;600000,5,IF(RAW_DATA!C298&lt;1200000,15,IF(RAW_DATA!C298&lt;2000000,20,25))))</f>
        <v>20</v>
      </c>
      <c r="M298" s="3">
        <f>IF(RAW_DATA!E298&lt;1,0,IF(RAW_DATA!E298&lt;3,3,IF(RAW_DATA!E298&lt;5,5,IF(RAW_DATA!E298&lt;10,8,10))))</f>
        <v>10</v>
      </c>
      <c r="N298" s="3">
        <f>IF(RAW_DATA!F298&lt;650,0,IF(RAW_DATA!F298&lt;700,8,IF(RAW_DATA!F298&lt;750,15,IF(RAW_DATA!F298&lt;800,20,25))))</f>
        <v>0</v>
      </c>
      <c r="O298" s="3">
        <f>IF(RAW_DATA!G298=0,5,IF(RAW_DATA!G298=1,4,IF(RAW_DATA!G298=2,3,IF(RAW_DATA!G298=3,2,IF(RAW_DATA!G298=4,1,0)))))</f>
        <v>3</v>
      </c>
      <c r="P298" s="3">
        <f>IF(RAW_DATA!K298&gt;=RAW_DATA!H298,20,ROUND((RAW_DATA!K298/RAW_DATA!H298)*20,0))</f>
        <v>6</v>
      </c>
      <c r="Q298" s="3">
        <f>IF(RAW_DATA!L298="No",5,0)</f>
        <v>5</v>
      </c>
      <c r="R298" s="3">
        <f t="shared" si="27"/>
        <v>48</v>
      </c>
      <c r="S298" s="3">
        <f t="shared" si="28"/>
        <v>48</v>
      </c>
      <c r="T298" s="3" t="str">
        <f t="shared" si="29"/>
        <v>Not Scored - Ineligible</v>
      </c>
    </row>
    <row r="299" spans="1:20" x14ac:dyDescent="0.25">
      <c r="A299" s="3" t="str">
        <f>RAW_DATA!A299</f>
        <v>APP298</v>
      </c>
      <c r="B299" s="3" t="b">
        <f>AND(RAW_DATA!B299&gt;=21,RAW_DATA!B299&lt;=60)</f>
        <v>0</v>
      </c>
      <c r="C299" s="3" t="b">
        <f>RAW_DATA!C299&gt;=300000</f>
        <v>1</v>
      </c>
      <c r="D299" s="3" t="b">
        <f>RAW_DATA!F299&gt;=650</f>
        <v>0</v>
      </c>
      <c r="E299" s="3" t="b">
        <f>RAW_DATA!E299&gt;=1</f>
        <v>1</v>
      </c>
      <c r="F299" s="3" t="b">
        <f>RAW_DATA!L299="No"</f>
        <v>1</v>
      </c>
      <c r="G299" s="3" t="b">
        <f t="shared" si="24"/>
        <v>0</v>
      </c>
      <c r="H299" s="3" t="str">
        <f t="shared" si="25"/>
        <v>INELIGIBLE</v>
      </c>
      <c r="I299" s="3" t="str">
        <f t="shared" si="26"/>
        <v>Age, Credit Score</v>
      </c>
      <c r="K299" s="3" cm="1">
        <f t="array" ref="K2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9" s="5">
        <f>IF(RAW_DATA!C299&lt;300000,0,IF(RAW_DATA!C299&lt;600000,5,IF(RAW_DATA!C299&lt;1200000,15,IF(RAW_DATA!C299&lt;2000000,20,25))))</f>
        <v>15</v>
      </c>
      <c r="M299" s="3">
        <f>IF(RAW_DATA!E299&lt;1,0,IF(RAW_DATA!E299&lt;3,3,IF(RAW_DATA!E299&lt;5,5,IF(RAW_DATA!E299&lt;10,8,10))))</f>
        <v>5</v>
      </c>
      <c r="N299" s="3">
        <f>IF(RAW_DATA!F299&lt;650,0,IF(RAW_DATA!F299&lt;700,8,IF(RAW_DATA!F299&lt;750,15,IF(RAW_DATA!F299&lt;800,20,25))))</f>
        <v>0</v>
      </c>
      <c r="O299" s="3">
        <f>IF(RAW_DATA!G299=0,5,IF(RAW_DATA!G299=1,4,IF(RAW_DATA!G299=2,3,IF(RAW_DATA!G299=3,2,IF(RAW_DATA!G299=4,1,0)))))</f>
        <v>0</v>
      </c>
      <c r="P299" s="3">
        <f>IF(RAW_DATA!K299&gt;=RAW_DATA!H299,20,ROUND((RAW_DATA!K299/RAW_DATA!H299)*20,0))</f>
        <v>20</v>
      </c>
      <c r="Q299" s="3">
        <f>IF(RAW_DATA!L299="No",5,0)</f>
        <v>5</v>
      </c>
      <c r="R299" s="3">
        <f t="shared" si="27"/>
        <v>45</v>
      </c>
      <c r="S299" s="3">
        <f t="shared" si="28"/>
        <v>45</v>
      </c>
      <c r="T299" s="3" t="str">
        <f t="shared" si="29"/>
        <v>Not Scored - Ineligible</v>
      </c>
    </row>
    <row r="300" spans="1:20" x14ac:dyDescent="0.25">
      <c r="A300" s="3" t="str">
        <f>RAW_DATA!A300</f>
        <v>APP299</v>
      </c>
      <c r="B300" s="3" t="b">
        <f>AND(RAW_DATA!B300&gt;=21,RAW_DATA!B300&lt;=60)</f>
        <v>1</v>
      </c>
      <c r="C300" s="3" t="b">
        <f>RAW_DATA!C300&gt;=300000</f>
        <v>0</v>
      </c>
      <c r="D300" s="3" t="b">
        <f>RAW_DATA!F300&gt;=650</f>
        <v>0</v>
      </c>
      <c r="E300" s="3" t="b">
        <f>RAW_DATA!E300&gt;=1</f>
        <v>0</v>
      </c>
      <c r="F300" s="3" t="b">
        <f>RAW_DATA!L300="No"</f>
        <v>1</v>
      </c>
      <c r="G300" s="3" t="b">
        <f t="shared" si="24"/>
        <v>0</v>
      </c>
      <c r="H300" s="3" t="str">
        <f t="shared" si="25"/>
        <v>INELIGIBLE</v>
      </c>
      <c r="I300" s="3" t="str">
        <f t="shared" si="26"/>
        <v>Income, Credit Score, Employment</v>
      </c>
      <c r="K300" s="3" cm="1">
        <f t="array" ref="K3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0" s="5">
        <f>IF(RAW_DATA!C300&lt;300000,0,IF(RAW_DATA!C300&lt;600000,5,IF(RAW_DATA!C300&lt;1200000,15,IF(RAW_DATA!C300&lt;2000000,20,25))))</f>
        <v>0</v>
      </c>
      <c r="M300" s="3">
        <f>IF(RAW_DATA!E300&lt;1,0,IF(RAW_DATA!E300&lt;3,3,IF(RAW_DATA!E300&lt;5,5,IF(RAW_DATA!E300&lt;10,8,10))))</f>
        <v>0</v>
      </c>
      <c r="N300" s="3">
        <f>IF(RAW_DATA!F300&lt;650,0,IF(RAW_DATA!F300&lt;700,8,IF(RAW_DATA!F300&lt;750,15,IF(RAW_DATA!F300&lt;800,20,25))))</f>
        <v>0</v>
      </c>
      <c r="O300" s="3">
        <f>IF(RAW_DATA!G300=0,5,IF(RAW_DATA!G300=1,4,IF(RAW_DATA!G300=2,3,IF(RAW_DATA!G300=3,2,IF(RAW_DATA!G300=4,1,0)))))</f>
        <v>2</v>
      </c>
      <c r="P300" s="3">
        <f>IF(RAW_DATA!K300&gt;=RAW_DATA!H300,20,ROUND((RAW_DATA!K300/RAW_DATA!H300)*20,0))</f>
        <v>10</v>
      </c>
      <c r="Q300" s="3">
        <f>IF(RAW_DATA!L300="No",5,0)</f>
        <v>5</v>
      </c>
      <c r="R300" s="3">
        <f t="shared" si="27"/>
        <v>24</v>
      </c>
      <c r="S300" s="3">
        <f t="shared" si="28"/>
        <v>24</v>
      </c>
      <c r="T300" s="3" t="str">
        <f t="shared" si="29"/>
        <v>Not Scored - Ineligible</v>
      </c>
    </row>
    <row r="301" spans="1:20" x14ac:dyDescent="0.25">
      <c r="A301" s="3" t="str">
        <f>RAW_DATA!A301</f>
        <v>APP300</v>
      </c>
      <c r="B301" s="3" t="b">
        <f>AND(RAW_DATA!B301&gt;=21,RAW_DATA!B301&lt;=60)</f>
        <v>1</v>
      </c>
      <c r="C301" s="3" t="b">
        <f>RAW_DATA!C301&gt;=300000</f>
        <v>1</v>
      </c>
      <c r="D301" s="3" t="b">
        <f>RAW_DATA!F301&gt;=650</f>
        <v>1</v>
      </c>
      <c r="E301" s="3" t="b">
        <f>RAW_DATA!E301&gt;=1</f>
        <v>1</v>
      </c>
      <c r="F301" s="3" t="b">
        <f>RAW_DATA!L301="No"</f>
        <v>1</v>
      </c>
      <c r="G301" s="3" t="b">
        <f t="shared" si="24"/>
        <v>1</v>
      </c>
      <c r="H301" s="3" t="str">
        <f t="shared" si="25"/>
        <v>ELIGIBLE</v>
      </c>
      <c r="I301" s="3" t="str">
        <f t="shared" si="26"/>
        <v/>
      </c>
      <c r="K301" s="3" cm="1">
        <f t="array" ref="K3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01" s="5">
        <f>IF(RAW_DATA!C301&lt;300000,0,IF(RAW_DATA!C301&lt;600000,5,IF(RAW_DATA!C301&lt;1200000,15,IF(RAW_DATA!C301&lt;2000000,20,25))))</f>
        <v>20</v>
      </c>
      <c r="M301" s="3">
        <f>IF(RAW_DATA!E301&lt;1,0,IF(RAW_DATA!E301&lt;3,3,IF(RAW_DATA!E301&lt;5,5,IF(RAW_DATA!E301&lt;10,8,10))))</f>
        <v>10</v>
      </c>
      <c r="N301" s="3">
        <f>IF(RAW_DATA!F301&lt;650,0,IF(RAW_DATA!F301&lt;700,8,IF(RAW_DATA!F301&lt;750,15,IF(RAW_DATA!F301&lt;800,20,25))))</f>
        <v>8</v>
      </c>
      <c r="O301" s="3">
        <f>IF(RAW_DATA!G301=0,5,IF(RAW_DATA!G301=1,4,IF(RAW_DATA!G301=2,3,IF(RAW_DATA!G301=3,2,IF(RAW_DATA!G301=4,1,0)))))</f>
        <v>4</v>
      </c>
      <c r="P301" s="3">
        <f>IF(RAW_DATA!K301&gt;=RAW_DATA!H301,20,ROUND((RAW_DATA!K301/RAW_DATA!H301)*20,0))</f>
        <v>8</v>
      </c>
      <c r="Q301" s="3">
        <f>IF(RAW_DATA!L301="No",5,0)</f>
        <v>5</v>
      </c>
      <c r="R301" s="3">
        <f t="shared" si="27"/>
        <v>59</v>
      </c>
      <c r="S301" s="3">
        <f t="shared" si="28"/>
        <v>59</v>
      </c>
      <c r="T301" s="3" t="str">
        <f t="shared" si="29"/>
        <v>Moderate</v>
      </c>
    </row>
    <row r="302" spans="1:20" x14ac:dyDescent="0.25">
      <c r="A302" s="3" t="str">
        <f>RAW_DATA!A302</f>
        <v>APP301</v>
      </c>
      <c r="B302" s="3" t="b">
        <f>AND(RAW_DATA!B302&gt;=21,RAW_DATA!B302&lt;=60)</f>
        <v>1</v>
      </c>
      <c r="C302" s="3" t="b">
        <f>RAW_DATA!C302&gt;=300000</f>
        <v>1</v>
      </c>
      <c r="D302" s="3" t="b">
        <f>RAW_DATA!F302&gt;=650</f>
        <v>0</v>
      </c>
      <c r="E302" s="3" t="b">
        <f>RAW_DATA!E302&gt;=1</f>
        <v>1</v>
      </c>
      <c r="F302" s="3" t="b">
        <f>RAW_DATA!L302="No"</f>
        <v>0</v>
      </c>
      <c r="G302" s="3" t="b">
        <f t="shared" si="24"/>
        <v>0</v>
      </c>
      <c r="H302" s="3" t="str">
        <f t="shared" si="25"/>
        <v>INELIGIBLE</v>
      </c>
      <c r="I302" s="3" t="str">
        <f t="shared" si="26"/>
        <v>Credit Score, Defaulter History</v>
      </c>
      <c r="K302" s="3" cm="1">
        <f t="array" ref="K3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2" s="5">
        <f>IF(RAW_DATA!C302&lt;300000,0,IF(RAW_DATA!C302&lt;600000,5,IF(RAW_DATA!C302&lt;1200000,15,IF(RAW_DATA!C302&lt;2000000,20,25))))</f>
        <v>5</v>
      </c>
      <c r="M302" s="3">
        <f>IF(RAW_DATA!E302&lt;1,0,IF(RAW_DATA!E302&lt;3,3,IF(RAW_DATA!E302&lt;5,5,IF(RAW_DATA!E302&lt;10,8,10))))</f>
        <v>10</v>
      </c>
      <c r="N302" s="3">
        <f>IF(RAW_DATA!F302&lt;650,0,IF(RAW_DATA!F302&lt;700,8,IF(RAW_DATA!F302&lt;750,15,IF(RAW_DATA!F302&lt;800,20,25))))</f>
        <v>0</v>
      </c>
      <c r="O302" s="3">
        <f>IF(RAW_DATA!G302=0,5,IF(RAW_DATA!G302=1,4,IF(RAW_DATA!G302=2,3,IF(RAW_DATA!G302=3,2,IF(RAW_DATA!G302=4,1,0)))))</f>
        <v>2</v>
      </c>
      <c r="P302" s="3">
        <f>IF(RAW_DATA!K302&gt;=RAW_DATA!H302,20,ROUND((RAW_DATA!K302/RAW_DATA!H302)*20,0))</f>
        <v>20</v>
      </c>
      <c r="Q302" s="3">
        <f>IF(RAW_DATA!L302="No",5,0)</f>
        <v>0</v>
      </c>
      <c r="R302" s="3">
        <f t="shared" si="27"/>
        <v>47</v>
      </c>
      <c r="S302" s="3">
        <f t="shared" si="28"/>
        <v>47</v>
      </c>
      <c r="T302" s="3" t="str">
        <f t="shared" si="29"/>
        <v>Not Scored - Ineligible</v>
      </c>
    </row>
    <row r="303" spans="1:20" x14ac:dyDescent="0.25">
      <c r="A303" s="3" t="str">
        <f>RAW_DATA!A303</f>
        <v>APP302</v>
      </c>
      <c r="B303" s="3" t="b">
        <f>AND(RAW_DATA!B303&gt;=21,RAW_DATA!B303&lt;=60)</f>
        <v>1</v>
      </c>
      <c r="C303" s="3" t="b">
        <f>RAW_DATA!C303&gt;=300000</f>
        <v>1</v>
      </c>
      <c r="D303" s="3" t="b">
        <f>RAW_DATA!F303&gt;=650</f>
        <v>0</v>
      </c>
      <c r="E303" s="3" t="b">
        <f>RAW_DATA!E303&gt;=1</f>
        <v>1</v>
      </c>
      <c r="F303" s="3" t="b">
        <f>RAW_DATA!L303="No"</f>
        <v>0</v>
      </c>
      <c r="G303" s="3" t="b">
        <f t="shared" si="24"/>
        <v>0</v>
      </c>
      <c r="H303" s="3" t="str">
        <f t="shared" si="25"/>
        <v>INELIGIBLE</v>
      </c>
      <c r="I303" s="3" t="str">
        <f t="shared" si="26"/>
        <v>Credit Score, Defaulter History</v>
      </c>
      <c r="K303" s="3" cm="1">
        <f t="array" ref="K3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3" s="5">
        <f>IF(RAW_DATA!C303&lt;300000,0,IF(RAW_DATA!C303&lt;600000,5,IF(RAW_DATA!C303&lt;1200000,15,IF(RAW_DATA!C303&lt;2000000,20,25))))</f>
        <v>15</v>
      </c>
      <c r="M303" s="3">
        <f>IF(RAW_DATA!E303&lt;1,0,IF(RAW_DATA!E303&lt;3,3,IF(RAW_DATA!E303&lt;5,5,IF(RAW_DATA!E303&lt;10,8,10))))</f>
        <v>10</v>
      </c>
      <c r="N303" s="3">
        <f>IF(RAW_DATA!F303&lt;650,0,IF(RAW_DATA!F303&lt;700,8,IF(RAW_DATA!F303&lt;750,15,IF(RAW_DATA!F303&lt;800,20,25))))</f>
        <v>0</v>
      </c>
      <c r="O303" s="3">
        <f>IF(RAW_DATA!G303=0,5,IF(RAW_DATA!G303=1,4,IF(RAW_DATA!G303=2,3,IF(RAW_DATA!G303=3,2,IF(RAW_DATA!G303=4,1,0)))))</f>
        <v>5</v>
      </c>
      <c r="P303" s="3">
        <f>IF(RAW_DATA!K303&gt;=RAW_DATA!H303,20,ROUND((RAW_DATA!K303/RAW_DATA!H303)*20,0))</f>
        <v>0</v>
      </c>
      <c r="Q303" s="3">
        <f>IF(RAW_DATA!L303="No",5,0)</f>
        <v>0</v>
      </c>
      <c r="R303" s="3">
        <f t="shared" si="27"/>
        <v>38</v>
      </c>
      <c r="S303" s="3">
        <f t="shared" si="28"/>
        <v>38</v>
      </c>
      <c r="T303" s="3" t="str">
        <f t="shared" si="29"/>
        <v>Not Scored - Ineligible</v>
      </c>
    </row>
    <row r="304" spans="1:20" x14ac:dyDescent="0.25">
      <c r="A304" s="3" t="str">
        <f>RAW_DATA!A304</f>
        <v>APP303</v>
      </c>
      <c r="B304" s="3" t="b">
        <f>AND(RAW_DATA!B304&gt;=21,RAW_DATA!B304&lt;=60)</f>
        <v>1</v>
      </c>
      <c r="C304" s="3" t="b">
        <f>RAW_DATA!C304&gt;=300000</f>
        <v>1</v>
      </c>
      <c r="D304" s="3" t="b">
        <f>RAW_DATA!F304&gt;=650</f>
        <v>0</v>
      </c>
      <c r="E304" s="3" t="b">
        <f>RAW_DATA!E304&gt;=1</f>
        <v>0</v>
      </c>
      <c r="F304" s="3" t="b">
        <f>RAW_DATA!L304="No"</f>
        <v>1</v>
      </c>
      <c r="G304" s="3" t="b">
        <f t="shared" si="24"/>
        <v>0</v>
      </c>
      <c r="H304" s="3" t="str">
        <f t="shared" si="25"/>
        <v>INELIGIBLE</v>
      </c>
      <c r="I304" s="3" t="str">
        <f t="shared" si="26"/>
        <v>Credit Score, Employment</v>
      </c>
      <c r="K304" s="3" cm="1">
        <f t="array" ref="K3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4" s="5">
        <f>IF(RAW_DATA!C304&lt;300000,0,IF(RAW_DATA!C304&lt;600000,5,IF(RAW_DATA!C304&lt;1200000,15,IF(RAW_DATA!C304&lt;2000000,20,25))))</f>
        <v>15</v>
      </c>
      <c r="M304" s="3">
        <f>IF(RAW_DATA!E304&lt;1,0,IF(RAW_DATA!E304&lt;3,3,IF(RAW_DATA!E304&lt;5,5,IF(RAW_DATA!E304&lt;10,8,10))))</f>
        <v>0</v>
      </c>
      <c r="N304" s="3">
        <f>IF(RAW_DATA!F304&lt;650,0,IF(RAW_DATA!F304&lt;700,8,IF(RAW_DATA!F304&lt;750,15,IF(RAW_DATA!F304&lt;800,20,25))))</f>
        <v>0</v>
      </c>
      <c r="O304" s="3">
        <f>IF(RAW_DATA!G304=0,5,IF(RAW_DATA!G304=1,4,IF(RAW_DATA!G304=2,3,IF(RAW_DATA!G304=3,2,IF(RAW_DATA!G304=4,1,0)))))</f>
        <v>2</v>
      </c>
      <c r="P304" s="3">
        <f>IF(RAW_DATA!K304&gt;=RAW_DATA!H304,20,ROUND((RAW_DATA!K304/RAW_DATA!H304)*20,0))</f>
        <v>20</v>
      </c>
      <c r="Q304" s="3">
        <f>IF(RAW_DATA!L304="No",5,0)</f>
        <v>5</v>
      </c>
      <c r="R304" s="3">
        <f t="shared" si="27"/>
        <v>50</v>
      </c>
      <c r="S304" s="3">
        <f t="shared" si="28"/>
        <v>50</v>
      </c>
      <c r="T304" s="3" t="str">
        <f t="shared" si="29"/>
        <v>Not Scored - Ineligible</v>
      </c>
    </row>
    <row r="305" spans="1:20" x14ac:dyDescent="0.25">
      <c r="A305" s="3" t="str">
        <f>RAW_DATA!A305</f>
        <v>APP304</v>
      </c>
      <c r="B305" s="3" t="b">
        <f>AND(RAW_DATA!B305&gt;=21,RAW_DATA!B305&lt;=60)</f>
        <v>1</v>
      </c>
      <c r="C305" s="3" t="b">
        <f>RAW_DATA!C305&gt;=300000</f>
        <v>1</v>
      </c>
      <c r="D305" s="3" t="b">
        <f>RAW_DATA!F305&gt;=650</f>
        <v>0</v>
      </c>
      <c r="E305" s="3" t="b">
        <f>RAW_DATA!E305&gt;=1</f>
        <v>1</v>
      </c>
      <c r="F305" s="3" t="b">
        <f>RAW_DATA!L305="No"</f>
        <v>1</v>
      </c>
      <c r="G305" s="3" t="b">
        <f t="shared" si="24"/>
        <v>0</v>
      </c>
      <c r="H305" s="3" t="str">
        <f t="shared" si="25"/>
        <v>INELIGIBLE</v>
      </c>
      <c r="I305" s="3" t="str">
        <f t="shared" si="26"/>
        <v>Credit Score</v>
      </c>
      <c r="K305" s="3" cm="1">
        <f t="array" ref="K3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5" s="5">
        <f>IF(RAW_DATA!C305&lt;300000,0,IF(RAW_DATA!C305&lt;600000,5,IF(RAW_DATA!C305&lt;1200000,15,IF(RAW_DATA!C305&lt;2000000,20,25))))</f>
        <v>25</v>
      </c>
      <c r="M305" s="3">
        <f>IF(RAW_DATA!E305&lt;1,0,IF(RAW_DATA!E305&lt;3,3,IF(RAW_DATA!E305&lt;5,5,IF(RAW_DATA!E305&lt;10,8,10))))</f>
        <v>5</v>
      </c>
      <c r="N305" s="3">
        <f>IF(RAW_DATA!F305&lt;650,0,IF(RAW_DATA!F305&lt;700,8,IF(RAW_DATA!F305&lt;750,15,IF(RAW_DATA!F305&lt;800,20,25))))</f>
        <v>0</v>
      </c>
      <c r="O305" s="3">
        <f>IF(RAW_DATA!G305=0,5,IF(RAW_DATA!G305=1,4,IF(RAW_DATA!G305=2,3,IF(RAW_DATA!G305=3,2,IF(RAW_DATA!G305=4,1,0)))))</f>
        <v>3</v>
      </c>
      <c r="P305" s="3">
        <f>IF(RAW_DATA!K305&gt;=RAW_DATA!H305,20,ROUND((RAW_DATA!K305/RAW_DATA!H305)*20,0))</f>
        <v>20</v>
      </c>
      <c r="Q305" s="3">
        <f>IF(RAW_DATA!L305="No",5,0)</f>
        <v>5</v>
      </c>
      <c r="R305" s="3">
        <f t="shared" si="27"/>
        <v>66</v>
      </c>
      <c r="S305" s="3">
        <f t="shared" si="28"/>
        <v>66</v>
      </c>
      <c r="T305" s="3" t="str">
        <f t="shared" si="29"/>
        <v>Not Scored - Ineligible</v>
      </c>
    </row>
    <row r="306" spans="1:20" x14ac:dyDescent="0.25">
      <c r="A306" s="3" t="str">
        <f>RAW_DATA!A306</f>
        <v>APP305</v>
      </c>
      <c r="B306" s="3" t="b">
        <f>AND(RAW_DATA!B306&gt;=21,RAW_DATA!B306&lt;=60)</f>
        <v>1</v>
      </c>
      <c r="C306" s="3" t="b">
        <f>RAW_DATA!C306&gt;=300000</f>
        <v>1</v>
      </c>
      <c r="D306" s="3" t="b">
        <f>RAW_DATA!F306&gt;=650</f>
        <v>0</v>
      </c>
      <c r="E306" s="3" t="b">
        <f>RAW_DATA!E306&gt;=1</f>
        <v>1</v>
      </c>
      <c r="F306" s="3" t="b">
        <f>RAW_DATA!L306="No"</f>
        <v>1</v>
      </c>
      <c r="G306" s="3" t="b">
        <f t="shared" si="24"/>
        <v>0</v>
      </c>
      <c r="H306" s="3" t="str">
        <f t="shared" si="25"/>
        <v>INELIGIBLE</v>
      </c>
      <c r="I306" s="3" t="str">
        <f t="shared" si="26"/>
        <v>Credit Score</v>
      </c>
      <c r="K306" s="3" cm="1">
        <f t="array" ref="K3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6" s="5">
        <f>IF(RAW_DATA!C306&lt;300000,0,IF(RAW_DATA!C306&lt;600000,5,IF(RAW_DATA!C306&lt;1200000,15,IF(RAW_DATA!C306&lt;2000000,20,25))))</f>
        <v>15</v>
      </c>
      <c r="M306" s="3">
        <f>IF(RAW_DATA!E306&lt;1,0,IF(RAW_DATA!E306&lt;3,3,IF(RAW_DATA!E306&lt;5,5,IF(RAW_DATA!E306&lt;10,8,10))))</f>
        <v>10</v>
      </c>
      <c r="N306" s="3">
        <f>IF(RAW_DATA!F306&lt;650,0,IF(RAW_DATA!F306&lt;700,8,IF(RAW_DATA!F306&lt;750,15,IF(RAW_DATA!F306&lt;800,20,25))))</f>
        <v>0</v>
      </c>
      <c r="O306" s="3">
        <f>IF(RAW_DATA!G306=0,5,IF(RAW_DATA!G306=1,4,IF(RAW_DATA!G306=2,3,IF(RAW_DATA!G306=3,2,IF(RAW_DATA!G306=4,1,0)))))</f>
        <v>5</v>
      </c>
      <c r="P306" s="3">
        <f>IF(RAW_DATA!K306&gt;=RAW_DATA!H306,20,ROUND((RAW_DATA!K306/RAW_DATA!H306)*20,0))</f>
        <v>20</v>
      </c>
      <c r="Q306" s="3">
        <f>IF(RAW_DATA!L306="No",5,0)</f>
        <v>5</v>
      </c>
      <c r="R306" s="3">
        <f t="shared" si="27"/>
        <v>62</v>
      </c>
      <c r="S306" s="3">
        <f t="shared" si="28"/>
        <v>62</v>
      </c>
      <c r="T306" s="3" t="str">
        <f t="shared" si="29"/>
        <v>Not Scored - Ineligible</v>
      </c>
    </row>
    <row r="307" spans="1:20" x14ac:dyDescent="0.25">
      <c r="A307" s="3" t="str">
        <f>RAW_DATA!A307</f>
        <v>APP306</v>
      </c>
      <c r="B307" s="3" t="b">
        <f>AND(RAW_DATA!B307&gt;=21,RAW_DATA!B307&lt;=60)</f>
        <v>1</v>
      </c>
      <c r="C307" s="3" t="b">
        <f>RAW_DATA!C307&gt;=300000</f>
        <v>1</v>
      </c>
      <c r="D307" s="3" t="b">
        <f>RAW_DATA!F307&gt;=650</f>
        <v>1</v>
      </c>
      <c r="E307" s="3" t="b">
        <f>RAW_DATA!E307&gt;=1</f>
        <v>1</v>
      </c>
      <c r="F307" s="3" t="b">
        <f>RAW_DATA!L307="No"</f>
        <v>1</v>
      </c>
      <c r="G307" s="3" t="b">
        <f t="shared" si="24"/>
        <v>1</v>
      </c>
      <c r="H307" s="3" t="str">
        <f t="shared" si="25"/>
        <v>ELIGIBLE</v>
      </c>
      <c r="I307" s="3" t="str">
        <f t="shared" si="26"/>
        <v/>
      </c>
      <c r="K307" s="3" cm="1">
        <f t="array" ref="K3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7" s="5">
        <f>IF(RAW_DATA!C307&lt;300000,0,IF(RAW_DATA!C307&lt;600000,5,IF(RAW_DATA!C307&lt;1200000,15,IF(RAW_DATA!C307&lt;2000000,20,25))))</f>
        <v>20</v>
      </c>
      <c r="M307" s="3">
        <f>IF(RAW_DATA!E307&lt;1,0,IF(RAW_DATA!E307&lt;3,3,IF(RAW_DATA!E307&lt;5,5,IF(RAW_DATA!E307&lt;10,8,10))))</f>
        <v>10</v>
      </c>
      <c r="N307" s="3">
        <f>IF(RAW_DATA!F307&lt;650,0,IF(RAW_DATA!F307&lt;700,8,IF(RAW_DATA!F307&lt;750,15,IF(RAW_DATA!F307&lt;800,20,25))))</f>
        <v>8</v>
      </c>
      <c r="O307" s="3">
        <f>IF(RAW_DATA!G307=0,5,IF(RAW_DATA!G307=1,4,IF(RAW_DATA!G307=2,3,IF(RAW_DATA!G307=3,2,IF(RAW_DATA!G307=4,1,0)))))</f>
        <v>1</v>
      </c>
      <c r="P307" s="3">
        <f>IF(RAW_DATA!K307&gt;=RAW_DATA!H307,20,ROUND((RAW_DATA!K307/RAW_DATA!H307)*20,0))</f>
        <v>20</v>
      </c>
      <c r="Q307" s="3">
        <f>IF(RAW_DATA!L307="No",5,0)</f>
        <v>5</v>
      </c>
      <c r="R307" s="3">
        <f t="shared" si="27"/>
        <v>74</v>
      </c>
      <c r="S307" s="3">
        <f t="shared" si="28"/>
        <v>74</v>
      </c>
      <c r="T307" s="3" t="str">
        <f t="shared" si="29"/>
        <v>Strong</v>
      </c>
    </row>
    <row r="308" spans="1:20" x14ac:dyDescent="0.25">
      <c r="A308" s="3" t="str">
        <f>RAW_DATA!A308</f>
        <v>APP307</v>
      </c>
      <c r="B308" s="3" t="b">
        <f>AND(RAW_DATA!B308&gt;=21,RAW_DATA!B308&lt;=60)</f>
        <v>1</v>
      </c>
      <c r="C308" s="3" t="b">
        <f>RAW_DATA!C308&gt;=300000</f>
        <v>1</v>
      </c>
      <c r="D308" s="3" t="b">
        <f>RAW_DATA!F308&gt;=650</f>
        <v>0</v>
      </c>
      <c r="E308" s="3" t="b">
        <f>RAW_DATA!E308&gt;=1</f>
        <v>1</v>
      </c>
      <c r="F308" s="3" t="b">
        <f>RAW_DATA!L308="No"</f>
        <v>1</v>
      </c>
      <c r="G308" s="3" t="b">
        <f t="shared" si="24"/>
        <v>0</v>
      </c>
      <c r="H308" s="3" t="str">
        <f t="shared" si="25"/>
        <v>INELIGIBLE</v>
      </c>
      <c r="I308" s="3" t="str">
        <f t="shared" si="26"/>
        <v>Credit Score</v>
      </c>
      <c r="K308" s="3" cm="1">
        <f t="array" ref="K3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8" s="5">
        <f>IF(RAW_DATA!C308&lt;300000,0,IF(RAW_DATA!C308&lt;600000,5,IF(RAW_DATA!C308&lt;1200000,15,IF(RAW_DATA!C308&lt;2000000,20,25))))</f>
        <v>20</v>
      </c>
      <c r="M308" s="3">
        <f>IF(RAW_DATA!E308&lt;1,0,IF(RAW_DATA!E308&lt;3,3,IF(RAW_DATA!E308&lt;5,5,IF(RAW_DATA!E308&lt;10,8,10))))</f>
        <v>10</v>
      </c>
      <c r="N308" s="3">
        <f>IF(RAW_DATA!F308&lt;650,0,IF(RAW_DATA!F308&lt;700,8,IF(RAW_DATA!F308&lt;750,15,IF(RAW_DATA!F308&lt;800,20,25))))</f>
        <v>0</v>
      </c>
      <c r="O308" s="3">
        <f>IF(RAW_DATA!G308=0,5,IF(RAW_DATA!G308=1,4,IF(RAW_DATA!G308=2,3,IF(RAW_DATA!G308=3,2,IF(RAW_DATA!G308=4,1,0)))))</f>
        <v>3</v>
      </c>
      <c r="P308" s="3">
        <f>IF(RAW_DATA!K308&gt;=RAW_DATA!H308,20,ROUND((RAW_DATA!K308/RAW_DATA!H308)*20,0))</f>
        <v>20</v>
      </c>
      <c r="Q308" s="3">
        <f>IF(RAW_DATA!L308="No",5,0)</f>
        <v>5</v>
      </c>
      <c r="R308" s="3">
        <f t="shared" si="27"/>
        <v>68</v>
      </c>
      <c r="S308" s="3">
        <f t="shared" si="28"/>
        <v>68</v>
      </c>
      <c r="T308" s="3" t="str">
        <f t="shared" si="29"/>
        <v>Not Scored - Ineligible</v>
      </c>
    </row>
    <row r="309" spans="1:20" x14ac:dyDescent="0.25">
      <c r="A309" s="3" t="str">
        <f>RAW_DATA!A309</f>
        <v>APP308</v>
      </c>
      <c r="B309" s="3" t="b">
        <f>AND(RAW_DATA!B309&gt;=21,RAW_DATA!B309&lt;=60)</f>
        <v>1</v>
      </c>
      <c r="C309" s="3" t="b">
        <f>RAW_DATA!C309&gt;=300000</f>
        <v>1</v>
      </c>
      <c r="D309" s="3" t="b">
        <f>RAW_DATA!F309&gt;=650</f>
        <v>1</v>
      </c>
      <c r="E309" s="3" t="b">
        <f>RAW_DATA!E309&gt;=1</f>
        <v>1</v>
      </c>
      <c r="F309" s="3" t="b">
        <f>RAW_DATA!L309="No"</f>
        <v>0</v>
      </c>
      <c r="G309" s="3" t="b">
        <f t="shared" si="24"/>
        <v>0</v>
      </c>
      <c r="H309" s="3" t="str">
        <f t="shared" si="25"/>
        <v>INELIGIBLE</v>
      </c>
      <c r="I309" s="3" t="str">
        <f t="shared" si="26"/>
        <v>Defaulter History</v>
      </c>
      <c r="K309" s="3" cm="1">
        <f t="array" ref="K3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9" s="5">
        <f>IF(RAW_DATA!C309&lt;300000,0,IF(RAW_DATA!C309&lt;600000,5,IF(RAW_DATA!C309&lt;1200000,15,IF(RAW_DATA!C309&lt;2000000,20,25))))</f>
        <v>15</v>
      </c>
      <c r="M309" s="3">
        <f>IF(RAW_DATA!E309&lt;1,0,IF(RAW_DATA!E309&lt;3,3,IF(RAW_DATA!E309&lt;5,5,IF(RAW_DATA!E309&lt;10,8,10))))</f>
        <v>10</v>
      </c>
      <c r="N309" s="3">
        <f>IF(RAW_DATA!F309&lt;650,0,IF(RAW_DATA!F309&lt;700,8,IF(RAW_DATA!F309&lt;750,15,IF(RAW_DATA!F309&lt;800,20,25))))</f>
        <v>8</v>
      </c>
      <c r="O309" s="3">
        <f>IF(RAW_DATA!G309=0,5,IF(RAW_DATA!G309=1,4,IF(RAW_DATA!G309=2,3,IF(RAW_DATA!G309=3,2,IF(RAW_DATA!G309=4,1,0)))))</f>
        <v>2</v>
      </c>
      <c r="P309" s="3">
        <f>IF(RAW_DATA!K309&gt;=RAW_DATA!H309,20,ROUND((RAW_DATA!K309/RAW_DATA!H309)*20,0))</f>
        <v>20</v>
      </c>
      <c r="Q309" s="3">
        <f>IF(RAW_DATA!L309="No",5,0)</f>
        <v>0</v>
      </c>
      <c r="R309" s="3">
        <f t="shared" si="27"/>
        <v>62</v>
      </c>
      <c r="S309" s="3">
        <f t="shared" si="28"/>
        <v>62</v>
      </c>
      <c r="T309" s="3" t="str">
        <f t="shared" si="29"/>
        <v>Not Scored - Ineligible</v>
      </c>
    </row>
    <row r="310" spans="1:20" x14ac:dyDescent="0.25">
      <c r="A310" s="3" t="str">
        <f>RAW_DATA!A310</f>
        <v>APP309</v>
      </c>
      <c r="B310" s="3" t="b">
        <f>AND(RAW_DATA!B310&gt;=21,RAW_DATA!B310&lt;=60)</f>
        <v>0</v>
      </c>
      <c r="C310" s="3" t="b">
        <f>RAW_DATA!C310&gt;=300000</f>
        <v>1</v>
      </c>
      <c r="D310" s="3" t="b">
        <f>RAW_DATA!F310&gt;=650</f>
        <v>1</v>
      </c>
      <c r="E310" s="3" t="b">
        <f>RAW_DATA!E310&gt;=1</f>
        <v>1</v>
      </c>
      <c r="F310" s="3" t="b">
        <f>RAW_DATA!L310="No"</f>
        <v>1</v>
      </c>
      <c r="G310" s="3" t="b">
        <f t="shared" si="24"/>
        <v>0</v>
      </c>
      <c r="H310" s="3" t="str">
        <f t="shared" si="25"/>
        <v>INELIGIBLE</v>
      </c>
      <c r="I310" s="3" t="str">
        <f t="shared" si="26"/>
        <v>Age</v>
      </c>
      <c r="K310" s="3" cm="1">
        <f t="array" ref="K3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0" s="5">
        <f>IF(RAW_DATA!C310&lt;300000,0,IF(RAW_DATA!C310&lt;600000,5,IF(RAW_DATA!C310&lt;1200000,15,IF(RAW_DATA!C310&lt;2000000,20,25))))</f>
        <v>20</v>
      </c>
      <c r="M310" s="3">
        <f>IF(RAW_DATA!E310&lt;1,0,IF(RAW_DATA!E310&lt;3,3,IF(RAW_DATA!E310&lt;5,5,IF(RAW_DATA!E310&lt;10,8,10))))</f>
        <v>8</v>
      </c>
      <c r="N310" s="3">
        <f>IF(RAW_DATA!F310&lt;650,0,IF(RAW_DATA!F310&lt;700,8,IF(RAW_DATA!F310&lt;750,15,IF(RAW_DATA!F310&lt;800,20,25))))</f>
        <v>25</v>
      </c>
      <c r="O310" s="3">
        <f>IF(RAW_DATA!G310=0,5,IF(RAW_DATA!G310=1,4,IF(RAW_DATA!G310=2,3,IF(RAW_DATA!G310=3,2,IF(RAW_DATA!G310=4,1,0)))))</f>
        <v>4</v>
      </c>
      <c r="P310" s="3">
        <f>IF(RAW_DATA!K310&gt;=RAW_DATA!H310,20,ROUND((RAW_DATA!K310/RAW_DATA!H310)*20,0))</f>
        <v>20</v>
      </c>
      <c r="Q310" s="3">
        <f>IF(RAW_DATA!L310="No",5,0)</f>
        <v>5</v>
      </c>
      <c r="R310" s="3">
        <f t="shared" si="27"/>
        <v>82</v>
      </c>
      <c r="S310" s="3">
        <f t="shared" si="28"/>
        <v>82</v>
      </c>
      <c r="T310" s="3" t="str">
        <f t="shared" si="29"/>
        <v>Not Scored - Ineligible</v>
      </c>
    </row>
    <row r="311" spans="1:20" x14ac:dyDescent="0.25">
      <c r="A311" s="3" t="str">
        <f>RAW_DATA!A311</f>
        <v>APP310</v>
      </c>
      <c r="B311" s="3" t="b">
        <f>AND(RAW_DATA!B311&gt;=21,RAW_DATA!B311&lt;=60)</f>
        <v>1</v>
      </c>
      <c r="C311" s="3" t="b">
        <f>RAW_DATA!C311&gt;=300000</f>
        <v>1</v>
      </c>
      <c r="D311" s="3" t="b">
        <f>RAW_DATA!F311&gt;=650</f>
        <v>0</v>
      </c>
      <c r="E311" s="3" t="b">
        <f>RAW_DATA!E311&gt;=1</f>
        <v>1</v>
      </c>
      <c r="F311" s="3" t="b">
        <f>RAW_DATA!L311="No"</f>
        <v>1</v>
      </c>
      <c r="G311" s="3" t="b">
        <f t="shared" si="24"/>
        <v>0</v>
      </c>
      <c r="H311" s="3" t="str">
        <f t="shared" si="25"/>
        <v>INELIGIBLE</v>
      </c>
      <c r="I311" s="3" t="str">
        <f t="shared" si="26"/>
        <v>Credit Score</v>
      </c>
      <c r="K311" s="3" cm="1">
        <f t="array" ref="K3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11" s="5">
        <f>IF(RAW_DATA!C311&lt;300000,0,IF(RAW_DATA!C311&lt;600000,5,IF(RAW_DATA!C311&lt;1200000,15,IF(RAW_DATA!C311&lt;2000000,20,25))))</f>
        <v>25</v>
      </c>
      <c r="M311" s="3">
        <f>IF(RAW_DATA!E311&lt;1,0,IF(RAW_DATA!E311&lt;3,3,IF(RAW_DATA!E311&lt;5,5,IF(RAW_DATA!E311&lt;10,8,10))))</f>
        <v>10</v>
      </c>
      <c r="N311" s="3">
        <f>IF(RAW_DATA!F311&lt;650,0,IF(RAW_DATA!F311&lt;700,8,IF(RAW_DATA!F311&lt;750,15,IF(RAW_DATA!F311&lt;800,20,25))))</f>
        <v>0</v>
      </c>
      <c r="O311" s="3">
        <f>IF(RAW_DATA!G311=0,5,IF(RAW_DATA!G311=1,4,IF(RAW_DATA!G311=2,3,IF(RAW_DATA!G311=3,2,IF(RAW_DATA!G311=4,1,0)))))</f>
        <v>2</v>
      </c>
      <c r="P311" s="3">
        <f>IF(RAW_DATA!K311&gt;=RAW_DATA!H311,20,ROUND((RAW_DATA!K311/RAW_DATA!H311)*20,0))</f>
        <v>20</v>
      </c>
      <c r="Q311" s="3">
        <f>IF(RAW_DATA!L311="No",5,0)</f>
        <v>5</v>
      </c>
      <c r="R311" s="3">
        <f t="shared" si="27"/>
        <v>72</v>
      </c>
      <c r="S311" s="3">
        <f t="shared" si="28"/>
        <v>72</v>
      </c>
      <c r="T311" s="3" t="str">
        <f t="shared" si="29"/>
        <v>Not Scored - Ineligible</v>
      </c>
    </row>
    <row r="312" spans="1:20" x14ac:dyDescent="0.25">
      <c r="A312" s="3" t="str">
        <f>RAW_DATA!A312</f>
        <v>APP311</v>
      </c>
      <c r="B312" s="3" t="b">
        <f>AND(RAW_DATA!B312&gt;=21,RAW_DATA!B312&lt;=60)</f>
        <v>0</v>
      </c>
      <c r="C312" s="3" t="b">
        <f>RAW_DATA!C312&gt;=300000</f>
        <v>1</v>
      </c>
      <c r="D312" s="3" t="b">
        <f>RAW_DATA!F312&gt;=650</f>
        <v>1</v>
      </c>
      <c r="E312" s="3" t="b">
        <f>RAW_DATA!E312&gt;=1</f>
        <v>1</v>
      </c>
      <c r="F312" s="3" t="b">
        <f>RAW_DATA!L312="No"</f>
        <v>1</v>
      </c>
      <c r="G312" s="3" t="b">
        <f t="shared" si="24"/>
        <v>0</v>
      </c>
      <c r="H312" s="3" t="str">
        <f t="shared" si="25"/>
        <v>INELIGIBLE</v>
      </c>
      <c r="I312" s="3" t="str">
        <f t="shared" si="26"/>
        <v>Age</v>
      </c>
      <c r="K312" s="3" cm="1">
        <f t="array" ref="K3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2" s="5">
        <f>IF(RAW_DATA!C312&lt;300000,0,IF(RAW_DATA!C312&lt;600000,5,IF(RAW_DATA!C312&lt;1200000,15,IF(RAW_DATA!C312&lt;2000000,20,25))))</f>
        <v>20</v>
      </c>
      <c r="M312" s="3">
        <f>IF(RAW_DATA!E312&lt;1,0,IF(RAW_DATA!E312&lt;3,3,IF(RAW_DATA!E312&lt;5,5,IF(RAW_DATA!E312&lt;10,8,10))))</f>
        <v>8</v>
      </c>
      <c r="N312" s="3">
        <f>IF(RAW_DATA!F312&lt;650,0,IF(RAW_DATA!F312&lt;700,8,IF(RAW_DATA!F312&lt;750,15,IF(RAW_DATA!F312&lt;800,20,25))))</f>
        <v>8</v>
      </c>
      <c r="O312" s="3">
        <f>IF(RAW_DATA!G312=0,5,IF(RAW_DATA!G312=1,4,IF(RAW_DATA!G312=2,3,IF(RAW_DATA!G312=3,2,IF(RAW_DATA!G312=4,1,0)))))</f>
        <v>4</v>
      </c>
      <c r="P312" s="3">
        <f>IF(RAW_DATA!K312&gt;=RAW_DATA!H312,20,ROUND((RAW_DATA!K312/RAW_DATA!H312)*20,0))</f>
        <v>20</v>
      </c>
      <c r="Q312" s="3">
        <f>IF(RAW_DATA!L312="No",5,0)</f>
        <v>5</v>
      </c>
      <c r="R312" s="3">
        <f t="shared" si="27"/>
        <v>65</v>
      </c>
      <c r="S312" s="3">
        <f t="shared" si="28"/>
        <v>65</v>
      </c>
      <c r="T312" s="3" t="str">
        <f t="shared" si="29"/>
        <v>Not Scored - Ineligible</v>
      </c>
    </row>
    <row r="313" spans="1:20" x14ac:dyDescent="0.25">
      <c r="A313" s="3" t="str">
        <f>RAW_DATA!A313</f>
        <v>APP312</v>
      </c>
      <c r="B313" s="3" t="b">
        <f>AND(RAW_DATA!B313&gt;=21,RAW_DATA!B313&lt;=60)</f>
        <v>1</v>
      </c>
      <c r="C313" s="3" t="b">
        <f>RAW_DATA!C313&gt;=300000</f>
        <v>1</v>
      </c>
      <c r="D313" s="3" t="b">
        <f>RAW_DATA!F313&gt;=650</f>
        <v>0</v>
      </c>
      <c r="E313" s="3" t="b">
        <f>RAW_DATA!E313&gt;=1</f>
        <v>1</v>
      </c>
      <c r="F313" s="3" t="b">
        <f>RAW_DATA!L313="No"</f>
        <v>0</v>
      </c>
      <c r="G313" s="3" t="b">
        <f t="shared" si="24"/>
        <v>0</v>
      </c>
      <c r="H313" s="3" t="str">
        <f t="shared" si="25"/>
        <v>INELIGIBLE</v>
      </c>
      <c r="I313" s="3" t="str">
        <f t="shared" si="26"/>
        <v>Credit Score, Defaulter History</v>
      </c>
      <c r="K313" s="3" cm="1">
        <f t="array" ref="K3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3" s="5">
        <f>IF(RAW_DATA!C313&lt;300000,0,IF(RAW_DATA!C313&lt;600000,5,IF(RAW_DATA!C313&lt;1200000,15,IF(RAW_DATA!C313&lt;2000000,20,25))))</f>
        <v>15</v>
      </c>
      <c r="M313" s="3">
        <f>IF(RAW_DATA!E313&lt;1,0,IF(RAW_DATA!E313&lt;3,3,IF(RAW_DATA!E313&lt;5,5,IF(RAW_DATA!E313&lt;10,8,10))))</f>
        <v>10</v>
      </c>
      <c r="N313" s="3">
        <f>IF(RAW_DATA!F313&lt;650,0,IF(RAW_DATA!F313&lt;700,8,IF(RAW_DATA!F313&lt;750,15,IF(RAW_DATA!F313&lt;800,20,25))))</f>
        <v>0</v>
      </c>
      <c r="O313" s="3">
        <f>IF(RAW_DATA!G313=0,5,IF(RAW_DATA!G313=1,4,IF(RAW_DATA!G313=2,3,IF(RAW_DATA!G313=3,2,IF(RAW_DATA!G313=4,1,0)))))</f>
        <v>4</v>
      </c>
      <c r="P313" s="3">
        <f>IF(RAW_DATA!K313&gt;=RAW_DATA!H313,20,ROUND((RAW_DATA!K313/RAW_DATA!H313)*20,0))</f>
        <v>20</v>
      </c>
      <c r="Q313" s="3">
        <f>IF(RAW_DATA!L313="No",5,0)</f>
        <v>0</v>
      </c>
      <c r="R313" s="3">
        <f t="shared" si="27"/>
        <v>55</v>
      </c>
      <c r="S313" s="3">
        <f t="shared" si="28"/>
        <v>55</v>
      </c>
      <c r="T313" s="3" t="str">
        <f t="shared" si="29"/>
        <v>Not Scored - Ineligible</v>
      </c>
    </row>
    <row r="314" spans="1:20" x14ac:dyDescent="0.25">
      <c r="A314" s="3" t="str">
        <f>RAW_DATA!A314</f>
        <v>APP313</v>
      </c>
      <c r="B314" s="3" t="b">
        <f>AND(RAW_DATA!B314&gt;=21,RAW_DATA!B314&lt;=60)</f>
        <v>1</v>
      </c>
      <c r="C314" s="3" t="b">
        <f>RAW_DATA!C314&gt;=300000</f>
        <v>1</v>
      </c>
      <c r="D314" s="3" t="b">
        <f>RAW_DATA!F314&gt;=650</f>
        <v>0</v>
      </c>
      <c r="E314" s="3" t="b">
        <f>RAW_DATA!E314&gt;=1</f>
        <v>1</v>
      </c>
      <c r="F314" s="3" t="b">
        <f>RAW_DATA!L314="No"</f>
        <v>1</v>
      </c>
      <c r="G314" s="3" t="b">
        <f t="shared" si="24"/>
        <v>0</v>
      </c>
      <c r="H314" s="3" t="str">
        <f t="shared" si="25"/>
        <v>INELIGIBLE</v>
      </c>
      <c r="I314" s="3" t="str">
        <f t="shared" si="26"/>
        <v>Credit Score</v>
      </c>
      <c r="K314" s="3" cm="1">
        <f t="array" ref="K3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4" s="5">
        <f>IF(RAW_DATA!C314&lt;300000,0,IF(RAW_DATA!C314&lt;600000,5,IF(RAW_DATA!C314&lt;1200000,15,IF(RAW_DATA!C314&lt;2000000,20,25))))</f>
        <v>5</v>
      </c>
      <c r="M314" s="3">
        <f>IF(RAW_DATA!E314&lt;1,0,IF(RAW_DATA!E314&lt;3,3,IF(RAW_DATA!E314&lt;5,5,IF(RAW_DATA!E314&lt;10,8,10))))</f>
        <v>10</v>
      </c>
      <c r="N314" s="3">
        <f>IF(RAW_DATA!F314&lt;650,0,IF(RAW_DATA!F314&lt;700,8,IF(RAW_DATA!F314&lt;750,15,IF(RAW_DATA!F314&lt;800,20,25))))</f>
        <v>0</v>
      </c>
      <c r="O314" s="3">
        <f>IF(RAW_DATA!G314=0,5,IF(RAW_DATA!G314=1,4,IF(RAW_DATA!G314=2,3,IF(RAW_DATA!G314=3,2,IF(RAW_DATA!G314=4,1,0)))))</f>
        <v>3</v>
      </c>
      <c r="P314" s="3">
        <f>IF(RAW_DATA!K314&gt;=RAW_DATA!H314,20,ROUND((RAW_DATA!K314/RAW_DATA!H314)*20,0))</f>
        <v>20</v>
      </c>
      <c r="Q314" s="3">
        <f>IF(RAW_DATA!L314="No",5,0)</f>
        <v>5</v>
      </c>
      <c r="R314" s="3">
        <f t="shared" si="27"/>
        <v>50</v>
      </c>
      <c r="S314" s="3">
        <f t="shared" si="28"/>
        <v>50</v>
      </c>
      <c r="T314" s="3" t="str">
        <f t="shared" si="29"/>
        <v>Not Scored - Ineligible</v>
      </c>
    </row>
    <row r="315" spans="1:20" x14ac:dyDescent="0.25">
      <c r="A315" s="3" t="str">
        <f>RAW_DATA!A315</f>
        <v>APP314</v>
      </c>
      <c r="B315" s="3" t="b">
        <f>AND(RAW_DATA!B315&gt;=21,RAW_DATA!B315&lt;=60)</f>
        <v>1</v>
      </c>
      <c r="C315" s="3" t="b">
        <f>RAW_DATA!C315&gt;=300000</f>
        <v>1</v>
      </c>
      <c r="D315" s="3" t="b">
        <f>RAW_DATA!F315&gt;=650</f>
        <v>0</v>
      </c>
      <c r="E315" s="3" t="b">
        <f>RAW_DATA!E315&gt;=1</f>
        <v>0</v>
      </c>
      <c r="F315" s="3" t="b">
        <f>RAW_DATA!L315="No"</f>
        <v>1</v>
      </c>
      <c r="G315" s="3" t="b">
        <f t="shared" si="24"/>
        <v>0</v>
      </c>
      <c r="H315" s="3" t="str">
        <f t="shared" si="25"/>
        <v>INELIGIBLE</v>
      </c>
      <c r="I315" s="3" t="str">
        <f t="shared" si="26"/>
        <v>Credit Score, Employment</v>
      </c>
      <c r="K315" s="3" cm="1">
        <f t="array" ref="K3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5" s="5">
        <f>IF(RAW_DATA!C315&lt;300000,0,IF(RAW_DATA!C315&lt;600000,5,IF(RAW_DATA!C315&lt;1200000,15,IF(RAW_DATA!C315&lt;2000000,20,25))))</f>
        <v>15</v>
      </c>
      <c r="M315" s="3">
        <f>IF(RAW_DATA!E315&lt;1,0,IF(RAW_DATA!E315&lt;3,3,IF(RAW_DATA!E315&lt;5,5,IF(RAW_DATA!E315&lt;10,8,10))))</f>
        <v>0</v>
      </c>
      <c r="N315" s="3">
        <f>IF(RAW_DATA!F315&lt;650,0,IF(RAW_DATA!F315&lt;700,8,IF(RAW_DATA!F315&lt;750,15,IF(RAW_DATA!F315&lt;800,20,25))))</f>
        <v>0</v>
      </c>
      <c r="O315" s="3">
        <f>IF(RAW_DATA!G315=0,5,IF(RAW_DATA!G315=1,4,IF(RAW_DATA!G315=2,3,IF(RAW_DATA!G315=3,2,IF(RAW_DATA!G315=4,1,0)))))</f>
        <v>0</v>
      </c>
      <c r="P315" s="3">
        <f>IF(RAW_DATA!K315&gt;=RAW_DATA!H315,20,ROUND((RAW_DATA!K315/RAW_DATA!H315)*20,0))</f>
        <v>20</v>
      </c>
      <c r="Q315" s="3">
        <f>IF(RAW_DATA!L315="No",5,0)</f>
        <v>5</v>
      </c>
      <c r="R315" s="3">
        <f t="shared" si="27"/>
        <v>48</v>
      </c>
      <c r="S315" s="3">
        <f t="shared" si="28"/>
        <v>48</v>
      </c>
      <c r="T315" s="3" t="str">
        <f t="shared" si="29"/>
        <v>Not Scored - Ineligible</v>
      </c>
    </row>
    <row r="316" spans="1:20" x14ac:dyDescent="0.25">
      <c r="A316" s="3" t="str">
        <f>RAW_DATA!A316</f>
        <v>APP315</v>
      </c>
      <c r="B316" s="3" t="b">
        <f>AND(RAW_DATA!B316&gt;=21,RAW_DATA!B316&lt;=60)</f>
        <v>1</v>
      </c>
      <c r="C316" s="3" t="b">
        <f>RAW_DATA!C316&gt;=300000</f>
        <v>1</v>
      </c>
      <c r="D316" s="3" t="b">
        <f>RAW_DATA!F316&gt;=650</f>
        <v>0</v>
      </c>
      <c r="E316" s="3" t="b">
        <f>RAW_DATA!E316&gt;=1</f>
        <v>1</v>
      </c>
      <c r="F316" s="3" t="b">
        <f>RAW_DATA!L316="No"</f>
        <v>1</v>
      </c>
      <c r="G316" s="3" t="b">
        <f t="shared" si="24"/>
        <v>0</v>
      </c>
      <c r="H316" s="3" t="str">
        <f t="shared" si="25"/>
        <v>INELIGIBLE</v>
      </c>
      <c r="I316" s="3" t="str">
        <f t="shared" si="26"/>
        <v>Credit Score</v>
      </c>
      <c r="K316" s="3" cm="1">
        <f t="array" ref="K3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6" s="5">
        <f>IF(RAW_DATA!C316&lt;300000,0,IF(RAW_DATA!C316&lt;600000,5,IF(RAW_DATA!C316&lt;1200000,15,IF(RAW_DATA!C316&lt;2000000,20,25))))</f>
        <v>5</v>
      </c>
      <c r="M316" s="3">
        <f>IF(RAW_DATA!E316&lt;1,0,IF(RAW_DATA!E316&lt;3,3,IF(RAW_DATA!E316&lt;5,5,IF(RAW_DATA!E316&lt;10,8,10))))</f>
        <v>10</v>
      </c>
      <c r="N316" s="3">
        <f>IF(RAW_DATA!F316&lt;650,0,IF(RAW_DATA!F316&lt;700,8,IF(RAW_DATA!F316&lt;750,15,IF(RAW_DATA!F316&lt;800,20,25))))</f>
        <v>0</v>
      </c>
      <c r="O316" s="3">
        <f>IF(RAW_DATA!G316=0,5,IF(RAW_DATA!G316=1,4,IF(RAW_DATA!G316=2,3,IF(RAW_DATA!G316=3,2,IF(RAW_DATA!G316=4,1,0)))))</f>
        <v>0</v>
      </c>
      <c r="P316" s="3">
        <f>IF(RAW_DATA!K316&gt;=RAW_DATA!H316,20,ROUND((RAW_DATA!K316/RAW_DATA!H316)*20,0))</f>
        <v>20</v>
      </c>
      <c r="Q316" s="3">
        <f>IF(RAW_DATA!L316="No",5,0)</f>
        <v>5</v>
      </c>
      <c r="R316" s="3">
        <f t="shared" si="27"/>
        <v>47</v>
      </c>
      <c r="S316" s="3">
        <f t="shared" si="28"/>
        <v>47</v>
      </c>
      <c r="T316" s="3" t="str">
        <f t="shared" si="29"/>
        <v>Not Scored - Ineligible</v>
      </c>
    </row>
    <row r="317" spans="1:20" x14ac:dyDescent="0.25">
      <c r="A317" s="3" t="str">
        <f>RAW_DATA!A317</f>
        <v>APP316</v>
      </c>
      <c r="B317" s="3" t="b">
        <f>AND(RAW_DATA!B317&gt;=21,RAW_DATA!B317&lt;=60)</f>
        <v>1</v>
      </c>
      <c r="C317" s="3" t="b">
        <f>RAW_DATA!C317&gt;=300000</f>
        <v>1</v>
      </c>
      <c r="D317" s="3" t="b">
        <f>RAW_DATA!F317&gt;=650</f>
        <v>0</v>
      </c>
      <c r="E317" s="3" t="b">
        <f>RAW_DATA!E317&gt;=1</f>
        <v>1</v>
      </c>
      <c r="F317" s="3" t="b">
        <f>RAW_DATA!L317="No"</f>
        <v>1</v>
      </c>
      <c r="G317" s="3" t="b">
        <f t="shared" si="24"/>
        <v>0</v>
      </c>
      <c r="H317" s="3" t="str">
        <f t="shared" si="25"/>
        <v>INELIGIBLE</v>
      </c>
      <c r="I317" s="3" t="str">
        <f t="shared" si="26"/>
        <v>Credit Score</v>
      </c>
      <c r="K317" s="3" cm="1">
        <f t="array" ref="K3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7" s="5">
        <f>IF(RAW_DATA!C317&lt;300000,0,IF(RAW_DATA!C317&lt;600000,5,IF(RAW_DATA!C317&lt;1200000,15,IF(RAW_DATA!C317&lt;2000000,20,25))))</f>
        <v>20</v>
      </c>
      <c r="M317" s="3">
        <f>IF(RAW_DATA!E317&lt;1,0,IF(RAW_DATA!E317&lt;3,3,IF(RAW_DATA!E317&lt;5,5,IF(RAW_DATA!E317&lt;10,8,10))))</f>
        <v>5</v>
      </c>
      <c r="N317" s="3">
        <f>IF(RAW_DATA!F317&lt;650,0,IF(RAW_DATA!F317&lt;700,8,IF(RAW_DATA!F317&lt;750,15,IF(RAW_DATA!F317&lt;800,20,25))))</f>
        <v>0</v>
      </c>
      <c r="O317" s="3">
        <f>IF(RAW_DATA!G317=0,5,IF(RAW_DATA!G317=1,4,IF(RAW_DATA!G317=2,3,IF(RAW_DATA!G317=3,2,IF(RAW_DATA!G317=4,1,0)))))</f>
        <v>2</v>
      </c>
      <c r="P317" s="3">
        <f>IF(RAW_DATA!K317&gt;=RAW_DATA!H317,20,ROUND((RAW_DATA!K317/RAW_DATA!H317)*20,0))</f>
        <v>20</v>
      </c>
      <c r="Q317" s="3">
        <f>IF(RAW_DATA!L317="No",5,0)</f>
        <v>5</v>
      </c>
      <c r="R317" s="3">
        <f t="shared" si="27"/>
        <v>58</v>
      </c>
      <c r="S317" s="3">
        <f t="shared" si="28"/>
        <v>58</v>
      </c>
      <c r="T317" s="3" t="str">
        <f t="shared" si="29"/>
        <v>Not Scored - Ineligible</v>
      </c>
    </row>
    <row r="318" spans="1:20" x14ac:dyDescent="0.25">
      <c r="A318" s="3" t="str">
        <f>RAW_DATA!A318</f>
        <v>APP317</v>
      </c>
      <c r="B318" s="3" t="b">
        <f>AND(RAW_DATA!B318&gt;=21,RAW_DATA!B318&lt;=60)</f>
        <v>1</v>
      </c>
      <c r="C318" s="3" t="b">
        <f>RAW_DATA!C318&gt;=300000</f>
        <v>1</v>
      </c>
      <c r="D318" s="3" t="b">
        <f>RAW_DATA!F318&gt;=650</f>
        <v>0</v>
      </c>
      <c r="E318" s="3" t="b">
        <f>RAW_DATA!E318&gt;=1</f>
        <v>1</v>
      </c>
      <c r="F318" s="3" t="b">
        <f>RAW_DATA!L318="No"</f>
        <v>1</v>
      </c>
      <c r="G318" s="3" t="b">
        <f t="shared" si="24"/>
        <v>0</v>
      </c>
      <c r="H318" s="3" t="str">
        <f t="shared" si="25"/>
        <v>INELIGIBLE</v>
      </c>
      <c r="I318" s="3" t="str">
        <f t="shared" si="26"/>
        <v>Credit Score</v>
      </c>
      <c r="K318" s="3" cm="1">
        <f t="array" ref="K3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8" s="5">
        <f>IF(RAW_DATA!C318&lt;300000,0,IF(RAW_DATA!C318&lt;600000,5,IF(RAW_DATA!C318&lt;1200000,15,IF(RAW_DATA!C318&lt;2000000,20,25))))</f>
        <v>25</v>
      </c>
      <c r="M318" s="3">
        <f>IF(RAW_DATA!E318&lt;1,0,IF(RAW_DATA!E318&lt;3,3,IF(RAW_DATA!E318&lt;5,5,IF(RAW_DATA!E318&lt;10,8,10))))</f>
        <v>10</v>
      </c>
      <c r="N318" s="3">
        <f>IF(RAW_DATA!F318&lt;650,0,IF(RAW_DATA!F318&lt;700,8,IF(RAW_DATA!F318&lt;750,15,IF(RAW_DATA!F318&lt;800,20,25))))</f>
        <v>0</v>
      </c>
      <c r="O318" s="3">
        <f>IF(RAW_DATA!G318=0,5,IF(RAW_DATA!G318=1,4,IF(RAW_DATA!G318=2,3,IF(RAW_DATA!G318=3,2,IF(RAW_DATA!G318=4,1,0)))))</f>
        <v>5</v>
      </c>
      <c r="P318" s="3">
        <f>IF(RAW_DATA!K318&gt;=RAW_DATA!H318,20,ROUND((RAW_DATA!K318/RAW_DATA!H318)*20,0))</f>
        <v>20</v>
      </c>
      <c r="Q318" s="3">
        <f>IF(RAW_DATA!L318="No",5,0)</f>
        <v>5</v>
      </c>
      <c r="R318" s="3">
        <f t="shared" si="27"/>
        <v>73</v>
      </c>
      <c r="S318" s="3">
        <f t="shared" si="28"/>
        <v>73</v>
      </c>
      <c r="T318" s="3" t="str">
        <f t="shared" si="29"/>
        <v>Not Scored - Ineligible</v>
      </c>
    </row>
    <row r="319" spans="1:20" x14ac:dyDescent="0.25">
      <c r="A319" s="3" t="str">
        <f>RAW_DATA!A319</f>
        <v>APP318</v>
      </c>
      <c r="B319" s="3" t="b">
        <f>AND(RAW_DATA!B319&gt;=21,RAW_DATA!B319&lt;=60)</f>
        <v>1</v>
      </c>
      <c r="C319" s="3" t="b">
        <f>RAW_DATA!C319&gt;=300000</f>
        <v>1</v>
      </c>
      <c r="D319" s="3" t="b">
        <f>RAW_DATA!F319&gt;=650</f>
        <v>1</v>
      </c>
      <c r="E319" s="3" t="b">
        <f>RAW_DATA!E319&gt;=1</f>
        <v>1</v>
      </c>
      <c r="F319" s="3" t="b">
        <f>RAW_DATA!L319="No"</f>
        <v>1</v>
      </c>
      <c r="G319" s="3" t="b">
        <f t="shared" si="24"/>
        <v>1</v>
      </c>
      <c r="H319" s="3" t="str">
        <f t="shared" si="25"/>
        <v>ELIGIBLE</v>
      </c>
      <c r="I319" s="3" t="str">
        <f t="shared" si="26"/>
        <v/>
      </c>
      <c r="K319" s="3" cm="1">
        <f t="array" ref="K3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9" s="5">
        <f>IF(RAW_DATA!C319&lt;300000,0,IF(RAW_DATA!C319&lt;600000,5,IF(RAW_DATA!C319&lt;1200000,15,IF(RAW_DATA!C319&lt;2000000,20,25))))</f>
        <v>20</v>
      </c>
      <c r="M319" s="3">
        <f>IF(RAW_DATA!E319&lt;1,0,IF(RAW_DATA!E319&lt;3,3,IF(RAW_DATA!E319&lt;5,5,IF(RAW_DATA!E319&lt;10,8,10))))</f>
        <v>10</v>
      </c>
      <c r="N319" s="3">
        <f>IF(RAW_DATA!F319&lt;650,0,IF(RAW_DATA!F319&lt;700,8,IF(RAW_DATA!F319&lt;750,15,IF(RAW_DATA!F319&lt;800,20,25))))</f>
        <v>20</v>
      </c>
      <c r="O319" s="3">
        <f>IF(RAW_DATA!G319=0,5,IF(RAW_DATA!G319=1,4,IF(RAW_DATA!G319=2,3,IF(RAW_DATA!G319=3,2,IF(RAW_DATA!G319=4,1,0)))))</f>
        <v>4</v>
      </c>
      <c r="P319" s="3">
        <f>IF(RAW_DATA!K319&gt;=RAW_DATA!H319,20,ROUND((RAW_DATA!K319/RAW_DATA!H319)*20,0))</f>
        <v>20</v>
      </c>
      <c r="Q319" s="3">
        <f>IF(RAW_DATA!L319="No",5,0)</f>
        <v>5</v>
      </c>
      <c r="R319" s="3">
        <f t="shared" si="27"/>
        <v>86</v>
      </c>
      <c r="S319" s="3">
        <f t="shared" si="28"/>
        <v>86</v>
      </c>
      <c r="T319" s="3" t="str">
        <f t="shared" si="29"/>
        <v>Strong</v>
      </c>
    </row>
    <row r="320" spans="1:20" x14ac:dyDescent="0.25">
      <c r="A320" s="3" t="str">
        <f>RAW_DATA!A320</f>
        <v>APP319</v>
      </c>
      <c r="B320" s="3" t="b">
        <f>AND(RAW_DATA!B320&gt;=21,RAW_DATA!B320&lt;=60)</f>
        <v>0</v>
      </c>
      <c r="C320" s="3" t="b">
        <f>RAW_DATA!C320&gt;=300000</f>
        <v>0</v>
      </c>
      <c r="D320" s="3" t="b">
        <f>RAW_DATA!F320&gt;=650</f>
        <v>0</v>
      </c>
      <c r="E320" s="3" t="b">
        <f>RAW_DATA!E320&gt;=1</f>
        <v>1</v>
      </c>
      <c r="F320" s="3" t="b">
        <f>RAW_DATA!L320="No"</f>
        <v>1</v>
      </c>
      <c r="G320" s="3" t="b">
        <f t="shared" si="24"/>
        <v>0</v>
      </c>
      <c r="H320" s="3" t="str">
        <f t="shared" si="25"/>
        <v>INELIGIBLE</v>
      </c>
      <c r="I320" s="3" t="str">
        <f t="shared" si="26"/>
        <v>Age, Income, Credit Score</v>
      </c>
      <c r="K320" s="3" cm="1">
        <f t="array" ref="K3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20" s="5">
        <f>IF(RAW_DATA!C320&lt;300000,0,IF(RAW_DATA!C320&lt;600000,5,IF(RAW_DATA!C320&lt;1200000,15,IF(RAW_DATA!C320&lt;2000000,20,25))))</f>
        <v>0</v>
      </c>
      <c r="M320" s="3">
        <f>IF(RAW_DATA!E320&lt;1,0,IF(RAW_DATA!E320&lt;3,3,IF(RAW_DATA!E320&lt;5,5,IF(RAW_DATA!E320&lt;10,8,10))))</f>
        <v>10</v>
      </c>
      <c r="N320" s="3">
        <f>IF(RAW_DATA!F320&lt;650,0,IF(RAW_DATA!F320&lt;700,8,IF(RAW_DATA!F320&lt;750,15,IF(RAW_DATA!F320&lt;800,20,25))))</f>
        <v>0</v>
      </c>
      <c r="O320" s="3">
        <f>IF(RAW_DATA!G320=0,5,IF(RAW_DATA!G320=1,4,IF(RAW_DATA!G320=2,3,IF(RAW_DATA!G320=3,2,IF(RAW_DATA!G320=4,1,0)))))</f>
        <v>0</v>
      </c>
      <c r="P320" s="3">
        <f>IF(RAW_DATA!K320&gt;=RAW_DATA!H320,20,ROUND((RAW_DATA!K320/RAW_DATA!H320)*20,0))</f>
        <v>6</v>
      </c>
      <c r="Q320" s="3">
        <f>IF(RAW_DATA!L320="No",5,0)</f>
        <v>5</v>
      </c>
      <c r="R320" s="3">
        <f t="shared" si="27"/>
        <v>21</v>
      </c>
      <c r="S320" s="3">
        <f t="shared" si="28"/>
        <v>21</v>
      </c>
      <c r="T320" s="3" t="str">
        <f t="shared" si="29"/>
        <v>Not Scored - Ineligible</v>
      </c>
    </row>
    <row r="321" spans="1:20" x14ac:dyDescent="0.25">
      <c r="A321" s="3" t="str">
        <f>RAW_DATA!A321</f>
        <v>APP320</v>
      </c>
      <c r="B321" s="3" t="b">
        <f>AND(RAW_DATA!B321&gt;=21,RAW_DATA!B321&lt;=60)</f>
        <v>1</v>
      </c>
      <c r="C321" s="3" t="b">
        <f>RAW_DATA!C321&gt;=300000</f>
        <v>1</v>
      </c>
      <c r="D321" s="3" t="b">
        <f>RAW_DATA!F321&gt;=650</f>
        <v>1</v>
      </c>
      <c r="E321" s="3" t="b">
        <f>RAW_DATA!E321&gt;=1</f>
        <v>1</v>
      </c>
      <c r="F321" s="3" t="b">
        <f>RAW_DATA!L321="No"</f>
        <v>1</v>
      </c>
      <c r="G321" s="3" t="b">
        <f t="shared" si="24"/>
        <v>1</v>
      </c>
      <c r="H321" s="3" t="str">
        <f t="shared" si="25"/>
        <v>ELIGIBLE</v>
      </c>
      <c r="I321" s="3" t="str">
        <f t="shared" si="26"/>
        <v/>
      </c>
      <c r="K321" s="3" cm="1">
        <f t="array" ref="K3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1" s="5">
        <f>IF(RAW_DATA!C321&lt;300000,0,IF(RAW_DATA!C321&lt;600000,5,IF(RAW_DATA!C321&lt;1200000,15,IF(RAW_DATA!C321&lt;2000000,20,25))))</f>
        <v>20</v>
      </c>
      <c r="M321" s="3">
        <f>IF(RAW_DATA!E321&lt;1,0,IF(RAW_DATA!E321&lt;3,3,IF(RAW_DATA!E321&lt;5,5,IF(RAW_DATA!E321&lt;10,8,10))))</f>
        <v>10</v>
      </c>
      <c r="N321" s="3">
        <f>IF(RAW_DATA!F321&lt;650,0,IF(RAW_DATA!F321&lt;700,8,IF(RAW_DATA!F321&lt;750,15,IF(RAW_DATA!F321&lt;800,20,25))))</f>
        <v>8</v>
      </c>
      <c r="O321" s="3">
        <f>IF(RAW_DATA!G321=0,5,IF(RAW_DATA!G321=1,4,IF(RAW_DATA!G321=2,3,IF(RAW_DATA!G321=3,2,IF(RAW_DATA!G321=4,1,0)))))</f>
        <v>0</v>
      </c>
      <c r="P321" s="3">
        <f>IF(RAW_DATA!K321&gt;=RAW_DATA!H321,20,ROUND((RAW_DATA!K321/RAW_DATA!H321)*20,0))</f>
        <v>20</v>
      </c>
      <c r="Q321" s="3">
        <f>IF(RAW_DATA!L321="No",5,0)</f>
        <v>5</v>
      </c>
      <c r="R321" s="3">
        <f t="shared" si="27"/>
        <v>70</v>
      </c>
      <c r="S321" s="3">
        <f t="shared" si="28"/>
        <v>70</v>
      </c>
      <c r="T321" s="3" t="str">
        <f t="shared" si="29"/>
        <v>Strong</v>
      </c>
    </row>
    <row r="322" spans="1:20" x14ac:dyDescent="0.25">
      <c r="A322" s="3" t="str">
        <f>RAW_DATA!A322</f>
        <v>APP321</v>
      </c>
      <c r="B322" s="3" t="b">
        <f>AND(RAW_DATA!B322&gt;=21,RAW_DATA!B322&lt;=60)</f>
        <v>1</v>
      </c>
      <c r="C322" s="3" t="b">
        <f>RAW_DATA!C322&gt;=300000</f>
        <v>1</v>
      </c>
      <c r="D322" s="3" t="b">
        <f>RAW_DATA!F322&gt;=650</f>
        <v>0</v>
      </c>
      <c r="E322" s="3" t="b">
        <f>RAW_DATA!E322&gt;=1</f>
        <v>1</v>
      </c>
      <c r="F322" s="3" t="b">
        <f>RAW_DATA!L322="No"</f>
        <v>1</v>
      </c>
      <c r="G322" s="3" t="b">
        <f t="shared" si="24"/>
        <v>0</v>
      </c>
      <c r="H322" s="3" t="str">
        <f t="shared" si="25"/>
        <v>INELIGIBLE</v>
      </c>
      <c r="I322" s="3" t="str">
        <f t="shared" si="26"/>
        <v>Credit Score</v>
      </c>
      <c r="K322" s="3" cm="1">
        <f t="array" ref="K3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2" s="5">
        <f>IF(RAW_DATA!C322&lt;300000,0,IF(RAW_DATA!C322&lt;600000,5,IF(RAW_DATA!C322&lt;1200000,15,IF(RAW_DATA!C322&lt;2000000,20,25))))</f>
        <v>25</v>
      </c>
      <c r="M322" s="3">
        <f>IF(RAW_DATA!E322&lt;1,0,IF(RAW_DATA!E322&lt;3,3,IF(RAW_DATA!E322&lt;5,5,IF(RAW_DATA!E322&lt;10,8,10))))</f>
        <v>10</v>
      </c>
      <c r="N322" s="3">
        <f>IF(RAW_DATA!F322&lt;650,0,IF(RAW_DATA!F322&lt;700,8,IF(RAW_DATA!F322&lt;750,15,IF(RAW_DATA!F322&lt;800,20,25))))</f>
        <v>0</v>
      </c>
      <c r="O322" s="3">
        <f>IF(RAW_DATA!G322=0,5,IF(RAW_DATA!G322=1,4,IF(RAW_DATA!G322=2,3,IF(RAW_DATA!G322=3,2,IF(RAW_DATA!G322=4,1,0)))))</f>
        <v>2</v>
      </c>
      <c r="P322" s="3">
        <f>IF(RAW_DATA!K322&gt;=RAW_DATA!H322,20,ROUND((RAW_DATA!K322/RAW_DATA!H322)*20,0))</f>
        <v>20</v>
      </c>
      <c r="Q322" s="3">
        <f>IF(RAW_DATA!L322="No",5,0)</f>
        <v>5</v>
      </c>
      <c r="R322" s="3">
        <f t="shared" si="27"/>
        <v>68</v>
      </c>
      <c r="S322" s="3">
        <f t="shared" si="28"/>
        <v>68</v>
      </c>
      <c r="T322" s="3" t="str">
        <f t="shared" si="29"/>
        <v>Not Scored - Ineligible</v>
      </c>
    </row>
    <row r="323" spans="1:20" x14ac:dyDescent="0.25">
      <c r="A323" s="3" t="str">
        <f>RAW_DATA!A323</f>
        <v>APP322</v>
      </c>
      <c r="B323" s="3" t="b">
        <f>AND(RAW_DATA!B323&gt;=21,RAW_DATA!B323&lt;=60)</f>
        <v>1</v>
      </c>
      <c r="C323" s="3" t="b">
        <f>RAW_DATA!C323&gt;=300000</f>
        <v>1</v>
      </c>
      <c r="D323" s="3" t="b">
        <f>RAW_DATA!F323&gt;=650</f>
        <v>0</v>
      </c>
      <c r="E323" s="3" t="b">
        <f>RAW_DATA!E323&gt;=1</f>
        <v>1</v>
      </c>
      <c r="F323" s="3" t="b">
        <f>RAW_DATA!L323="No"</f>
        <v>1</v>
      </c>
      <c r="G323" s="3" t="b">
        <f t="shared" ref="G323:G386" si="30">AND(B323:F323)</f>
        <v>0</v>
      </c>
      <c r="H323" s="3" t="str">
        <f t="shared" ref="H323:H386" si="31">IF(G323,"ELIGIBLE","INELIGIBLE")</f>
        <v>INELIGIBLE</v>
      </c>
      <c r="I323" s="3" t="str">
        <f t="shared" ref="I323:I386" si="32">IF(G323,"",_xlfn.TEXTJOIN(", ",TRUE,IF(B323,"","Age"),IF(C323,"","Income"),IF(D323,"","Credit Score"),IF(E323,"","Employment"),IF(F323,"","Defaulter History")))</f>
        <v>Credit Score</v>
      </c>
      <c r="K323" s="3" cm="1">
        <f t="array" ref="K3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3" s="5">
        <f>IF(RAW_DATA!C323&lt;300000,0,IF(RAW_DATA!C323&lt;600000,5,IF(RAW_DATA!C323&lt;1200000,15,IF(RAW_DATA!C323&lt;2000000,20,25))))</f>
        <v>20</v>
      </c>
      <c r="M323" s="3">
        <f>IF(RAW_DATA!E323&lt;1,0,IF(RAW_DATA!E323&lt;3,3,IF(RAW_DATA!E323&lt;5,5,IF(RAW_DATA!E323&lt;10,8,10))))</f>
        <v>10</v>
      </c>
      <c r="N323" s="3">
        <f>IF(RAW_DATA!F323&lt;650,0,IF(RAW_DATA!F323&lt;700,8,IF(RAW_DATA!F323&lt;750,15,IF(RAW_DATA!F323&lt;800,20,25))))</f>
        <v>0</v>
      </c>
      <c r="O323" s="3">
        <f>IF(RAW_DATA!G323=0,5,IF(RAW_DATA!G323=1,4,IF(RAW_DATA!G323=2,3,IF(RAW_DATA!G323=3,2,IF(RAW_DATA!G323=4,1,0)))))</f>
        <v>4</v>
      </c>
      <c r="P323" s="3">
        <f>IF(RAW_DATA!K323&gt;=RAW_DATA!H323,20,ROUND((RAW_DATA!K323/RAW_DATA!H323)*20,0))</f>
        <v>20</v>
      </c>
      <c r="Q323" s="3">
        <f>IF(RAW_DATA!L323="No",5,0)</f>
        <v>5</v>
      </c>
      <c r="R323" s="3">
        <f t="shared" ref="R323:R386" si="33">K323+L323+M323+N323+O323+P323+Q323</f>
        <v>66</v>
      </c>
      <c r="S323" s="3">
        <f t="shared" ref="S323:S386" si="34">R323</f>
        <v>66</v>
      </c>
      <c r="T323" s="3" t="str">
        <f t="shared" ref="T323:T386" si="35">IF(H323="INELIGIBLE","Not Scored - Ineligible",IF(S323&gt;=70,"Strong",IF(S323&gt;=50,"Moderate","Weak")))</f>
        <v>Not Scored - Ineligible</v>
      </c>
    </row>
    <row r="324" spans="1:20" x14ac:dyDescent="0.25">
      <c r="A324" s="3" t="str">
        <f>RAW_DATA!A324</f>
        <v>APP323</v>
      </c>
      <c r="B324" s="3" t="b">
        <f>AND(RAW_DATA!B324&gt;=21,RAW_DATA!B324&lt;=60)</f>
        <v>1</v>
      </c>
      <c r="C324" s="3" t="b">
        <f>RAW_DATA!C324&gt;=300000</f>
        <v>1</v>
      </c>
      <c r="D324" s="3" t="b">
        <f>RAW_DATA!F324&gt;=650</f>
        <v>1</v>
      </c>
      <c r="E324" s="3" t="b">
        <f>RAW_DATA!E324&gt;=1</f>
        <v>1</v>
      </c>
      <c r="F324" s="3" t="b">
        <f>RAW_DATA!L324="No"</f>
        <v>1</v>
      </c>
      <c r="G324" s="3" t="b">
        <f t="shared" si="30"/>
        <v>1</v>
      </c>
      <c r="H324" s="3" t="str">
        <f t="shared" si="31"/>
        <v>ELIGIBLE</v>
      </c>
      <c r="I324" s="3" t="str">
        <f t="shared" si="32"/>
        <v/>
      </c>
      <c r="K324" s="3" cm="1">
        <f t="array" ref="K3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4" s="5">
        <f>IF(RAW_DATA!C324&lt;300000,0,IF(RAW_DATA!C324&lt;600000,5,IF(RAW_DATA!C324&lt;1200000,15,IF(RAW_DATA!C324&lt;2000000,20,25))))</f>
        <v>20</v>
      </c>
      <c r="M324" s="3">
        <f>IF(RAW_DATA!E324&lt;1,0,IF(RAW_DATA!E324&lt;3,3,IF(RAW_DATA!E324&lt;5,5,IF(RAW_DATA!E324&lt;10,8,10))))</f>
        <v>10</v>
      </c>
      <c r="N324" s="3">
        <f>IF(RAW_DATA!F324&lt;650,0,IF(RAW_DATA!F324&lt;700,8,IF(RAW_DATA!F324&lt;750,15,IF(RAW_DATA!F324&lt;800,20,25))))</f>
        <v>20</v>
      </c>
      <c r="O324" s="3">
        <f>IF(RAW_DATA!G324=0,5,IF(RAW_DATA!G324=1,4,IF(RAW_DATA!G324=2,3,IF(RAW_DATA!G324=3,2,IF(RAW_DATA!G324=4,1,0)))))</f>
        <v>4</v>
      </c>
      <c r="P324" s="3">
        <f>IF(RAW_DATA!K324&gt;=RAW_DATA!H324,20,ROUND((RAW_DATA!K324/RAW_DATA!H324)*20,0))</f>
        <v>20</v>
      </c>
      <c r="Q324" s="3">
        <f>IF(RAW_DATA!L324="No",5,0)</f>
        <v>5</v>
      </c>
      <c r="R324" s="3">
        <f t="shared" si="33"/>
        <v>86</v>
      </c>
      <c r="S324" s="3">
        <f t="shared" si="34"/>
        <v>86</v>
      </c>
      <c r="T324" s="3" t="str">
        <f t="shared" si="35"/>
        <v>Strong</v>
      </c>
    </row>
    <row r="325" spans="1:20" x14ac:dyDescent="0.25">
      <c r="A325" s="3" t="str">
        <f>RAW_DATA!A325</f>
        <v>APP324</v>
      </c>
      <c r="B325" s="3" t="b">
        <f>AND(RAW_DATA!B325&gt;=21,RAW_DATA!B325&lt;=60)</f>
        <v>1</v>
      </c>
      <c r="C325" s="3" t="b">
        <f>RAW_DATA!C325&gt;=300000</f>
        <v>1</v>
      </c>
      <c r="D325" s="3" t="b">
        <f>RAW_DATA!F325&gt;=650</f>
        <v>0</v>
      </c>
      <c r="E325" s="3" t="b">
        <f>RAW_DATA!E325&gt;=1</f>
        <v>1</v>
      </c>
      <c r="F325" s="3" t="b">
        <f>RAW_DATA!L325="No"</f>
        <v>1</v>
      </c>
      <c r="G325" s="3" t="b">
        <f t="shared" si="30"/>
        <v>0</v>
      </c>
      <c r="H325" s="3" t="str">
        <f t="shared" si="31"/>
        <v>INELIGIBLE</v>
      </c>
      <c r="I325" s="3" t="str">
        <f t="shared" si="32"/>
        <v>Credit Score</v>
      </c>
      <c r="K325" s="3" cm="1">
        <f t="array" ref="K3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5" s="5">
        <f>IF(RAW_DATA!C325&lt;300000,0,IF(RAW_DATA!C325&lt;600000,5,IF(RAW_DATA!C325&lt;1200000,15,IF(RAW_DATA!C325&lt;2000000,20,25))))</f>
        <v>25</v>
      </c>
      <c r="M325" s="3">
        <f>IF(RAW_DATA!E325&lt;1,0,IF(RAW_DATA!E325&lt;3,3,IF(RAW_DATA!E325&lt;5,5,IF(RAW_DATA!E325&lt;10,8,10))))</f>
        <v>10</v>
      </c>
      <c r="N325" s="3">
        <f>IF(RAW_DATA!F325&lt;650,0,IF(RAW_DATA!F325&lt;700,8,IF(RAW_DATA!F325&lt;750,15,IF(RAW_DATA!F325&lt;800,20,25))))</f>
        <v>0</v>
      </c>
      <c r="O325" s="3">
        <f>IF(RAW_DATA!G325=0,5,IF(RAW_DATA!G325=1,4,IF(RAW_DATA!G325=2,3,IF(RAW_DATA!G325=3,2,IF(RAW_DATA!G325=4,1,0)))))</f>
        <v>3</v>
      </c>
      <c r="P325" s="3">
        <f>IF(RAW_DATA!K325&gt;=RAW_DATA!H325,20,ROUND((RAW_DATA!K325/RAW_DATA!H325)*20,0))</f>
        <v>20</v>
      </c>
      <c r="Q325" s="3">
        <f>IF(RAW_DATA!L325="No",5,0)</f>
        <v>5</v>
      </c>
      <c r="R325" s="3">
        <f t="shared" si="33"/>
        <v>69</v>
      </c>
      <c r="S325" s="3">
        <f t="shared" si="34"/>
        <v>69</v>
      </c>
      <c r="T325" s="3" t="str">
        <f t="shared" si="35"/>
        <v>Not Scored - Ineligible</v>
      </c>
    </row>
    <row r="326" spans="1:20" x14ac:dyDescent="0.25">
      <c r="A326" s="3" t="str">
        <f>RAW_DATA!A326</f>
        <v>APP325</v>
      </c>
      <c r="B326" s="3" t="b">
        <f>AND(RAW_DATA!B326&gt;=21,RAW_DATA!B326&lt;=60)</f>
        <v>1</v>
      </c>
      <c r="C326" s="3" t="b">
        <f>RAW_DATA!C326&gt;=300000</f>
        <v>1</v>
      </c>
      <c r="D326" s="3" t="b">
        <f>RAW_DATA!F326&gt;=650</f>
        <v>0</v>
      </c>
      <c r="E326" s="3" t="b">
        <f>RAW_DATA!E326&gt;=1</f>
        <v>1</v>
      </c>
      <c r="F326" s="3" t="b">
        <f>RAW_DATA!L326="No"</f>
        <v>1</v>
      </c>
      <c r="G326" s="3" t="b">
        <f t="shared" si="30"/>
        <v>0</v>
      </c>
      <c r="H326" s="3" t="str">
        <f t="shared" si="31"/>
        <v>INELIGIBLE</v>
      </c>
      <c r="I326" s="3" t="str">
        <f t="shared" si="32"/>
        <v>Credit Score</v>
      </c>
      <c r="K326" s="3" cm="1">
        <f t="array" ref="K3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6" s="5">
        <f>IF(RAW_DATA!C326&lt;300000,0,IF(RAW_DATA!C326&lt;600000,5,IF(RAW_DATA!C326&lt;1200000,15,IF(RAW_DATA!C326&lt;2000000,20,25))))</f>
        <v>15</v>
      </c>
      <c r="M326" s="3">
        <f>IF(RAW_DATA!E326&lt;1,0,IF(RAW_DATA!E326&lt;3,3,IF(RAW_DATA!E326&lt;5,5,IF(RAW_DATA!E326&lt;10,8,10))))</f>
        <v>10</v>
      </c>
      <c r="N326" s="3">
        <f>IF(RAW_DATA!F326&lt;650,0,IF(RAW_DATA!F326&lt;700,8,IF(RAW_DATA!F326&lt;750,15,IF(RAW_DATA!F326&lt;800,20,25))))</f>
        <v>0</v>
      </c>
      <c r="O326" s="3">
        <f>IF(RAW_DATA!G326=0,5,IF(RAW_DATA!G326=1,4,IF(RAW_DATA!G326=2,3,IF(RAW_DATA!G326=3,2,IF(RAW_DATA!G326=4,1,0)))))</f>
        <v>1</v>
      </c>
      <c r="P326" s="3">
        <f>IF(RAW_DATA!K326&gt;=RAW_DATA!H326,20,ROUND((RAW_DATA!K326/RAW_DATA!H326)*20,0))</f>
        <v>20</v>
      </c>
      <c r="Q326" s="3">
        <f>IF(RAW_DATA!L326="No",5,0)</f>
        <v>5</v>
      </c>
      <c r="R326" s="3">
        <f t="shared" si="33"/>
        <v>61</v>
      </c>
      <c r="S326" s="3">
        <f t="shared" si="34"/>
        <v>61</v>
      </c>
      <c r="T326" s="3" t="str">
        <f t="shared" si="35"/>
        <v>Not Scored - Ineligible</v>
      </c>
    </row>
    <row r="327" spans="1:20" x14ac:dyDescent="0.25">
      <c r="A327" s="3" t="str">
        <f>RAW_DATA!A327</f>
        <v>APP326</v>
      </c>
      <c r="B327" s="3" t="b">
        <f>AND(RAW_DATA!B327&gt;=21,RAW_DATA!B327&lt;=60)</f>
        <v>1</v>
      </c>
      <c r="C327" s="3" t="b">
        <f>RAW_DATA!C327&gt;=300000</f>
        <v>1</v>
      </c>
      <c r="D327" s="3" t="b">
        <f>RAW_DATA!F327&gt;=650</f>
        <v>0</v>
      </c>
      <c r="E327" s="3" t="b">
        <f>RAW_DATA!E327&gt;=1</f>
        <v>1</v>
      </c>
      <c r="F327" s="3" t="b">
        <f>RAW_DATA!L327="No"</f>
        <v>1</v>
      </c>
      <c r="G327" s="3" t="b">
        <f t="shared" si="30"/>
        <v>0</v>
      </c>
      <c r="H327" s="3" t="str">
        <f t="shared" si="31"/>
        <v>INELIGIBLE</v>
      </c>
      <c r="I327" s="3" t="str">
        <f t="shared" si="32"/>
        <v>Credit Score</v>
      </c>
      <c r="K327" s="3" cm="1">
        <f t="array" ref="K3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7" s="5">
        <f>IF(RAW_DATA!C327&lt;300000,0,IF(RAW_DATA!C327&lt;600000,5,IF(RAW_DATA!C327&lt;1200000,15,IF(RAW_DATA!C327&lt;2000000,20,25))))</f>
        <v>20</v>
      </c>
      <c r="M327" s="3">
        <f>IF(RAW_DATA!E327&lt;1,0,IF(RAW_DATA!E327&lt;3,3,IF(RAW_DATA!E327&lt;5,5,IF(RAW_DATA!E327&lt;10,8,10))))</f>
        <v>10</v>
      </c>
      <c r="N327" s="3">
        <f>IF(RAW_DATA!F327&lt;650,0,IF(RAW_DATA!F327&lt;700,8,IF(RAW_DATA!F327&lt;750,15,IF(RAW_DATA!F327&lt;800,20,25))))</f>
        <v>0</v>
      </c>
      <c r="O327" s="3">
        <f>IF(RAW_DATA!G327=0,5,IF(RAW_DATA!G327=1,4,IF(RAW_DATA!G327=2,3,IF(RAW_DATA!G327=3,2,IF(RAW_DATA!G327=4,1,0)))))</f>
        <v>2</v>
      </c>
      <c r="P327" s="3">
        <f>IF(RAW_DATA!K327&gt;=RAW_DATA!H327,20,ROUND((RAW_DATA!K327/RAW_DATA!H327)*20,0))</f>
        <v>20</v>
      </c>
      <c r="Q327" s="3">
        <f>IF(RAW_DATA!L327="No",5,0)</f>
        <v>5</v>
      </c>
      <c r="R327" s="3">
        <f t="shared" si="33"/>
        <v>63</v>
      </c>
      <c r="S327" s="3">
        <f t="shared" si="34"/>
        <v>63</v>
      </c>
      <c r="T327" s="3" t="str">
        <f t="shared" si="35"/>
        <v>Not Scored - Ineligible</v>
      </c>
    </row>
    <row r="328" spans="1:20" x14ac:dyDescent="0.25">
      <c r="A328" s="3" t="str">
        <f>RAW_DATA!A328</f>
        <v>APP327</v>
      </c>
      <c r="B328" s="3" t="b">
        <f>AND(RAW_DATA!B328&gt;=21,RAW_DATA!B328&lt;=60)</f>
        <v>1</v>
      </c>
      <c r="C328" s="3" t="b">
        <f>RAW_DATA!C328&gt;=300000</f>
        <v>1</v>
      </c>
      <c r="D328" s="3" t="b">
        <f>RAW_DATA!F328&gt;=650</f>
        <v>0</v>
      </c>
      <c r="E328" s="3" t="b">
        <f>RAW_DATA!E328&gt;=1</f>
        <v>1</v>
      </c>
      <c r="F328" s="3" t="b">
        <f>RAW_DATA!L328="No"</f>
        <v>1</v>
      </c>
      <c r="G328" s="3" t="b">
        <f t="shared" si="30"/>
        <v>0</v>
      </c>
      <c r="H328" s="3" t="str">
        <f t="shared" si="31"/>
        <v>INELIGIBLE</v>
      </c>
      <c r="I328" s="3" t="str">
        <f t="shared" si="32"/>
        <v>Credit Score</v>
      </c>
      <c r="K328" s="3" cm="1">
        <f t="array" ref="K3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8" s="5">
        <f>IF(RAW_DATA!C328&lt;300000,0,IF(RAW_DATA!C328&lt;600000,5,IF(RAW_DATA!C328&lt;1200000,15,IF(RAW_DATA!C328&lt;2000000,20,25))))</f>
        <v>20</v>
      </c>
      <c r="M328" s="3">
        <f>IF(RAW_DATA!E328&lt;1,0,IF(RAW_DATA!E328&lt;3,3,IF(RAW_DATA!E328&lt;5,5,IF(RAW_DATA!E328&lt;10,8,10))))</f>
        <v>10</v>
      </c>
      <c r="N328" s="3">
        <f>IF(RAW_DATA!F328&lt;650,0,IF(RAW_DATA!F328&lt;700,8,IF(RAW_DATA!F328&lt;750,15,IF(RAW_DATA!F328&lt;800,20,25))))</f>
        <v>0</v>
      </c>
      <c r="O328" s="3">
        <f>IF(RAW_DATA!G328=0,5,IF(RAW_DATA!G328=1,4,IF(RAW_DATA!G328=2,3,IF(RAW_DATA!G328=3,2,IF(RAW_DATA!G328=4,1,0)))))</f>
        <v>3</v>
      </c>
      <c r="P328" s="3">
        <f>IF(RAW_DATA!K328&gt;=RAW_DATA!H328,20,ROUND((RAW_DATA!K328/RAW_DATA!H328)*20,0))</f>
        <v>20</v>
      </c>
      <c r="Q328" s="3">
        <f>IF(RAW_DATA!L328="No",5,0)</f>
        <v>5</v>
      </c>
      <c r="R328" s="3">
        <f t="shared" si="33"/>
        <v>68</v>
      </c>
      <c r="S328" s="3">
        <f t="shared" si="34"/>
        <v>68</v>
      </c>
      <c r="T328" s="3" t="str">
        <f t="shared" si="35"/>
        <v>Not Scored - Ineligible</v>
      </c>
    </row>
    <row r="329" spans="1:20" x14ac:dyDescent="0.25">
      <c r="A329" s="3" t="str">
        <f>RAW_DATA!A329</f>
        <v>APP328</v>
      </c>
      <c r="B329" s="3" t="b">
        <f>AND(RAW_DATA!B329&gt;=21,RAW_DATA!B329&lt;=60)</f>
        <v>1</v>
      </c>
      <c r="C329" s="3" t="b">
        <f>RAW_DATA!C329&gt;=300000</f>
        <v>1</v>
      </c>
      <c r="D329" s="3" t="b">
        <f>RAW_DATA!F329&gt;=650</f>
        <v>0</v>
      </c>
      <c r="E329" s="3" t="b">
        <f>RAW_DATA!E329&gt;=1</f>
        <v>1</v>
      </c>
      <c r="F329" s="3" t="b">
        <f>RAW_DATA!L329="No"</f>
        <v>1</v>
      </c>
      <c r="G329" s="3" t="b">
        <f t="shared" si="30"/>
        <v>0</v>
      </c>
      <c r="H329" s="3" t="str">
        <f t="shared" si="31"/>
        <v>INELIGIBLE</v>
      </c>
      <c r="I329" s="3" t="str">
        <f t="shared" si="32"/>
        <v>Credit Score</v>
      </c>
      <c r="K329" s="3" cm="1">
        <f t="array" ref="K3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9" s="5">
        <f>IF(RAW_DATA!C329&lt;300000,0,IF(RAW_DATA!C329&lt;600000,5,IF(RAW_DATA!C329&lt;1200000,15,IF(RAW_DATA!C329&lt;2000000,20,25))))</f>
        <v>25</v>
      </c>
      <c r="M329" s="3">
        <f>IF(RAW_DATA!E329&lt;1,0,IF(RAW_DATA!E329&lt;3,3,IF(RAW_DATA!E329&lt;5,5,IF(RAW_DATA!E329&lt;10,8,10))))</f>
        <v>10</v>
      </c>
      <c r="N329" s="3">
        <f>IF(RAW_DATA!F329&lt;650,0,IF(RAW_DATA!F329&lt;700,8,IF(RAW_DATA!F329&lt;750,15,IF(RAW_DATA!F329&lt;800,20,25))))</f>
        <v>0</v>
      </c>
      <c r="O329" s="3">
        <f>IF(RAW_DATA!G329=0,5,IF(RAW_DATA!G329=1,4,IF(RAW_DATA!G329=2,3,IF(RAW_DATA!G329=3,2,IF(RAW_DATA!G329=4,1,0)))))</f>
        <v>5</v>
      </c>
      <c r="P329" s="3">
        <f>IF(RAW_DATA!K329&gt;=RAW_DATA!H329,20,ROUND((RAW_DATA!K329/RAW_DATA!H329)*20,0))</f>
        <v>20</v>
      </c>
      <c r="Q329" s="3">
        <f>IF(RAW_DATA!L329="No",5,0)</f>
        <v>5</v>
      </c>
      <c r="R329" s="3">
        <f t="shared" si="33"/>
        <v>73</v>
      </c>
      <c r="S329" s="3">
        <f t="shared" si="34"/>
        <v>73</v>
      </c>
      <c r="T329" s="3" t="str">
        <f t="shared" si="35"/>
        <v>Not Scored - Ineligible</v>
      </c>
    </row>
    <row r="330" spans="1:20" x14ac:dyDescent="0.25">
      <c r="A330" s="3" t="str">
        <f>RAW_DATA!A330</f>
        <v>APP329</v>
      </c>
      <c r="B330" s="3" t="b">
        <f>AND(RAW_DATA!B330&gt;=21,RAW_DATA!B330&lt;=60)</f>
        <v>1</v>
      </c>
      <c r="C330" s="3" t="b">
        <f>RAW_DATA!C330&gt;=300000</f>
        <v>1</v>
      </c>
      <c r="D330" s="3" t="b">
        <f>RAW_DATA!F330&gt;=650</f>
        <v>0</v>
      </c>
      <c r="E330" s="3" t="b">
        <f>RAW_DATA!E330&gt;=1</f>
        <v>1</v>
      </c>
      <c r="F330" s="3" t="b">
        <f>RAW_DATA!L330="No"</f>
        <v>1</v>
      </c>
      <c r="G330" s="3" t="b">
        <f t="shared" si="30"/>
        <v>0</v>
      </c>
      <c r="H330" s="3" t="str">
        <f t="shared" si="31"/>
        <v>INELIGIBLE</v>
      </c>
      <c r="I330" s="3" t="str">
        <f t="shared" si="32"/>
        <v>Credit Score</v>
      </c>
      <c r="K330" s="3" cm="1">
        <f t="array" ref="K3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0" s="5">
        <f>IF(RAW_DATA!C330&lt;300000,0,IF(RAW_DATA!C330&lt;600000,5,IF(RAW_DATA!C330&lt;1200000,15,IF(RAW_DATA!C330&lt;2000000,20,25))))</f>
        <v>5</v>
      </c>
      <c r="M330" s="3">
        <f>IF(RAW_DATA!E330&lt;1,0,IF(RAW_DATA!E330&lt;3,3,IF(RAW_DATA!E330&lt;5,5,IF(RAW_DATA!E330&lt;10,8,10))))</f>
        <v>10</v>
      </c>
      <c r="N330" s="3">
        <f>IF(RAW_DATA!F330&lt;650,0,IF(RAW_DATA!F330&lt;700,8,IF(RAW_DATA!F330&lt;750,15,IF(RAW_DATA!F330&lt;800,20,25))))</f>
        <v>0</v>
      </c>
      <c r="O330" s="3">
        <f>IF(RAW_DATA!G330=0,5,IF(RAW_DATA!G330=1,4,IF(RAW_DATA!G330=2,3,IF(RAW_DATA!G330=3,2,IF(RAW_DATA!G330=4,1,0)))))</f>
        <v>1</v>
      </c>
      <c r="P330" s="3">
        <f>IF(RAW_DATA!K330&gt;=RAW_DATA!H330,20,ROUND((RAW_DATA!K330/RAW_DATA!H330)*20,0))</f>
        <v>15</v>
      </c>
      <c r="Q330" s="3">
        <f>IF(RAW_DATA!L330="No",5,0)</f>
        <v>5</v>
      </c>
      <c r="R330" s="3">
        <f t="shared" si="33"/>
        <v>43</v>
      </c>
      <c r="S330" s="3">
        <f t="shared" si="34"/>
        <v>43</v>
      </c>
      <c r="T330" s="3" t="str">
        <f t="shared" si="35"/>
        <v>Not Scored - Ineligible</v>
      </c>
    </row>
    <row r="331" spans="1:20" x14ac:dyDescent="0.25">
      <c r="A331" s="3" t="str">
        <f>RAW_DATA!A331</f>
        <v>APP330</v>
      </c>
      <c r="B331" s="3" t="b">
        <f>AND(RAW_DATA!B331&gt;=21,RAW_DATA!B331&lt;=60)</f>
        <v>1</v>
      </c>
      <c r="C331" s="3" t="b">
        <f>RAW_DATA!C331&gt;=300000</f>
        <v>1</v>
      </c>
      <c r="D331" s="3" t="b">
        <f>RAW_DATA!F331&gt;=650</f>
        <v>1</v>
      </c>
      <c r="E331" s="3" t="b">
        <f>RAW_DATA!E331&gt;=1</f>
        <v>1</v>
      </c>
      <c r="F331" s="3" t="b">
        <f>RAW_DATA!L331="No"</f>
        <v>0</v>
      </c>
      <c r="G331" s="3" t="b">
        <f t="shared" si="30"/>
        <v>0</v>
      </c>
      <c r="H331" s="3" t="str">
        <f t="shared" si="31"/>
        <v>INELIGIBLE</v>
      </c>
      <c r="I331" s="3" t="str">
        <f t="shared" si="32"/>
        <v>Defaulter History</v>
      </c>
      <c r="K331" s="3" cm="1">
        <f t="array" ref="K3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1" s="5">
        <f>IF(RAW_DATA!C331&lt;300000,0,IF(RAW_DATA!C331&lt;600000,5,IF(RAW_DATA!C331&lt;1200000,15,IF(RAW_DATA!C331&lt;2000000,20,25))))</f>
        <v>5</v>
      </c>
      <c r="M331" s="3">
        <f>IF(RAW_DATA!E331&lt;1,0,IF(RAW_DATA!E331&lt;3,3,IF(RAW_DATA!E331&lt;5,5,IF(RAW_DATA!E331&lt;10,8,10))))</f>
        <v>10</v>
      </c>
      <c r="N331" s="3">
        <f>IF(RAW_DATA!F331&lt;650,0,IF(RAW_DATA!F331&lt;700,8,IF(RAW_DATA!F331&lt;750,15,IF(RAW_DATA!F331&lt;800,20,25))))</f>
        <v>25</v>
      </c>
      <c r="O331" s="3">
        <f>IF(RAW_DATA!G331=0,5,IF(RAW_DATA!G331=1,4,IF(RAW_DATA!G331=2,3,IF(RAW_DATA!G331=3,2,IF(RAW_DATA!G331=4,1,0)))))</f>
        <v>0</v>
      </c>
      <c r="P331" s="3">
        <f>IF(RAW_DATA!K331&gt;=RAW_DATA!H331,20,ROUND((RAW_DATA!K331/RAW_DATA!H331)*20,0))</f>
        <v>20</v>
      </c>
      <c r="Q331" s="3">
        <f>IF(RAW_DATA!L331="No",5,0)</f>
        <v>0</v>
      </c>
      <c r="R331" s="3">
        <f t="shared" si="33"/>
        <v>67</v>
      </c>
      <c r="S331" s="3">
        <f t="shared" si="34"/>
        <v>67</v>
      </c>
      <c r="T331" s="3" t="str">
        <f t="shared" si="35"/>
        <v>Not Scored - Ineligible</v>
      </c>
    </row>
    <row r="332" spans="1:20" x14ac:dyDescent="0.25">
      <c r="A332" s="3" t="str">
        <f>RAW_DATA!A332</f>
        <v>APP331</v>
      </c>
      <c r="B332" s="3" t="b">
        <f>AND(RAW_DATA!B332&gt;=21,RAW_DATA!B332&lt;=60)</f>
        <v>1</v>
      </c>
      <c r="C332" s="3" t="b">
        <f>RAW_DATA!C332&gt;=300000</f>
        <v>1</v>
      </c>
      <c r="D332" s="3" t="b">
        <f>RAW_DATA!F332&gt;=650</f>
        <v>0</v>
      </c>
      <c r="E332" s="3" t="b">
        <f>RAW_DATA!E332&gt;=1</f>
        <v>1</v>
      </c>
      <c r="F332" s="3" t="b">
        <f>RAW_DATA!L332="No"</f>
        <v>1</v>
      </c>
      <c r="G332" s="3" t="b">
        <f t="shared" si="30"/>
        <v>0</v>
      </c>
      <c r="H332" s="3" t="str">
        <f t="shared" si="31"/>
        <v>INELIGIBLE</v>
      </c>
      <c r="I332" s="3" t="str">
        <f t="shared" si="32"/>
        <v>Credit Score</v>
      </c>
      <c r="K332" s="3" cm="1">
        <f t="array" ref="K3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2" s="5">
        <f>IF(RAW_DATA!C332&lt;300000,0,IF(RAW_DATA!C332&lt;600000,5,IF(RAW_DATA!C332&lt;1200000,15,IF(RAW_DATA!C332&lt;2000000,20,25))))</f>
        <v>25</v>
      </c>
      <c r="M332" s="3">
        <f>IF(RAW_DATA!E332&lt;1,0,IF(RAW_DATA!E332&lt;3,3,IF(RAW_DATA!E332&lt;5,5,IF(RAW_DATA!E332&lt;10,8,10))))</f>
        <v>10</v>
      </c>
      <c r="N332" s="3">
        <f>IF(RAW_DATA!F332&lt;650,0,IF(RAW_DATA!F332&lt;700,8,IF(RAW_DATA!F332&lt;750,15,IF(RAW_DATA!F332&lt;800,20,25))))</f>
        <v>0</v>
      </c>
      <c r="O332" s="3">
        <f>IF(RAW_DATA!G332=0,5,IF(RAW_DATA!G332=1,4,IF(RAW_DATA!G332=2,3,IF(RAW_DATA!G332=3,2,IF(RAW_DATA!G332=4,1,0)))))</f>
        <v>5</v>
      </c>
      <c r="P332" s="3">
        <f>IF(RAW_DATA!K332&gt;=RAW_DATA!H332,20,ROUND((RAW_DATA!K332/RAW_DATA!H332)*20,0))</f>
        <v>20</v>
      </c>
      <c r="Q332" s="3">
        <f>IF(RAW_DATA!L332="No",5,0)</f>
        <v>5</v>
      </c>
      <c r="R332" s="3">
        <f t="shared" si="33"/>
        <v>75</v>
      </c>
      <c r="S332" s="3">
        <f t="shared" si="34"/>
        <v>75</v>
      </c>
      <c r="T332" s="3" t="str">
        <f t="shared" si="35"/>
        <v>Not Scored - Ineligible</v>
      </c>
    </row>
    <row r="333" spans="1:20" x14ac:dyDescent="0.25">
      <c r="A333" s="3" t="str">
        <f>RAW_DATA!A333</f>
        <v>APP332</v>
      </c>
      <c r="B333" s="3" t="b">
        <f>AND(RAW_DATA!B333&gt;=21,RAW_DATA!B333&lt;=60)</f>
        <v>1</v>
      </c>
      <c r="C333" s="3" t="b">
        <f>RAW_DATA!C333&gt;=300000</f>
        <v>1</v>
      </c>
      <c r="D333" s="3" t="b">
        <f>RAW_DATA!F333&gt;=650</f>
        <v>0</v>
      </c>
      <c r="E333" s="3" t="b">
        <f>RAW_DATA!E333&gt;=1</f>
        <v>1</v>
      </c>
      <c r="F333" s="3" t="b">
        <f>RAW_DATA!L333="No"</f>
        <v>1</v>
      </c>
      <c r="G333" s="3" t="b">
        <f t="shared" si="30"/>
        <v>0</v>
      </c>
      <c r="H333" s="3" t="str">
        <f t="shared" si="31"/>
        <v>INELIGIBLE</v>
      </c>
      <c r="I333" s="3" t="str">
        <f t="shared" si="32"/>
        <v>Credit Score</v>
      </c>
      <c r="K333" s="3" cm="1">
        <f t="array" ref="K3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3" s="5">
        <f>IF(RAW_DATA!C333&lt;300000,0,IF(RAW_DATA!C333&lt;600000,5,IF(RAW_DATA!C333&lt;1200000,15,IF(RAW_DATA!C333&lt;2000000,20,25))))</f>
        <v>20</v>
      </c>
      <c r="M333" s="3">
        <f>IF(RAW_DATA!E333&lt;1,0,IF(RAW_DATA!E333&lt;3,3,IF(RAW_DATA!E333&lt;5,5,IF(RAW_DATA!E333&lt;10,8,10))))</f>
        <v>10</v>
      </c>
      <c r="N333" s="3">
        <f>IF(RAW_DATA!F333&lt;650,0,IF(RAW_DATA!F333&lt;700,8,IF(RAW_DATA!F333&lt;750,15,IF(RAW_DATA!F333&lt;800,20,25))))</f>
        <v>0</v>
      </c>
      <c r="O333" s="3">
        <f>IF(RAW_DATA!G333=0,5,IF(RAW_DATA!G333=1,4,IF(RAW_DATA!G333=2,3,IF(RAW_DATA!G333=3,2,IF(RAW_DATA!G333=4,1,0)))))</f>
        <v>1</v>
      </c>
      <c r="P333" s="3">
        <f>IF(RAW_DATA!K333&gt;=RAW_DATA!H333,20,ROUND((RAW_DATA!K333/RAW_DATA!H333)*20,0))</f>
        <v>20</v>
      </c>
      <c r="Q333" s="3">
        <f>IF(RAW_DATA!L333="No",5,0)</f>
        <v>5</v>
      </c>
      <c r="R333" s="3">
        <f t="shared" si="33"/>
        <v>63</v>
      </c>
      <c r="S333" s="3">
        <f t="shared" si="34"/>
        <v>63</v>
      </c>
      <c r="T333" s="3" t="str">
        <f t="shared" si="35"/>
        <v>Not Scored - Ineligible</v>
      </c>
    </row>
    <row r="334" spans="1:20" x14ac:dyDescent="0.25">
      <c r="A334" s="3" t="str">
        <f>RAW_DATA!A334</f>
        <v>APP333</v>
      </c>
      <c r="B334" s="3" t="b">
        <f>AND(RAW_DATA!B334&gt;=21,RAW_DATA!B334&lt;=60)</f>
        <v>1</v>
      </c>
      <c r="C334" s="3" t="b">
        <f>RAW_DATA!C334&gt;=300000</f>
        <v>1</v>
      </c>
      <c r="D334" s="3" t="b">
        <f>RAW_DATA!F334&gt;=650</f>
        <v>1</v>
      </c>
      <c r="E334" s="3" t="b">
        <f>RAW_DATA!E334&gt;=1</f>
        <v>1</v>
      </c>
      <c r="F334" s="3" t="b">
        <f>RAW_DATA!L334="No"</f>
        <v>1</v>
      </c>
      <c r="G334" s="3" t="b">
        <f t="shared" si="30"/>
        <v>1</v>
      </c>
      <c r="H334" s="3" t="str">
        <f t="shared" si="31"/>
        <v>ELIGIBLE</v>
      </c>
      <c r="I334" s="3" t="str">
        <f t="shared" si="32"/>
        <v/>
      </c>
      <c r="K334" s="3" cm="1">
        <f t="array" ref="K3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4" s="5">
        <f>IF(RAW_DATA!C334&lt;300000,0,IF(RAW_DATA!C334&lt;600000,5,IF(RAW_DATA!C334&lt;1200000,15,IF(RAW_DATA!C334&lt;2000000,20,25))))</f>
        <v>20</v>
      </c>
      <c r="M334" s="3">
        <f>IF(RAW_DATA!E334&lt;1,0,IF(RAW_DATA!E334&lt;3,3,IF(RAW_DATA!E334&lt;5,5,IF(RAW_DATA!E334&lt;10,8,10))))</f>
        <v>10</v>
      </c>
      <c r="N334" s="3">
        <f>IF(RAW_DATA!F334&lt;650,0,IF(RAW_DATA!F334&lt;700,8,IF(RAW_DATA!F334&lt;750,15,IF(RAW_DATA!F334&lt;800,20,25))))</f>
        <v>25</v>
      </c>
      <c r="O334" s="3">
        <f>IF(RAW_DATA!G334=0,5,IF(RAW_DATA!G334=1,4,IF(RAW_DATA!G334=2,3,IF(RAW_DATA!G334=3,2,IF(RAW_DATA!G334=4,1,0)))))</f>
        <v>0</v>
      </c>
      <c r="P334" s="3">
        <f>IF(RAW_DATA!K334&gt;=RAW_DATA!H334,20,ROUND((RAW_DATA!K334/RAW_DATA!H334)*20,0))</f>
        <v>20</v>
      </c>
      <c r="Q334" s="3">
        <f>IF(RAW_DATA!L334="No",5,0)</f>
        <v>5</v>
      </c>
      <c r="R334" s="3">
        <f t="shared" si="33"/>
        <v>84</v>
      </c>
      <c r="S334" s="3">
        <f t="shared" si="34"/>
        <v>84</v>
      </c>
      <c r="T334" s="3" t="str">
        <f t="shared" si="35"/>
        <v>Strong</v>
      </c>
    </row>
    <row r="335" spans="1:20" x14ac:dyDescent="0.25">
      <c r="A335" s="3" t="str">
        <f>RAW_DATA!A335</f>
        <v>APP334</v>
      </c>
      <c r="B335" s="3" t="b">
        <f>AND(RAW_DATA!B335&gt;=21,RAW_DATA!B335&lt;=60)</f>
        <v>1</v>
      </c>
      <c r="C335" s="3" t="b">
        <f>RAW_DATA!C335&gt;=300000</f>
        <v>1</v>
      </c>
      <c r="D335" s="3" t="b">
        <f>RAW_DATA!F335&gt;=650</f>
        <v>0</v>
      </c>
      <c r="E335" s="3" t="b">
        <f>RAW_DATA!E335&gt;=1</f>
        <v>1</v>
      </c>
      <c r="F335" s="3" t="b">
        <f>RAW_DATA!L335="No"</f>
        <v>0</v>
      </c>
      <c r="G335" s="3" t="b">
        <f t="shared" si="30"/>
        <v>0</v>
      </c>
      <c r="H335" s="3" t="str">
        <f t="shared" si="31"/>
        <v>INELIGIBLE</v>
      </c>
      <c r="I335" s="3" t="str">
        <f t="shared" si="32"/>
        <v>Credit Score, Defaulter History</v>
      </c>
      <c r="K335" s="3" cm="1">
        <f t="array" ref="K3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5" s="5">
        <f>IF(RAW_DATA!C335&lt;300000,0,IF(RAW_DATA!C335&lt;600000,5,IF(RAW_DATA!C335&lt;1200000,15,IF(RAW_DATA!C335&lt;2000000,20,25))))</f>
        <v>20</v>
      </c>
      <c r="M335" s="3">
        <f>IF(RAW_DATA!E335&lt;1,0,IF(RAW_DATA!E335&lt;3,3,IF(RAW_DATA!E335&lt;5,5,IF(RAW_DATA!E335&lt;10,8,10))))</f>
        <v>10</v>
      </c>
      <c r="N335" s="3">
        <f>IF(RAW_DATA!F335&lt;650,0,IF(RAW_DATA!F335&lt;700,8,IF(RAW_DATA!F335&lt;750,15,IF(RAW_DATA!F335&lt;800,20,25))))</f>
        <v>0</v>
      </c>
      <c r="O335" s="3">
        <f>IF(RAW_DATA!G335=0,5,IF(RAW_DATA!G335=1,4,IF(RAW_DATA!G335=2,3,IF(RAW_DATA!G335=3,2,IF(RAW_DATA!G335=4,1,0)))))</f>
        <v>1</v>
      </c>
      <c r="P335" s="3">
        <f>IF(RAW_DATA!K335&gt;=RAW_DATA!H335,20,ROUND((RAW_DATA!K335/RAW_DATA!H335)*20,0))</f>
        <v>20</v>
      </c>
      <c r="Q335" s="3">
        <f>IF(RAW_DATA!L335="No",5,0)</f>
        <v>0</v>
      </c>
      <c r="R335" s="3">
        <f t="shared" si="33"/>
        <v>58</v>
      </c>
      <c r="S335" s="3">
        <f t="shared" si="34"/>
        <v>58</v>
      </c>
      <c r="T335" s="3" t="str">
        <f t="shared" si="35"/>
        <v>Not Scored - Ineligible</v>
      </c>
    </row>
    <row r="336" spans="1:20" x14ac:dyDescent="0.25">
      <c r="A336" s="3" t="str">
        <f>RAW_DATA!A336</f>
        <v>APP335</v>
      </c>
      <c r="B336" s="3" t="b">
        <f>AND(RAW_DATA!B336&gt;=21,RAW_DATA!B336&lt;=60)</f>
        <v>1</v>
      </c>
      <c r="C336" s="3" t="b">
        <f>RAW_DATA!C336&gt;=300000</f>
        <v>1</v>
      </c>
      <c r="D336" s="3" t="b">
        <f>RAW_DATA!F336&gt;=650</f>
        <v>1</v>
      </c>
      <c r="E336" s="3" t="b">
        <f>RAW_DATA!E336&gt;=1</f>
        <v>1</v>
      </c>
      <c r="F336" s="3" t="b">
        <f>RAW_DATA!L336="No"</f>
        <v>1</v>
      </c>
      <c r="G336" s="3" t="b">
        <f t="shared" si="30"/>
        <v>1</v>
      </c>
      <c r="H336" s="3" t="str">
        <f t="shared" si="31"/>
        <v>ELIGIBLE</v>
      </c>
      <c r="I336" s="3" t="str">
        <f t="shared" si="32"/>
        <v/>
      </c>
      <c r="K336" s="3" cm="1">
        <f t="array" ref="K3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6" s="5">
        <f>IF(RAW_DATA!C336&lt;300000,0,IF(RAW_DATA!C336&lt;600000,5,IF(RAW_DATA!C336&lt;1200000,15,IF(RAW_DATA!C336&lt;2000000,20,25))))</f>
        <v>20</v>
      </c>
      <c r="M336" s="3">
        <f>IF(RAW_DATA!E336&lt;1,0,IF(RAW_DATA!E336&lt;3,3,IF(RAW_DATA!E336&lt;5,5,IF(RAW_DATA!E336&lt;10,8,10))))</f>
        <v>10</v>
      </c>
      <c r="N336" s="3">
        <f>IF(RAW_DATA!F336&lt;650,0,IF(RAW_DATA!F336&lt;700,8,IF(RAW_DATA!F336&lt;750,15,IF(RAW_DATA!F336&lt;800,20,25))))</f>
        <v>25</v>
      </c>
      <c r="O336" s="3">
        <f>IF(RAW_DATA!G336=0,5,IF(RAW_DATA!G336=1,4,IF(RAW_DATA!G336=2,3,IF(RAW_DATA!G336=3,2,IF(RAW_DATA!G336=4,1,0)))))</f>
        <v>4</v>
      </c>
      <c r="P336" s="3">
        <f>IF(RAW_DATA!K336&gt;=RAW_DATA!H336,20,ROUND((RAW_DATA!K336/RAW_DATA!H336)*20,0))</f>
        <v>20</v>
      </c>
      <c r="Q336" s="3">
        <f>IF(RAW_DATA!L336="No",5,0)</f>
        <v>5</v>
      </c>
      <c r="R336" s="3">
        <f t="shared" si="33"/>
        <v>94</v>
      </c>
      <c r="S336" s="3">
        <f t="shared" si="34"/>
        <v>94</v>
      </c>
      <c r="T336" s="3" t="str">
        <f t="shared" si="35"/>
        <v>Strong</v>
      </c>
    </row>
    <row r="337" spans="1:20" x14ac:dyDescent="0.25">
      <c r="A337" s="3" t="str">
        <f>RAW_DATA!A337</f>
        <v>APP336</v>
      </c>
      <c r="B337" s="3" t="b">
        <f>AND(RAW_DATA!B337&gt;=21,RAW_DATA!B337&lt;=60)</f>
        <v>1</v>
      </c>
      <c r="C337" s="3" t="b">
        <f>RAW_DATA!C337&gt;=300000</f>
        <v>1</v>
      </c>
      <c r="D337" s="3" t="b">
        <f>RAW_DATA!F337&gt;=650</f>
        <v>1</v>
      </c>
      <c r="E337" s="3" t="b">
        <f>RAW_DATA!E337&gt;=1</f>
        <v>1</v>
      </c>
      <c r="F337" s="3" t="b">
        <f>RAW_DATA!L337="No"</f>
        <v>1</v>
      </c>
      <c r="G337" s="3" t="b">
        <f t="shared" si="30"/>
        <v>1</v>
      </c>
      <c r="H337" s="3" t="str">
        <f t="shared" si="31"/>
        <v>ELIGIBLE</v>
      </c>
      <c r="I337" s="3" t="str">
        <f t="shared" si="32"/>
        <v/>
      </c>
      <c r="K337" s="3" cm="1">
        <f t="array" ref="K3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7" s="5">
        <f>IF(RAW_DATA!C337&lt;300000,0,IF(RAW_DATA!C337&lt;600000,5,IF(RAW_DATA!C337&lt;1200000,15,IF(RAW_DATA!C337&lt;2000000,20,25))))</f>
        <v>15</v>
      </c>
      <c r="M337" s="3">
        <f>IF(RAW_DATA!E337&lt;1,0,IF(RAW_DATA!E337&lt;3,3,IF(RAW_DATA!E337&lt;5,5,IF(RAW_DATA!E337&lt;10,8,10))))</f>
        <v>8</v>
      </c>
      <c r="N337" s="3">
        <f>IF(RAW_DATA!F337&lt;650,0,IF(RAW_DATA!F337&lt;700,8,IF(RAW_DATA!F337&lt;750,15,IF(RAW_DATA!F337&lt;800,20,25))))</f>
        <v>25</v>
      </c>
      <c r="O337" s="3">
        <f>IF(RAW_DATA!G337=0,5,IF(RAW_DATA!G337=1,4,IF(RAW_DATA!G337=2,3,IF(RAW_DATA!G337=3,2,IF(RAW_DATA!G337=4,1,0)))))</f>
        <v>4</v>
      </c>
      <c r="P337" s="3">
        <f>IF(RAW_DATA!K337&gt;=RAW_DATA!H337,20,ROUND((RAW_DATA!K337/RAW_DATA!H337)*20,0))</f>
        <v>8</v>
      </c>
      <c r="Q337" s="3">
        <f>IF(RAW_DATA!L337="No",5,0)</f>
        <v>5</v>
      </c>
      <c r="R337" s="3">
        <f t="shared" si="33"/>
        <v>75</v>
      </c>
      <c r="S337" s="3">
        <f t="shared" si="34"/>
        <v>75</v>
      </c>
      <c r="T337" s="3" t="str">
        <f t="shared" si="35"/>
        <v>Strong</v>
      </c>
    </row>
    <row r="338" spans="1:20" x14ac:dyDescent="0.25">
      <c r="A338" s="3" t="str">
        <f>RAW_DATA!A338</f>
        <v>APP337</v>
      </c>
      <c r="B338" s="3" t="b">
        <f>AND(RAW_DATA!B338&gt;=21,RAW_DATA!B338&lt;=60)</f>
        <v>1</v>
      </c>
      <c r="C338" s="3" t="b">
        <f>RAW_DATA!C338&gt;=300000</f>
        <v>0</v>
      </c>
      <c r="D338" s="3" t="b">
        <f>RAW_DATA!F338&gt;=650</f>
        <v>1</v>
      </c>
      <c r="E338" s="3" t="b">
        <f>RAW_DATA!E338&gt;=1</f>
        <v>1</v>
      </c>
      <c r="F338" s="3" t="b">
        <f>RAW_DATA!L338="No"</f>
        <v>0</v>
      </c>
      <c r="G338" s="3" t="b">
        <f t="shared" si="30"/>
        <v>0</v>
      </c>
      <c r="H338" s="3" t="str">
        <f t="shared" si="31"/>
        <v>INELIGIBLE</v>
      </c>
      <c r="I338" s="3" t="str">
        <f t="shared" si="32"/>
        <v>Income, Defaulter History</v>
      </c>
      <c r="K338" s="3" cm="1">
        <f t="array" ref="K3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8" s="5">
        <f>IF(RAW_DATA!C338&lt;300000,0,IF(RAW_DATA!C338&lt;600000,5,IF(RAW_DATA!C338&lt;1200000,15,IF(RAW_DATA!C338&lt;2000000,20,25))))</f>
        <v>0</v>
      </c>
      <c r="M338" s="3">
        <f>IF(RAW_DATA!E338&lt;1,0,IF(RAW_DATA!E338&lt;3,3,IF(RAW_DATA!E338&lt;5,5,IF(RAW_DATA!E338&lt;10,8,10))))</f>
        <v>3</v>
      </c>
      <c r="N338" s="3">
        <f>IF(RAW_DATA!F338&lt;650,0,IF(RAW_DATA!F338&lt;700,8,IF(RAW_DATA!F338&lt;750,15,IF(RAW_DATA!F338&lt;800,20,25))))</f>
        <v>8</v>
      </c>
      <c r="O338" s="3">
        <f>IF(RAW_DATA!G338=0,5,IF(RAW_DATA!G338=1,4,IF(RAW_DATA!G338=2,3,IF(RAW_DATA!G338=3,2,IF(RAW_DATA!G338=4,1,0)))))</f>
        <v>1</v>
      </c>
      <c r="P338" s="3">
        <f>IF(RAW_DATA!K338&gt;=RAW_DATA!H338,20,ROUND((RAW_DATA!K338/RAW_DATA!H338)*20,0))</f>
        <v>5</v>
      </c>
      <c r="Q338" s="3">
        <f>IF(RAW_DATA!L338="No",5,0)</f>
        <v>0</v>
      </c>
      <c r="R338" s="3">
        <f t="shared" si="33"/>
        <v>21</v>
      </c>
      <c r="S338" s="3">
        <f t="shared" si="34"/>
        <v>21</v>
      </c>
      <c r="T338" s="3" t="str">
        <f t="shared" si="35"/>
        <v>Not Scored - Ineligible</v>
      </c>
    </row>
    <row r="339" spans="1:20" x14ac:dyDescent="0.25">
      <c r="A339" s="3" t="str">
        <f>RAW_DATA!A339</f>
        <v>APP338</v>
      </c>
      <c r="B339" s="3" t="b">
        <f>AND(RAW_DATA!B339&gt;=21,RAW_DATA!B339&lt;=60)</f>
        <v>1</v>
      </c>
      <c r="C339" s="3" t="b">
        <f>RAW_DATA!C339&gt;=300000</f>
        <v>1</v>
      </c>
      <c r="D339" s="3" t="b">
        <f>RAW_DATA!F339&gt;=650</f>
        <v>0</v>
      </c>
      <c r="E339" s="3" t="b">
        <f>RAW_DATA!E339&gt;=1</f>
        <v>1</v>
      </c>
      <c r="F339" s="3" t="b">
        <f>RAW_DATA!L339="No"</f>
        <v>1</v>
      </c>
      <c r="G339" s="3" t="b">
        <f t="shared" si="30"/>
        <v>0</v>
      </c>
      <c r="H339" s="3" t="str">
        <f t="shared" si="31"/>
        <v>INELIGIBLE</v>
      </c>
      <c r="I339" s="3" t="str">
        <f t="shared" si="32"/>
        <v>Credit Score</v>
      </c>
      <c r="K339" s="3" cm="1">
        <f t="array" ref="K3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9" s="5">
        <f>IF(RAW_DATA!C339&lt;300000,0,IF(RAW_DATA!C339&lt;600000,5,IF(RAW_DATA!C339&lt;1200000,15,IF(RAW_DATA!C339&lt;2000000,20,25))))</f>
        <v>25</v>
      </c>
      <c r="M339" s="3">
        <f>IF(RAW_DATA!E339&lt;1,0,IF(RAW_DATA!E339&lt;3,3,IF(RAW_DATA!E339&lt;5,5,IF(RAW_DATA!E339&lt;10,8,10))))</f>
        <v>10</v>
      </c>
      <c r="N339" s="3">
        <f>IF(RAW_DATA!F339&lt;650,0,IF(RAW_DATA!F339&lt;700,8,IF(RAW_DATA!F339&lt;750,15,IF(RAW_DATA!F339&lt;800,20,25))))</f>
        <v>0</v>
      </c>
      <c r="O339" s="3">
        <f>IF(RAW_DATA!G339=0,5,IF(RAW_DATA!G339=1,4,IF(RAW_DATA!G339=2,3,IF(RAW_DATA!G339=3,2,IF(RAW_DATA!G339=4,1,0)))))</f>
        <v>3</v>
      </c>
      <c r="P339" s="3">
        <f>IF(RAW_DATA!K339&gt;=RAW_DATA!H339,20,ROUND((RAW_DATA!K339/RAW_DATA!H339)*20,0))</f>
        <v>20</v>
      </c>
      <c r="Q339" s="3">
        <f>IF(RAW_DATA!L339="No",5,0)</f>
        <v>5</v>
      </c>
      <c r="R339" s="3">
        <f t="shared" si="33"/>
        <v>73</v>
      </c>
      <c r="S339" s="3">
        <f t="shared" si="34"/>
        <v>73</v>
      </c>
      <c r="T339" s="3" t="str">
        <f t="shared" si="35"/>
        <v>Not Scored - Ineligible</v>
      </c>
    </row>
    <row r="340" spans="1:20" x14ac:dyDescent="0.25">
      <c r="A340" s="3" t="str">
        <f>RAW_DATA!A340</f>
        <v>APP339</v>
      </c>
      <c r="B340" s="3" t="b">
        <f>AND(RAW_DATA!B340&gt;=21,RAW_DATA!B340&lt;=60)</f>
        <v>1</v>
      </c>
      <c r="C340" s="3" t="b">
        <f>RAW_DATA!C340&gt;=300000</f>
        <v>1</v>
      </c>
      <c r="D340" s="3" t="b">
        <f>RAW_DATA!F340&gt;=650</f>
        <v>0</v>
      </c>
      <c r="E340" s="3" t="b">
        <f>RAW_DATA!E340&gt;=1</f>
        <v>1</v>
      </c>
      <c r="F340" s="3" t="b">
        <f>RAW_DATA!L340="No"</f>
        <v>0</v>
      </c>
      <c r="G340" s="3" t="b">
        <f t="shared" si="30"/>
        <v>0</v>
      </c>
      <c r="H340" s="3" t="str">
        <f t="shared" si="31"/>
        <v>INELIGIBLE</v>
      </c>
      <c r="I340" s="3" t="str">
        <f t="shared" si="32"/>
        <v>Credit Score, Defaulter History</v>
      </c>
      <c r="K340" s="3" cm="1">
        <f t="array" ref="K3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0" s="5">
        <f>IF(RAW_DATA!C340&lt;300000,0,IF(RAW_DATA!C340&lt;600000,5,IF(RAW_DATA!C340&lt;1200000,15,IF(RAW_DATA!C340&lt;2000000,20,25))))</f>
        <v>20</v>
      </c>
      <c r="M340" s="3">
        <f>IF(RAW_DATA!E340&lt;1,0,IF(RAW_DATA!E340&lt;3,3,IF(RAW_DATA!E340&lt;5,5,IF(RAW_DATA!E340&lt;10,8,10))))</f>
        <v>10</v>
      </c>
      <c r="N340" s="3">
        <f>IF(RAW_DATA!F340&lt;650,0,IF(RAW_DATA!F340&lt;700,8,IF(RAW_DATA!F340&lt;750,15,IF(RAW_DATA!F340&lt;800,20,25))))</f>
        <v>0</v>
      </c>
      <c r="O340" s="3">
        <f>IF(RAW_DATA!G340=0,5,IF(RAW_DATA!G340=1,4,IF(RAW_DATA!G340=2,3,IF(RAW_DATA!G340=3,2,IF(RAW_DATA!G340=4,1,0)))))</f>
        <v>0</v>
      </c>
      <c r="P340" s="3">
        <f>IF(RAW_DATA!K340&gt;=RAW_DATA!H340,20,ROUND((RAW_DATA!K340/RAW_DATA!H340)*20,0))</f>
        <v>20</v>
      </c>
      <c r="Q340" s="3">
        <f>IF(RAW_DATA!L340="No",5,0)</f>
        <v>0</v>
      </c>
      <c r="R340" s="3">
        <f t="shared" si="33"/>
        <v>60</v>
      </c>
      <c r="S340" s="3">
        <f t="shared" si="34"/>
        <v>60</v>
      </c>
      <c r="T340" s="3" t="str">
        <f t="shared" si="35"/>
        <v>Not Scored - Ineligible</v>
      </c>
    </row>
    <row r="341" spans="1:20" x14ac:dyDescent="0.25">
      <c r="A341" s="3" t="str">
        <f>RAW_DATA!A341</f>
        <v>APP340</v>
      </c>
      <c r="B341" s="3" t="b">
        <f>AND(RAW_DATA!B341&gt;=21,RAW_DATA!B341&lt;=60)</f>
        <v>1</v>
      </c>
      <c r="C341" s="3" t="b">
        <f>RAW_DATA!C341&gt;=300000</f>
        <v>1</v>
      </c>
      <c r="D341" s="3" t="b">
        <f>RAW_DATA!F341&gt;=650</f>
        <v>0</v>
      </c>
      <c r="E341" s="3" t="b">
        <f>RAW_DATA!E341&gt;=1</f>
        <v>1</v>
      </c>
      <c r="F341" s="3" t="b">
        <f>RAW_DATA!L341="No"</f>
        <v>1</v>
      </c>
      <c r="G341" s="3" t="b">
        <f t="shared" si="30"/>
        <v>0</v>
      </c>
      <c r="H341" s="3" t="str">
        <f t="shared" si="31"/>
        <v>INELIGIBLE</v>
      </c>
      <c r="I341" s="3" t="str">
        <f t="shared" si="32"/>
        <v>Credit Score</v>
      </c>
      <c r="K341" s="3" cm="1">
        <f t="array" ref="K3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1" s="5">
        <f>IF(RAW_DATA!C341&lt;300000,0,IF(RAW_DATA!C341&lt;600000,5,IF(RAW_DATA!C341&lt;1200000,15,IF(RAW_DATA!C341&lt;2000000,20,25))))</f>
        <v>20</v>
      </c>
      <c r="M341" s="3">
        <f>IF(RAW_DATA!E341&lt;1,0,IF(RAW_DATA!E341&lt;3,3,IF(RAW_DATA!E341&lt;5,5,IF(RAW_DATA!E341&lt;10,8,10))))</f>
        <v>10</v>
      </c>
      <c r="N341" s="3">
        <f>IF(RAW_DATA!F341&lt;650,0,IF(RAW_DATA!F341&lt;700,8,IF(RAW_DATA!F341&lt;750,15,IF(RAW_DATA!F341&lt;800,20,25))))</f>
        <v>0</v>
      </c>
      <c r="O341" s="3">
        <f>IF(RAW_DATA!G341=0,5,IF(RAW_DATA!G341=1,4,IF(RAW_DATA!G341=2,3,IF(RAW_DATA!G341=3,2,IF(RAW_DATA!G341=4,1,0)))))</f>
        <v>3</v>
      </c>
      <c r="P341" s="3">
        <f>IF(RAW_DATA!K341&gt;=RAW_DATA!H341,20,ROUND((RAW_DATA!K341/RAW_DATA!H341)*20,0))</f>
        <v>20</v>
      </c>
      <c r="Q341" s="3">
        <f>IF(RAW_DATA!L341="No",5,0)</f>
        <v>5</v>
      </c>
      <c r="R341" s="3">
        <f t="shared" si="33"/>
        <v>66</v>
      </c>
      <c r="S341" s="3">
        <f t="shared" si="34"/>
        <v>66</v>
      </c>
      <c r="T341" s="3" t="str">
        <f t="shared" si="35"/>
        <v>Not Scored - Ineligible</v>
      </c>
    </row>
    <row r="342" spans="1:20" x14ac:dyDescent="0.25">
      <c r="A342" s="3" t="str">
        <f>RAW_DATA!A342</f>
        <v>APP341</v>
      </c>
      <c r="B342" s="3" t="b">
        <f>AND(RAW_DATA!B342&gt;=21,RAW_DATA!B342&lt;=60)</f>
        <v>1</v>
      </c>
      <c r="C342" s="3" t="b">
        <f>RAW_DATA!C342&gt;=300000</f>
        <v>1</v>
      </c>
      <c r="D342" s="3" t="b">
        <f>RAW_DATA!F342&gt;=650</f>
        <v>0</v>
      </c>
      <c r="E342" s="3" t="b">
        <f>RAW_DATA!E342&gt;=1</f>
        <v>1</v>
      </c>
      <c r="F342" s="3" t="b">
        <f>RAW_DATA!L342="No"</f>
        <v>1</v>
      </c>
      <c r="G342" s="3" t="b">
        <f t="shared" si="30"/>
        <v>0</v>
      </c>
      <c r="H342" s="3" t="str">
        <f t="shared" si="31"/>
        <v>INELIGIBLE</v>
      </c>
      <c r="I342" s="3" t="str">
        <f t="shared" si="32"/>
        <v>Credit Score</v>
      </c>
      <c r="K342" s="3" cm="1">
        <f t="array" ref="K3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2" s="5">
        <f>IF(RAW_DATA!C342&lt;300000,0,IF(RAW_DATA!C342&lt;600000,5,IF(RAW_DATA!C342&lt;1200000,15,IF(RAW_DATA!C342&lt;2000000,20,25))))</f>
        <v>15</v>
      </c>
      <c r="M342" s="3">
        <f>IF(RAW_DATA!E342&lt;1,0,IF(RAW_DATA!E342&lt;3,3,IF(RAW_DATA!E342&lt;5,5,IF(RAW_DATA!E342&lt;10,8,10))))</f>
        <v>10</v>
      </c>
      <c r="N342" s="3">
        <f>IF(RAW_DATA!F342&lt;650,0,IF(RAW_DATA!F342&lt;700,8,IF(RAW_DATA!F342&lt;750,15,IF(RAW_DATA!F342&lt;800,20,25))))</f>
        <v>0</v>
      </c>
      <c r="O342" s="3">
        <f>IF(RAW_DATA!G342=0,5,IF(RAW_DATA!G342=1,4,IF(RAW_DATA!G342=2,3,IF(RAW_DATA!G342=3,2,IF(RAW_DATA!G342=4,1,0)))))</f>
        <v>4</v>
      </c>
      <c r="P342" s="3">
        <f>IF(RAW_DATA!K342&gt;=RAW_DATA!H342,20,ROUND((RAW_DATA!K342/RAW_DATA!H342)*20,0))</f>
        <v>20</v>
      </c>
      <c r="Q342" s="3">
        <f>IF(RAW_DATA!L342="No",5,0)</f>
        <v>5</v>
      </c>
      <c r="R342" s="3">
        <f t="shared" si="33"/>
        <v>64</v>
      </c>
      <c r="S342" s="3">
        <f t="shared" si="34"/>
        <v>64</v>
      </c>
      <c r="T342" s="3" t="str">
        <f t="shared" si="35"/>
        <v>Not Scored - Ineligible</v>
      </c>
    </row>
    <row r="343" spans="1:20" x14ac:dyDescent="0.25">
      <c r="A343" s="3" t="str">
        <f>RAW_DATA!A343</f>
        <v>APP342</v>
      </c>
      <c r="B343" s="3" t="b">
        <f>AND(RAW_DATA!B343&gt;=21,RAW_DATA!B343&lt;=60)</f>
        <v>1</v>
      </c>
      <c r="C343" s="3" t="b">
        <f>RAW_DATA!C343&gt;=300000</f>
        <v>1</v>
      </c>
      <c r="D343" s="3" t="b">
        <f>RAW_DATA!F343&gt;=650</f>
        <v>0</v>
      </c>
      <c r="E343" s="3" t="b">
        <f>RAW_DATA!E343&gt;=1</f>
        <v>1</v>
      </c>
      <c r="F343" s="3" t="b">
        <f>RAW_DATA!L343="No"</f>
        <v>1</v>
      </c>
      <c r="G343" s="3" t="b">
        <f t="shared" si="30"/>
        <v>0</v>
      </c>
      <c r="H343" s="3" t="str">
        <f t="shared" si="31"/>
        <v>INELIGIBLE</v>
      </c>
      <c r="I343" s="3" t="str">
        <f t="shared" si="32"/>
        <v>Credit Score</v>
      </c>
      <c r="K343" s="3" cm="1">
        <f t="array" ref="K3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3" s="5">
        <f>IF(RAW_DATA!C343&lt;300000,0,IF(RAW_DATA!C343&lt;600000,5,IF(RAW_DATA!C343&lt;1200000,15,IF(RAW_DATA!C343&lt;2000000,20,25))))</f>
        <v>15</v>
      </c>
      <c r="M343" s="3">
        <f>IF(RAW_DATA!E343&lt;1,0,IF(RAW_DATA!E343&lt;3,3,IF(RAW_DATA!E343&lt;5,5,IF(RAW_DATA!E343&lt;10,8,10))))</f>
        <v>5</v>
      </c>
      <c r="N343" s="3">
        <f>IF(RAW_DATA!F343&lt;650,0,IF(RAW_DATA!F343&lt;700,8,IF(RAW_DATA!F343&lt;750,15,IF(RAW_DATA!F343&lt;800,20,25))))</f>
        <v>0</v>
      </c>
      <c r="O343" s="3">
        <f>IF(RAW_DATA!G343=0,5,IF(RAW_DATA!G343=1,4,IF(RAW_DATA!G343=2,3,IF(RAW_DATA!G343=3,2,IF(RAW_DATA!G343=4,1,0)))))</f>
        <v>1</v>
      </c>
      <c r="P343" s="3">
        <f>IF(RAW_DATA!K343&gt;=RAW_DATA!H343,20,ROUND((RAW_DATA!K343/RAW_DATA!H343)*20,0))</f>
        <v>20</v>
      </c>
      <c r="Q343" s="3">
        <f>IF(RAW_DATA!L343="No",5,0)</f>
        <v>5</v>
      </c>
      <c r="R343" s="3">
        <f t="shared" si="33"/>
        <v>52</v>
      </c>
      <c r="S343" s="3">
        <f t="shared" si="34"/>
        <v>52</v>
      </c>
      <c r="T343" s="3" t="str">
        <f t="shared" si="35"/>
        <v>Not Scored - Ineligible</v>
      </c>
    </row>
    <row r="344" spans="1:20" x14ac:dyDescent="0.25">
      <c r="A344" s="3" t="str">
        <f>RAW_DATA!A344</f>
        <v>APP343</v>
      </c>
      <c r="B344" s="3" t="b">
        <f>AND(RAW_DATA!B344&gt;=21,RAW_DATA!B344&lt;=60)</f>
        <v>1</v>
      </c>
      <c r="C344" s="3" t="b">
        <f>RAW_DATA!C344&gt;=300000</f>
        <v>1</v>
      </c>
      <c r="D344" s="3" t="b">
        <f>RAW_DATA!F344&gt;=650</f>
        <v>0</v>
      </c>
      <c r="E344" s="3" t="b">
        <f>RAW_DATA!E344&gt;=1</f>
        <v>1</v>
      </c>
      <c r="F344" s="3" t="b">
        <f>RAW_DATA!L344="No"</f>
        <v>1</v>
      </c>
      <c r="G344" s="3" t="b">
        <f t="shared" si="30"/>
        <v>0</v>
      </c>
      <c r="H344" s="3" t="str">
        <f t="shared" si="31"/>
        <v>INELIGIBLE</v>
      </c>
      <c r="I344" s="3" t="str">
        <f t="shared" si="32"/>
        <v>Credit Score</v>
      </c>
      <c r="K344" s="3" cm="1">
        <f t="array" ref="K3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4" s="5">
        <f>IF(RAW_DATA!C344&lt;300000,0,IF(RAW_DATA!C344&lt;600000,5,IF(RAW_DATA!C344&lt;1200000,15,IF(RAW_DATA!C344&lt;2000000,20,25))))</f>
        <v>5</v>
      </c>
      <c r="M344" s="3">
        <f>IF(RAW_DATA!E344&lt;1,0,IF(RAW_DATA!E344&lt;3,3,IF(RAW_DATA!E344&lt;5,5,IF(RAW_DATA!E344&lt;10,8,10))))</f>
        <v>8</v>
      </c>
      <c r="N344" s="3">
        <f>IF(RAW_DATA!F344&lt;650,0,IF(RAW_DATA!F344&lt;700,8,IF(RAW_DATA!F344&lt;750,15,IF(RAW_DATA!F344&lt;800,20,25))))</f>
        <v>0</v>
      </c>
      <c r="O344" s="3">
        <f>IF(RAW_DATA!G344=0,5,IF(RAW_DATA!G344=1,4,IF(RAW_DATA!G344=2,3,IF(RAW_DATA!G344=3,2,IF(RAW_DATA!G344=4,1,0)))))</f>
        <v>3</v>
      </c>
      <c r="P344" s="3">
        <f>IF(RAW_DATA!K344&gt;=RAW_DATA!H344,20,ROUND((RAW_DATA!K344/RAW_DATA!H344)*20,0))</f>
        <v>20</v>
      </c>
      <c r="Q344" s="3">
        <f>IF(RAW_DATA!L344="No",5,0)</f>
        <v>5</v>
      </c>
      <c r="R344" s="3">
        <f t="shared" si="33"/>
        <v>48</v>
      </c>
      <c r="S344" s="3">
        <f t="shared" si="34"/>
        <v>48</v>
      </c>
      <c r="T344" s="3" t="str">
        <f t="shared" si="35"/>
        <v>Not Scored - Ineligible</v>
      </c>
    </row>
    <row r="345" spans="1:20" x14ac:dyDescent="0.25">
      <c r="A345" s="3" t="str">
        <f>RAW_DATA!A345</f>
        <v>APP344</v>
      </c>
      <c r="B345" s="3" t="b">
        <f>AND(RAW_DATA!B345&gt;=21,RAW_DATA!B345&lt;=60)</f>
        <v>1</v>
      </c>
      <c r="C345" s="3" t="b">
        <f>RAW_DATA!C345&gt;=300000</f>
        <v>1</v>
      </c>
      <c r="D345" s="3" t="b">
        <f>RAW_DATA!F345&gt;=650</f>
        <v>1</v>
      </c>
      <c r="E345" s="3" t="b">
        <f>RAW_DATA!E345&gt;=1</f>
        <v>1</v>
      </c>
      <c r="F345" s="3" t="b">
        <f>RAW_DATA!L345="No"</f>
        <v>1</v>
      </c>
      <c r="G345" s="3" t="b">
        <f t="shared" si="30"/>
        <v>1</v>
      </c>
      <c r="H345" s="3" t="str">
        <f t="shared" si="31"/>
        <v>ELIGIBLE</v>
      </c>
      <c r="I345" s="3" t="str">
        <f t="shared" si="32"/>
        <v/>
      </c>
      <c r="K345" s="3" cm="1">
        <f t="array" ref="K3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5" s="5">
        <f>IF(RAW_DATA!C345&lt;300000,0,IF(RAW_DATA!C345&lt;600000,5,IF(RAW_DATA!C345&lt;1200000,15,IF(RAW_DATA!C345&lt;2000000,20,25))))</f>
        <v>20</v>
      </c>
      <c r="M345" s="3">
        <f>IF(RAW_DATA!E345&lt;1,0,IF(RAW_DATA!E345&lt;3,3,IF(RAW_DATA!E345&lt;5,5,IF(RAW_DATA!E345&lt;10,8,10))))</f>
        <v>10</v>
      </c>
      <c r="N345" s="3">
        <f>IF(RAW_DATA!F345&lt;650,0,IF(RAW_DATA!F345&lt;700,8,IF(RAW_DATA!F345&lt;750,15,IF(RAW_DATA!F345&lt;800,20,25))))</f>
        <v>25</v>
      </c>
      <c r="O345" s="3">
        <f>IF(RAW_DATA!G345=0,5,IF(RAW_DATA!G345=1,4,IF(RAW_DATA!G345=2,3,IF(RAW_DATA!G345=3,2,IF(RAW_DATA!G345=4,1,0)))))</f>
        <v>4</v>
      </c>
      <c r="P345" s="3">
        <f>IF(RAW_DATA!K345&gt;=RAW_DATA!H345,20,ROUND((RAW_DATA!K345/RAW_DATA!H345)*20,0))</f>
        <v>1</v>
      </c>
      <c r="Q345" s="3">
        <f>IF(RAW_DATA!L345="No",5,0)</f>
        <v>5</v>
      </c>
      <c r="R345" s="3">
        <f t="shared" si="33"/>
        <v>71</v>
      </c>
      <c r="S345" s="3">
        <f t="shared" si="34"/>
        <v>71</v>
      </c>
      <c r="T345" s="3" t="str">
        <f t="shared" si="35"/>
        <v>Strong</v>
      </c>
    </row>
    <row r="346" spans="1:20" x14ac:dyDescent="0.25">
      <c r="A346" s="3" t="str">
        <f>RAW_DATA!A346</f>
        <v>APP345</v>
      </c>
      <c r="B346" s="3" t="b">
        <f>AND(RAW_DATA!B346&gt;=21,RAW_DATA!B346&lt;=60)</f>
        <v>1</v>
      </c>
      <c r="C346" s="3" t="b">
        <f>RAW_DATA!C346&gt;=300000</f>
        <v>1</v>
      </c>
      <c r="D346" s="3" t="b">
        <f>RAW_DATA!F346&gt;=650</f>
        <v>1</v>
      </c>
      <c r="E346" s="3" t="b">
        <f>RAW_DATA!E346&gt;=1</f>
        <v>1</v>
      </c>
      <c r="F346" s="3" t="b">
        <f>RAW_DATA!L346="No"</f>
        <v>1</v>
      </c>
      <c r="G346" s="3" t="b">
        <f t="shared" si="30"/>
        <v>1</v>
      </c>
      <c r="H346" s="3" t="str">
        <f t="shared" si="31"/>
        <v>ELIGIBLE</v>
      </c>
      <c r="I346" s="3" t="str">
        <f t="shared" si="32"/>
        <v/>
      </c>
      <c r="K346" s="3" cm="1">
        <f t="array" ref="K3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6" s="5">
        <f>IF(RAW_DATA!C346&lt;300000,0,IF(RAW_DATA!C346&lt;600000,5,IF(RAW_DATA!C346&lt;1200000,15,IF(RAW_DATA!C346&lt;2000000,20,25))))</f>
        <v>20</v>
      </c>
      <c r="M346" s="3">
        <f>IF(RAW_DATA!E346&lt;1,0,IF(RAW_DATA!E346&lt;3,3,IF(RAW_DATA!E346&lt;5,5,IF(RAW_DATA!E346&lt;10,8,10))))</f>
        <v>10</v>
      </c>
      <c r="N346" s="3">
        <f>IF(RAW_DATA!F346&lt;650,0,IF(RAW_DATA!F346&lt;700,8,IF(RAW_DATA!F346&lt;750,15,IF(RAW_DATA!F346&lt;800,20,25))))</f>
        <v>8</v>
      </c>
      <c r="O346" s="3">
        <f>IF(RAW_DATA!G346=0,5,IF(RAW_DATA!G346=1,4,IF(RAW_DATA!G346=2,3,IF(RAW_DATA!G346=3,2,IF(RAW_DATA!G346=4,1,0)))))</f>
        <v>2</v>
      </c>
      <c r="P346" s="3">
        <f>IF(RAW_DATA!K346&gt;=RAW_DATA!H346,20,ROUND((RAW_DATA!K346/RAW_DATA!H346)*20,0))</f>
        <v>20</v>
      </c>
      <c r="Q346" s="3">
        <f>IF(RAW_DATA!L346="No",5,0)</f>
        <v>5</v>
      </c>
      <c r="R346" s="3">
        <f t="shared" si="33"/>
        <v>73</v>
      </c>
      <c r="S346" s="3">
        <f t="shared" si="34"/>
        <v>73</v>
      </c>
      <c r="T346" s="3" t="str">
        <f t="shared" si="35"/>
        <v>Strong</v>
      </c>
    </row>
    <row r="347" spans="1:20" x14ac:dyDescent="0.25">
      <c r="A347" s="3" t="str">
        <f>RAW_DATA!A347</f>
        <v>APP346</v>
      </c>
      <c r="B347" s="3" t="b">
        <f>AND(RAW_DATA!B347&gt;=21,RAW_DATA!B347&lt;=60)</f>
        <v>1</v>
      </c>
      <c r="C347" s="3" t="b">
        <f>RAW_DATA!C347&gt;=300000</f>
        <v>1</v>
      </c>
      <c r="D347" s="3" t="b">
        <f>RAW_DATA!F347&gt;=650</f>
        <v>0</v>
      </c>
      <c r="E347" s="3" t="b">
        <f>RAW_DATA!E347&gt;=1</f>
        <v>1</v>
      </c>
      <c r="F347" s="3" t="b">
        <f>RAW_DATA!L347="No"</f>
        <v>1</v>
      </c>
      <c r="G347" s="3" t="b">
        <f t="shared" si="30"/>
        <v>0</v>
      </c>
      <c r="H347" s="3" t="str">
        <f t="shared" si="31"/>
        <v>INELIGIBLE</v>
      </c>
      <c r="I347" s="3" t="str">
        <f t="shared" si="32"/>
        <v>Credit Score</v>
      </c>
      <c r="K347" s="3" cm="1">
        <f t="array" ref="K3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47" s="5">
        <f>IF(RAW_DATA!C347&lt;300000,0,IF(RAW_DATA!C347&lt;600000,5,IF(RAW_DATA!C347&lt;1200000,15,IF(RAW_DATA!C347&lt;2000000,20,25))))</f>
        <v>25</v>
      </c>
      <c r="M347" s="3">
        <f>IF(RAW_DATA!E347&lt;1,0,IF(RAW_DATA!E347&lt;3,3,IF(RAW_DATA!E347&lt;5,5,IF(RAW_DATA!E347&lt;10,8,10))))</f>
        <v>10</v>
      </c>
      <c r="N347" s="3">
        <f>IF(RAW_DATA!F347&lt;650,0,IF(RAW_DATA!F347&lt;700,8,IF(RAW_DATA!F347&lt;750,15,IF(RAW_DATA!F347&lt;800,20,25))))</f>
        <v>0</v>
      </c>
      <c r="O347" s="3">
        <f>IF(RAW_DATA!G347=0,5,IF(RAW_DATA!G347=1,4,IF(RAW_DATA!G347=2,3,IF(RAW_DATA!G347=3,2,IF(RAW_DATA!G347=4,1,0)))))</f>
        <v>3</v>
      </c>
      <c r="P347" s="3">
        <f>IF(RAW_DATA!K347&gt;=RAW_DATA!H347,20,ROUND((RAW_DATA!K347/RAW_DATA!H347)*20,0))</f>
        <v>20</v>
      </c>
      <c r="Q347" s="3">
        <f>IF(RAW_DATA!L347="No",5,0)</f>
        <v>5</v>
      </c>
      <c r="R347" s="3">
        <f t="shared" si="33"/>
        <v>67</v>
      </c>
      <c r="S347" s="3">
        <f t="shared" si="34"/>
        <v>67</v>
      </c>
      <c r="T347" s="3" t="str">
        <f t="shared" si="35"/>
        <v>Not Scored - Ineligible</v>
      </c>
    </row>
    <row r="348" spans="1:20" x14ac:dyDescent="0.25">
      <c r="A348" s="3" t="str">
        <f>RAW_DATA!A348</f>
        <v>APP347</v>
      </c>
      <c r="B348" s="3" t="b">
        <f>AND(RAW_DATA!B348&gt;=21,RAW_DATA!B348&lt;=60)</f>
        <v>0</v>
      </c>
      <c r="C348" s="3" t="b">
        <f>RAW_DATA!C348&gt;=300000</f>
        <v>1</v>
      </c>
      <c r="D348" s="3" t="b">
        <f>RAW_DATA!F348&gt;=650</f>
        <v>1</v>
      </c>
      <c r="E348" s="3" t="b">
        <f>RAW_DATA!E348&gt;=1</f>
        <v>1</v>
      </c>
      <c r="F348" s="3" t="b">
        <f>RAW_DATA!L348="No"</f>
        <v>0</v>
      </c>
      <c r="G348" s="3" t="b">
        <f t="shared" si="30"/>
        <v>0</v>
      </c>
      <c r="H348" s="3" t="str">
        <f t="shared" si="31"/>
        <v>INELIGIBLE</v>
      </c>
      <c r="I348" s="3" t="str">
        <f t="shared" si="32"/>
        <v>Age, Defaulter History</v>
      </c>
      <c r="K348" s="3" cm="1">
        <f t="array" ref="K3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48" s="5">
        <f>IF(RAW_DATA!C348&lt;300000,0,IF(RAW_DATA!C348&lt;600000,5,IF(RAW_DATA!C348&lt;1200000,15,IF(RAW_DATA!C348&lt;2000000,20,25))))</f>
        <v>15</v>
      </c>
      <c r="M348" s="3">
        <f>IF(RAW_DATA!E348&lt;1,0,IF(RAW_DATA!E348&lt;3,3,IF(RAW_DATA!E348&lt;5,5,IF(RAW_DATA!E348&lt;10,8,10))))</f>
        <v>10</v>
      </c>
      <c r="N348" s="3">
        <f>IF(RAW_DATA!F348&lt;650,0,IF(RAW_DATA!F348&lt;700,8,IF(RAW_DATA!F348&lt;750,15,IF(RAW_DATA!F348&lt;800,20,25))))</f>
        <v>25</v>
      </c>
      <c r="O348" s="3">
        <f>IF(RAW_DATA!G348=0,5,IF(RAW_DATA!G348=1,4,IF(RAW_DATA!G348=2,3,IF(RAW_DATA!G348=3,2,IF(RAW_DATA!G348=4,1,0)))))</f>
        <v>1</v>
      </c>
      <c r="P348" s="3">
        <f>IF(RAW_DATA!K348&gt;=RAW_DATA!H348,20,ROUND((RAW_DATA!K348/RAW_DATA!H348)*20,0))</f>
        <v>20</v>
      </c>
      <c r="Q348" s="3">
        <f>IF(RAW_DATA!L348="No",5,0)</f>
        <v>0</v>
      </c>
      <c r="R348" s="3">
        <f t="shared" si="33"/>
        <v>71</v>
      </c>
      <c r="S348" s="3">
        <f t="shared" si="34"/>
        <v>71</v>
      </c>
      <c r="T348" s="3" t="str">
        <f t="shared" si="35"/>
        <v>Not Scored - Ineligible</v>
      </c>
    </row>
    <row r="349" spans="1:20" x14ac:dyDescent="0.25">
      <c r="A349" s="3" t="str">
        <f>RAW_DATA!A349</f>
        <v>APP348</v>
      </c>
      <c r="B349" s="3" t="b">
        <f>AND(RAW_DATA!B349&gt;=21,RAW_DATA!B349&lt;=60)</f>
        <v>1</v>
      </c>
      <c r="C349" s="3" t="b">
        <f>RAW_DATA!C349&gt;=300000</f>
        <v>1</v>
      </c>
      <c r="D349" s="3" t="b">
        <f>RAW_DATA!F349&gt;=650</f>
        <v>0</v>
      </c>
      <c r="E349" s="3" t="b">
        <f>RAW_DATA!E349&gt;=1</f>
        <v>1</v>
      </c>
      <c r="F349" s="3" t="b">
        <f>RAW_DATA!L349="No"</f>
        <v>1</v>
      </c>
      <c r="G349" s="3" t="b">
        <f t="shared" si="30"/>
        <v>0</v>
      </c>
      <c r="H349" s="3" t="str">
        <f t="shared" si="31"/>
        <v>INELIGIBLE</v>
      </c>
      <c r="I349" s="3" t="str">
        <f t="shared" si="32"/>
        <v>Credit Score</v>
      </c>
      <c r="K349" s="3" cm="1">
        <f t="array" ref="K3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9" s="5">
        <f>IF(RAW_DATA!C349&lt;300000,0,IF(RAW_DATA!C349&lt;600000,5,IF(RAW_DATA!C349&lt;1200000,15,IF(RAW_DATA!C349&lt;2000000,20,25))))</f>
        <v>20</v>
      </c>
      <c r="M349" s="3">
        <f>IF(RAW_DATA!E349&lt;1,0,IF(RAW_DATA!E349&lt;3,3,IF(RAW_DATA!E349&lt;5,5,IF(RAW_DATA!E349&lt;10,8,10))))</f>
        <v>10</v>
      </c>
      <c r="N349" s="3">
        <f>IF(RAW_DATA!F349&lt;650,0,IF(RAW_DATA!F349&lt;700,8,IF(RAW_DATA!F349&lt;750,15,IF(RAW_DATA!F349&lt;800,20,25))))</f>
        <v>0</v>
      </c>
      <c r="O349" s="3">
        <f>IF(RAW_DATA!G349=0,5,IF(RAW_DATA!G349=1,4,IF(RAW_DATA!G349=2,3,IF(RAW_DATA!G349=3,2,IF(RAW_DATA!G349=4,1,0)))))</f>
        <v>0</v>
      </c>
      <c r="P349" s="3">
        <f>IF(RAW_DATA!K349&gt;=RAW_DATA!H349,20,ROUND((RAW_DATA!K349/RAW_DATA!H349)*20,0))</f>
        <v>20</v>
      </c>
      <c r="Q349" s="3">
        <f>IF(RAW_DATA!L349="No",5,0)</f>
        <v>5</v>
      </c>
      <c r="R349" s="3">
        <f t="shared" si="33"/>
        <v>62</v>
      </c>
      <c r="S349" s="3">
        <f t="shared" si="34"/>
        <v>62</v>
      </c>
      <c r="T349" s="3" t="str">
        <f t="shared" si="35"/>
        <v>Not Scored - Ineligible</v>
      </c>
    </row>
    <row r="350" spans="1:20" x14ac:dyDescent="0.25">
      <c r="A350" s="3" t="str">
        <f>RAW_DATA!A350</f>
        <v>APP349</v>
      </c>
      <c r="B350" s="3" t="b">
        <f>AND(RAW_DATA!B350&gt;=21,RAW_DATA!B350&lt;=60)</f>
        <v>1</v>
      </c>
      <c r="C350" s="3" t="b">
        <f>RAW_DATA!C350&gt;=300000</f>
        <v>1</v>
      </c>
      <c r="D350" s="3" t="b">
        <f>RAW_DATA!F350&gt;=650</f>
        <v>1</v>
      </c>
      <c r="E350" s="3" t="b">
        <f>RAW_DATA!E350&gt;=1</f>
        <v>1</v>
      </c>
      <c r="F350" s="3" t="b">
        <f>RAW_DATA!L350="No"</f>
        <v>1</v>
      </c>
      <c r="G350" s="3" t="b">
        <f t="shared" si="30"/>
        <v>1</v>
      </c>
      <c r="H350" s="3" t="str">
        <f t="shared" si="31"/>
        <v>ELIGIBLE</v>
      </c>
      <c r="I350" s="3" t="str">
        <f t="shared" si="32"/>
        <v/>
      </c>
      <c r="K350" s="3" cm="1">
        <f t="array" ref="K3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0" s="5">
        <f>IF(RAW_DATA!C350&lt;300000,0,IF(RAW_DATA!C350&lt;600000,5,IF(RAW_DATA!C350&lt;1200000,15,IF(RAW_DATA!C350&lt;2000000,20,25))))</f>
        <v>5</v>
      </c>
      <c r="M350" s="3">
        <f>IF(RAW_DATA!E350&lt;1,0,IF(RAW_DATA!E350&lt;3,3,IF(RAW_DATA!E350&lt;5,5,IF(RAW_DATA!E350&lt;10,8,10))))</f>
        <v>10</v>
      </c>
      <c r="N350" s="3">
        <f>IF(RAW_DATA!F350&lt;650,0,IF(RAW_DATA!F350&lt;700,8,IF(RAW_DATA!F350&lt;750,15,IF(RAW_DATA!F350&lt;800,20,25))))</f>
        <v>15</v>
      </c>
      <c r="O350" s="3">
        <f>IF(RAW_DATA!G350=0,5,IF(RAW_DATA!G350=1,4,IF(RAW_DATA!G350=2,3,IF(RAW_DATA!G350=3,2,IF(RAW_DATA!G350=4,1,0)))))</f>
        <v>0</v>
      </c>
      <c r="P350" s="3">
        <f>IF(RAW_DATA!K350&gt;=RAW_DATA!H350,20,ROUND((RAW_DATA!K350/RAW_DATA!H350)*20,0))</f>
        <v>20</v>
      </c>
      <c r="Q350" s="3">
        <f>IF(RAW_DATA!L350="No",5,0)</f>
        <v>5</v>
      </c>
      <c r="R350" s="3">
        <f t="shared" si="33"/>
        <v>61</v>
      </c>
      <c r="S350" s="3">
        <f t="shared" si="34"/>
        <v>61</v>
      </c>
      <c r="T350" s="3" t="str">
        <f t="shared" si="35"/>
        <v>Moderate</v>
      </c>
    </row>
    <row r="351" spans="1:20" x14ac:dyDescent="0.25">
      <c r="A351" s="3" t="str">
        <f>RAW_DATA!A351</f>
        <v>APP350</v>
      </c>
      <c r="B351" s="3" t="b">
        <f>AND(RAW_DATA!B351&gt;=21,RAW_DATA!B351&lt;=60)</f>
        <v>1</v>
      </c>
      <c r="C351" s="3" t="b">
        <f>RAW_DATA!C351&gt;=300000</f>
        <v>1</v>
      </c>
      <c r="D351" s="3" t="b">
        <f>RAW_DATA!F351&gt;=650</f>
        <v>0</v>
      </c>
      <c r="E351" s="3" t="b">
        <f>RAW_DATA!E351&gt;=1</f>
        <v>1</v>
      </c>
      <c r="F351" s="3" t="b">
        <f>RAW_DATA!L351="No"</f>
        <v>1</v>
      </c>
      <c r="G351" s="3" t="b">
        <f t="shared" si="30"/>
        <v>0</v>
      </c>
      <c r="H351" s="3" t="str">
        <f t="shared" si="31"/>
        <v>INELIGIBLE</v>
      </c>
      <c r="I351" s="3" t="str">
        <f t="shared" si="32"/>
        <v>Credit Score</v>
      </c>
      <c r="K351" s="3" cm="1">
        <f t="array" ref="K3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1" s="5">
        <f>IF(RAW_DATA!C351&lt;300000,0,IF(RAW_DATA!C351&lt;600000,5,IF(RAW_DATA!C351&lt;1200000,15,IF(RAW_DATA!C351&lt;2000000,20,25))))</f>
        <v>25</v>
      </c>
      <c r="M351" s="3">
        <f>IF(RAW_DATA!E351&lt;1,0,IF(RAW_DATA!E351&lt;3,3,IF(RAW_DATA!E351&lt;5,5,IF(RAW_DATA!E351&lt;10,8,10))))</f>
        <v>8</v>
      </c>
      <c r="N351" s="3">
        <f>IF(RAW_DATA!F351&lt;650,0,IF(RAW_DATA!F351&lt;700,8,IF(RAW_DATA!F351&lt;750,15,IF(RAW_DATA!F351&lt;800,20,25))))</f>
        <v>0</v>
      </c>
      <c r="O351" s="3">
        <f>IF(RAW_DATA!G351=0,5,IF(RAW_DATA!G351=1,4,IF(RAW_DATA!G351=2,3,IF(RAW_DATA!G351=3,2,IF(RAW_DATA!G351=4,1,0)))))</f>
        <v>1</v>
      </c>
      <c r="P351" s="3">
        <f>IF(RAW_DATA!K351&gt;=RAW_DATA!H351,20,ROUND((RAW_DATA!K351/RAW_DATA!H351)*20,0))</f>
        <v>20</v>
      </c>
      <c r="Q351" s="3">
        <f>IF(RAW_DATA!L351="No",5,0)</f>
        <v>5</v>
      </c>
      <c r="R351" s="3">
        <f t="shared" si="33"/>
        <v>66</v>
      </c>
      <c r="S351" s="3">
        <f t="shared" si="34"/>
        <v>66</v>
      </c>
      <c r="T351" s="3" t="str">
        <f t="shared" si="35"/>
        <v>Not Scored - Ineligible</v>
      </c>
    </row>
    <row r="352" spans="1:20" x14ac:dyDescent="0.25">
      <c r="A352" s="3" t="str">
        <f>RAW_DATA!A352</f>
        <v>APP351</v>
      </c>
      <c r="B352" s="3" t="b">
        <f>AND(RAW_DATA!B352&gt;=21,RAW_DATA!B352&lt;=60)</f>
        <v>1</v>
      </c>
      <c r="C352" s="3" t="b">
        <f>RAW_DATA!C352&gt;=300000</f>
        <v>1</v>
      </c>
      <c r="D352" s="3" t="b">
        <f>RAW_DATA!F352&gt;=650</f>
        <v>0</v>
      </c>
      <c r="E352" s="3" t="b">
        <f>RAW_DATA!E352&gt;=1</f>
        <v>1</v>
      </c>
      <c r="F352" s="3" t="b">
        <f>RAW_DATA!L352="No"</f>
        <v>1</v>
      </c>
      <c r="G352" s="3" t="b">
        <f t="shared" si="30"/>
        <v>0</v>
      </c>
      <c r="H352" s="3" t="str">
        <f t="shared" si="31"/>
        <v>INELIGIBLE</v>
      </c>
      <c r="I352" s="3" t="str">
        <f t="shared" si="32"/>
        <v>Credit Score</v>
      </c>
      <c r="K352" s="3" cm="1">
        <f t="array" ref="K3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2" s="5">
        <f>IF(RAW_DATA!C352&lt;300000,0,IF(RAW_DATA!C352&lt;600000,5,IF(RAW_DATA!C352&lt;1200000,15,IF(RAW_DATA!C352&lt;2000000,20,25))))</f>
        <v>20</v>
      </c>
      <c r="M352" s="3">
        <f>IF(RAW_DATA!E352&lt;1,0,IF(RAW_DATA!E352&lt;3,3,IF(RAW_DATA!E352&lt;5,5,IF(RAW_DATA!E352&lt;10,8,10))))</f>
        <v>10</v>
      </c>
      <c r="N352" s="3">
        <f>IF(RAW_DATA!F352&lt;650,0,IF(RAW_DATA!F352&lt;700,8,IF(RAW_DATA!F352&lt;750,15,IF(RAW_DATA!F352&lt;800,20,25))))</f>
        <v>0</v>
      </c>
      <c r="O352" s="3">
        <f>IF(RAW_DATA!G352=0,5,IF(RAW_DATA!G352=1,4,IF(RAW_DATA!G352=2,3,IF(RAW_DATA!G352=3,2,IF(RAW_DATA!G352=4,1,0)))))</f>
        <v>3</v>
      </c>
      <c r="P352" s="3">
        <f>IF(RAW_DATA!K352&gt;=RAW_DATA!H352,20,ROUND((RAW_DATA!K352/RAW_DATA!H352)*20,0))</f>
        <v>20</v>
      </c>
      <c r="Q352" s="3">
        <f>IF(RAW_DATA!L352="No",5,0)</f>
        <v>5</v>
      </c>
      <c r="R352" s="3">
        <f t="shared" si="33"/>
        <v>68</v>
      </c>
      <c r="S352" s="3">
        <f t="shared" si="34"/>
        <v>68</v>
      </c>
      <c r="T352" s="3" t="str">
        <f t="shared" si="35"/>
        <v>Not Scored - Ineligible</v>
      </c>
    </row>
    <row r="353" spans="1:20" x14ac:dyDescent="0.25">
      <c r="A353" s="3" t="str">
        <f>RAW_DATA!A353</f>
        <v>APP352</v>
      </c>
      <c r="B353" s="3" t="b">
        <f>AND(RAW_DATA!B353&gt;=21,RAW_DATA!B353&lt;=60)</f>
        <v>1</v>
      </c>
      <c r="C353" s="3" t="b">
        <f>RAW_DATA!C353&gt;=300000</f>
        <v>1</v>
      </c>
      <c r="D353" s="3" t="b">
        <f>RAW_DATA!F353&gt;=650</f>
        <v>0</v>
      </c>
      <c r="E353" s="3" t="b">
        <f>RAW_DATA!E353&gt;=1</f>
        <v>1</v>
      </c>
      <c r="F353" s="3" t="b">
        <f>RAW_DATA!L353="No"</f>
        <v>1</v>
      </c>
      <c r="G353" s="3" t="b">
        <f t="shared" si="30"/>
        <v>0</v>
      </c>
      <c r="H353" s="3" t="str">
        <f t="shared" si="31"/>
        <v>INELIGIBLE</v>
      </c>
      <c r="I353" s="3" t="str">
        <f t="shared" si="32"/>
        <v>Credit Score</v>
      </c>
      <c r="K353" s="3" cm="1">
        <f t="array" ref="K3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3" s="5">
        <f>IF(RAW_DATA!C353&lt;300000,0,IF(RAW_DATA!C353&lt;600000,5,IF(RAW_DATA!C353&lt;1200000,15,IF(RAW_DATA!C353&lt;2000000,20,25))))</f>
        <v>15</v>
      </c>
      <c r="M353" s="3">
        <f>IF(RAW_DATA!E353&lt;1,0,IF(RAW_DATA!E353&lt;3,3,IF(RAW_DATA!E353&lt;5,5,IF(RAW_DATA!E353&lt;10,8,10))))</f>
        <v>8</v>
      </c>
      <c r="N353" s="3">
        <f>IF(RAW_DATA!F353&lt;650,0,IF(RAW_DATA!F353&lt;700,8,IF(RAW_DATA!F353&lt;750,15,IF(RAW_DATA!F353&lt;800,20,25))))</f>
        <v>0</v>
      </c>
      <c r="O353" s="3">
        <f>IF(RAW_DATA!G353=0,5,IF(RAW_DATA!G353=1,4,IF(RAW_DATA!G353=2,3,IF(RAW_DATA!G353=3,2,IF(RAW_DATA!G353=4,1,0)))))</f>
        <v>0</v>
      </c>
      <c r="P353" s="3">
        <f>IF(RAW_DATA!K353&gt;=RAW_DATA!H353,20,ROUND((RAW_DATA!K353/RAW_DATA!H353)*20,0))</f>
        <v>20</v>
      </c>
      <c r="Q353" s="3">
        <f>IF(RAW_DATA!L353="No",5,0)</f>
        <v>5</v>
      </c>
      <c r="R353" s="3">
        <f t="shared" si="33"/>
        <v>55</v>
      </c>
      <c r="S353" s="3">
        <f t="shared" si="34"/>
        <v>55</v>
      </c>
      <c r="T353" s="3" t="str">
        <f t="shared" si="35"/>
        <v>Not Scored - Ineligible</v>
      </c>
    </row>
    <row r="354" spans="1:20" x14ac:dyDescent="0.25">
      <c r="A354" s="3" t="str">
        <f>RAW_DATA!A354</f>
        <v>APP353</v>
      </c>
      <c r="B354" s="3" t="b">
        <f>AND(RAW_DATA!B354&gt;=21,RAW_DATA!B354&lt;=60)</f>
        <v>1</v>
      </c>
      <c r="C354" s="3" t="b">
        <f>RAW_DATA!C354&gt;=300000</f>
        <v>1</v>
      </c>
      <c r="D354" s="3" t="b">
        <f>RAW_DATA!F354&gt;=650</f>
        <v>0</v>
      </c>
      <c r="E354" s="3" t="b">
        <f>RAW_DATA!E354&gt;=1</f>
        <v>1</v>
      </c>
      <c r="F354" s="3" t="b">
        <f>RAW_DATA!L354="No"</f>
        <v>1</v>
      </c>
      <c r="G354" s="3" t="b">
        <f t="shared" si="30"/>
        <v>0</v>
      </c>
      <c r="H354" s="3" t="str">
        <f t="shared" si="31"/>
        <v>INELIGIBLE</v>
      </c>
      <c r="I354" s="3" t="str">
        <f t="shared" si="32"/>
        <v>Credit Score</v>
      </c>
      <c r="K354" s="3" cm="1">
        <f t="array" ref="K3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4" s="5">
        <f>IF(RAW_DATA!C354&lt;300000,0,IF(RAW_DATA!C354&lt;600000,5,IF(RAW_DATA!C354&lt;1200000,15,IF(RAW_DATA!C354&lt;2000000,20,25))))</f>
        <v>15</v>
      </c>
      <c r="M354" s="3">
        <f>IF(RAW_DATA!E354&lt;1,0,IF(RAW_DATA!E354&lt;3,3,IF(RAW_DATA!E354&lt;5,5,IF(RAW_DATA!E354&lt;10,8,10))))</f>
        <v>10</v>
      </c>
      <c r="N354" s="3">
        <f>IF(RAW_DATA!F354&lt;650,0,IF(RAW_DATA!F354&lt;700,8,IF(RAW_DATA!F354&lt;750,15,IF(RAW_DATA!F354&lt;800,20,25))))</f>
        <v>0</v>
      </c>
      <c r="O354" s="3">
        <f>IF(RAW_DATA!G354=0,5,IF(RAW_DATA!G354=1,4,IF(RAW_DATA!G354=2,3,IF(RAW_DATA!G354=3,2,IF(RAW_DATA!G354=4,1,0)))))</f>
        <v>4</v>
      </c>
      <c r="P354" s="3">
        <f>IF(RAW_DATA!K354&gt;=RAW_DATA!H354,20,ROUND((RAW_DATA!K354/RAW_DATA!H354)*20,0))</f>
        <v>20</v>
      </c>
      <c r="Q354" s="3">
        <f>IF(RAW_DATA!L354="No",5,0)</f>
        <v>5</v>
      </c>
      <c r="R354" s="3">
        <f t="shared" si="33"/>
        <v>64</v>
      </c>
      <c r="S354" s="3">
        <f t="shared" si="34"/>
        <v>64</v>
      </c>
      <c r="T354" s="3" t="str">
        <f t="shared" si="35"/>
        <v>Not Scored - Ineligible</v>
      </c>
    </row>
    <row r="355" spans="1:20" x14ac:dyDescent="0.25">
      <c r="A355" s="3" t="str">
        <f>RAW_DATA!A355</f>
        <v>APP354</v>
      </c>
      <c r="B355" s="3" t="b">
        <f>AND(RAW_DATA!B355&gt;=21,RAW_DATA!B355&lt;=60)</f>
        <v>1</v>
      </c>
      <c r="C355" s="3" t="b">
        <f>RAW_DATA!C355&gt;=300000</f>
        <v>1</v>
      </c>
      <c r="D355" s="3" t="b">
        <f>RAW_DATA!F355&gt;=650</f>
        <v>1</v>
      </c>
      <c r="E355" s="3" t="b">
        <f>RAW_DATA!E355&gt;=1</f>
        <v>1</v>
      </c>
      <c r="F355" s="3" t="b">
        <f>RAW_DATA!L355="No"</f>
        <v>1</v>
      </c>
      <c r="G355" s="3" t="b">
        <f t="shared" si="30"/>
        <v>1</v>
      </c>
      <c r="H355" s="3" t="str">
        <f t="shared" si="31"/>
        <v>ELIGIBLE</v>
      </c>
      <c r="I355" s="3" t="str">
        <f t="shared" si="32"/>
        <v/>
      </c>
      <c r="K355" s="3" cm="1">
        <f t="array" ref="K3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5" s="5">
        <f>IF(RAW_DATA!C355&lt;300000,0,IF(RAW_DATA!C355&lt;600000,5,IF(RAW_DATA!C355&lt;1200000,15,IF(RAW_DATA!C355&lt;2000000,20,25))))</f>
        <v>15</v>
      </c>
      <c r="M355" s="3">
        <f>IF(RAW_DATA!E355&lt;1,0,IF(RAW_DATA!E355&lt;3,3,IF(RAW_DATA!E355&lt;5,5,IF(RAW_DATA!E355&lt;10,8,10))))</f>
        <v>8</v>
      </c>
      <c r="N355" s="3">
        <f>IF(RAW_DATA!F355&lt;650,0,IF(RAW_DATA!F355&lt;700,8,IF(RAW_DATA!F355&lt;750,15,IF(RAW_DATA!F355&lt;800,20,25))))</f>
        <v>20</v>
      </c>
      <c r="O355" s="3">
        <f>IF(RAW_DATA!G355=0,5,IF(RAW_DATA!G355=1,4,IF(RAW_DATA!G355=2,3,IF(RAW_DATA!G355=3,2,IF(RAW_DATA!G355=4,1,0)))))</f>
        <v>4</v>
      </c>
      <c r="P355" s="3">
        <f>IF(RAW_DATA!K355&gt;=RAW_DATA!H355,20,ROUND((RAW_DATA!K355/RAW_DATA!H355)*20,0))</f>
        <v>20</v>
      </c>
      <c r="Q355" s="3">
        <f>IF(RAW_DATA!L355="No",5,0)</f>
        <v>5</v>
      </c>
      <c r="R355" s="3">
        <f t="shared" si="33"/>
        <v>78</v>
      </c>
      <c r="S355" s="3">
        <f t="shared" si="34"/>
        <v>78</v>
      </c>
      <c r="T355" s="3" t="str">
        <f t="shared" si="35"/>
        <v>Strong</v>
      </c>
    </row>
    <row r="356" spans="1:20" x14ac:dyDescent="0.25">
      <c r="A356" s="3" t="str">
        <f>RAW_DATA!A356</f>
        <v>APP355</v>
      </c>
      <c r="B356" s="3" t="b">
        <f>AND(RAW_DATA!B356&gt;=21,RAW_DATA!B356&lt;=60)</f>
        <v>1</v>
      </c>
      <c r="C356" s="3" t="b">
        <f>RAW_DATA!C356&gt;=300000</f>
        <v>1</v>
      </c>
      <c r="D356" s="3" t="b">
        <f>RAW_DATA!F356&gt;=650</f>
        <v>1</v>
      </c>
      <c r="E356" s="3" t="b">
        <f>RAW_DATA!E356&gt;=1</f>
        <v>1</v>
      </c>
      <c r="F356" s="3" t="b">
        <f>RAW_DATA!L356="No"</f>
        <v>1</v>
      </c>
      <c r="G356" s="3" t="b">
        <f t="shared" si="30"/>
        <v>1</v>
      </c>
      <c r="H356" s="3" t="str">
        <f t="shared" si="31"/>
        <v>ELIGIBLE</v>
      </c>
      <c r="I356" s="3" t="str">
        <f t="shared" si="32"/>
        <v/>
      </c>
      <c r="K356" s="3" cm="1">
        <f t="array" ref="K3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6" s="5">
        <f>IF(RAW_DATA!C356&lt;300000,0,IF(RAW_DATA!C356&lt;600000,5,IF(RAW_DATA!C356&lt;1200000,15,IF(RAW_DATA!C356&lt;2000000,20,25))))</f>
        <v>15</v>
      </c>
      <c r="M356" s="3">
        <f>IF(RAW_DATA!E356&lt;1,0,IF(RAW_DATA!E356&lt;3,3,IF(RAW_DATA!E356&lt;5,5,IF(RAW_DATA!E356&lt;10,8,10))))</f>
        <v>8</v>
      </c>
      <c r="N356" s="3">
        <f>IF(RAW_DATA!F356&lt;650,0,IF(RAW_DATA!F356&lt;700,8,IF(RAW_DATA!F356&lt;750,15,IF(RAW_DATA!F356&lt;800,20,25))))</f>
        <v>8</v>
      </c>
      <c r="O356" s="3">
        <f>IF(RAW_DATA!G356=0,5,IF(RAW_DATA!G356=1,4,IF(RAW_DATA!G356=2,3,IF(RAW_DATA!G356=3,2,IF(RAW_DATA!G356=4,1,0)))))</f>
        <v>2</v>
      </c>
      <c r="P356" s="3">
        <f>IF(RAW_DATA!K356&gt;=RAW_DATA!H356,20,ROUND((RAW_DATA!K356/RAW_DATA!H356)*20,0))</f>
        <v>20</v>
      </c>
      <c r="Q356" s="3">
        <f>IF(RAW_DATA!L356="No",5,0)</f>
        <v>5</v>
      </c>
      <c r="R356" s="3">
        <f t="shared" si="33"/>
        <v>68</v>
      </c>
      <c r="S356" s="3">
        <f t="shared" si="34"/>
        <v>68</v>
      </c>
      <c r="T356" s="3" t="str">
        <f t="shared" si="35"/>
        <v>Moderate</v>
      </c>
    </row>
    <row r="357" spans="1:20" x14ac:dyDescent="0.25">
      <c r="A357" s="3" t="str">
        <f>RAW_DATA!A357</f>
        <v>APP356</v>
      </c>
      <c r="B357" s="3" t="b">
        <f>AND(RAW_DATA!B357&gt;=21,RAW_DATA!B357&lt;=60)</f>
        <v>1</v>
      </c>
      <c r="C357" s="3" t="b">
        <f>RAW_DATA!C357&gt;=300000</f>
        <v>1</v>
      </c>
      <c r="D357" s="3" t="b">
        <f>RAW_DATA!F357&gt;=650</f>
        <v>1</v>
      </c>
      <c r="E357" s="3" t="b">
        <f>RAW_DATA!E357&gt;=1</f>
        <v>1</v>
      </c>
      <c r="F357" s="3" t="b">
        <f>RAW_DATA!L357="No"</f>
        <v>1</v>
      </c>
      <c r="G357" s="3" t="b">
        <f t="shared" si="30"/>
        <v>1</v>
      </c>
      <c r="H357" s="3" t="str">
        <f t="shared" si="31"/>
        <v>ELIGIBLE</v>
      </c>
      <c r="I357" s="3" t="str">
        <f t="shared" si="32"/>
        <v/>
      </c>
      <c r="K357" s="3" cm="1">
        <f t="array" ref="K3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7" s="5">
        <f>IF(RAW_DATA!C357&lt;300000,0,IF(RAW_DATA!C357&lt;600000,5,IF(RAW_DATA!C357&lt;1200000,15,IF(RAW_DATA!C357&lt;2000000,20,25))))</f>
        <v>25</v>
      </c>
      <c r="M357" s="3">
        <f>IF(RAW_DATA!E357&lt;1,0,IF(RAW_DATA!E357&lt;3,3,IF(RAW_DATA!E357&lt;5,5,IF(RAW_DATA!E357&lt;10,8,10))))</f>
        <v>10</v>
      </c>
      <c r="N357" s="3">
        <f>IF(RAW_DATA!F357&lt;650,0,IF(RAW_DATA!F357&lt;700,8,IF(RAW_DATA!F357&lt;750,15,IF(RAW_DATA!F357&lt;800,20,25))))</f>
        <v>20</v>
      </c>
      <c r="O357" s="3">
        <f>IF(RAW_DATA!G357=0,5,IF(RAW_DATA!G357=1,4,IF(RAW_DATA!G357=2,3,IF(RAW_DATA!G357=3,2,IF(RAW_DATA!G357=4,1,0)))))</f>
        <v>1</v>
      </c>
      <c r="P357" s="3">
        <f>IF(RAW_DATA!K357&gt;=RAW_DATA!H357,20,ROUND((RAW_DATA!K357/RAW_DATA!H357)*20,0))</f>
        <v>20</v>
      </c>
      <c r="Q357" s="3">
        <f>IF(RAW_DATA!L357="No",5,0)</f>
        <v>5</v>
      </c>
      <c r="R357" s="3">
        <f t="shared" si="33"/>
        <v>88</v>
      </c>
      <c r="S357" s="3">
        <f t="shared" si="34"/>
        <v>88</v>
      </c>
      <c r="T357" s="3" t="str">
        <f t="shared" si="35"/>
        <v>Strong</v>
      </c>
    </row>
    <row r="358" spans="1:20" x14ac:dyDescent="0.25">
      <c r="A358" s="3" t="str">
        <f>RAW_DATA!A358</f>
        <v>APP357</v>
      </c>
      <c r="B358" s="3" t="b">
        <f>AND(RAW_DATA!B358&gt;=21,RAW_DATA!B358&lt;=60)</f>
        <v>1</v>
      </c>
      <c r="C358" s="3" t="b">
        <f>RAW_DATA!C358&gt;=300000</f>
        <v>1</v>
      </c>
      <c r="D358" s="3" t="b">
        <f>RAW_DATA!F358&gt;=650</f>
        <v>1</v>
      </c>
      <c r="E358" s="3" t="b">
        <f>RAW_DATA!E358&gt;=1</f>
        <v>1</v>
      </c>
      <c r="F358" s="3" t="b">
        <f>RAW_DATA!L358="No"</f>
        <v>1</v>
      </c>
      <c r="G358" s="3" t="b">
        <f t="shared" si="30"/>
        <v>1</v>
      </c>
      <c r="H358" s="3" t="str">
        <f t="shared" si="31"/>
        <v>ELIGIBLE</v>
      </c>
      <c r="I358" s="3" t="str">
        <f t="shared" si="32"/>
        <v/>
      </c>
      <c r="K358" s="3" cm="1">
        <f t="array" ref="K3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8" s="5">
        <f>IF(RAW_DATA!C358&lt;300000,0,IF(RAW_DATA!C358&lt;600000,5,IF(RAW_DATA!C358&lt;1200000,15,IF(RAW_DATA!C358&lt;2000000,20,25))))</f>
        <v>15</v>
      </c>
      <c r="M358" s="3">
        <f>IF(RAW_DATA!E358&lt;1,0,IF(RAW_DATA!E358&lt;3,3,IF(RAW_DATA!E358&lt;5,5,IF(RAW_DATA!E358&lt;10,8,10))))</f>
        <v>10</v>
      </c>
      <c r="N358" s="3">
        <f>IF(RAW_DATA!F358&lt;650,0,IF(RAW_DATA!F358&lt;700,8,IF(RAW_DATA!F358&lt;750,15,IF(RAW_DATA!F358&lt;800,20,25))))</f>
        <v>8</v>
      </c>
      <c r="O358" s="3">
        <f>IF(RAW_DATA!G358=0,5,IF(RAW_DATA!G358=1,4,IF(RAW_DATA!G358=2,3,IF(RAW_DATA!G358=3,2,IF(RAW_DATA!G358=4,1,0)))))</f>
        <v>5</v>
      </c>
      <c r="P358" s="3">
        <f>IF(RAW_DATA!K358&gt;=RAW_DATA!H358,20,ROUND((RAW_DATA!K358/RAW_DATA!H358)*20,0))</f>
        <v>20</v>
      </c>
      <c r="Q358" s="3">
        <f>IF(RAW_DATA!L358="No",5,0)</f>
        <v>5</v>
      </c>
      <c r="R358" s="3">
        <f t="shared" si="33"/>
        <v>71</v>
      </c>
      <c r="S358" s="3">
        <f t="shared" si="34"/>
        <v>71</v>
      </c>
      <c r="T358" s="3" t="str">
        <f t="shared" si="35"/>
        <v>Strong</v>
      </c>
    </row>
    <row r="359" spans="1:20" x14ac:dyDescent="0.25">
      <c r="A359" s="3" t="str">
        <f>RAW_DATA!A359</f>
        <v>APP358</v>
      </c>
      <c r="B359" s="3" t="b">
        <f>AND(RAW_DATA!B359&gt;=21,RAW_DATA!B359&lt;=60)</f>
        <v>1</v>
      </c>
      <c r="C359" s="3" t="b">
        <f>RAW_DATA!C359&gt;=300000</f>
        <v>1</v>
      </c>
      <c r="D359" s="3" t="b">
        <f>RAW_DATA!F359&gt;=650</f>
        <v>0</v>
      </c>
      <c r="E359" s="3" t="b">
        <f>RAW_DATA!E359&gt;=1</f>
        <v>0</v>
      </c>
      <c r="F359" s="3" t="b">
        <f>RAW_DATA!L359="No"</f>
        <v>1</v>
      </c>
      <c r="G359" s="3" t="b">
        <f t="shared" si="30"/>
        <v>0</v>
      </c>
      <c r="H359" s="3" t="str">
        <f t="shared" si="31"/>
        <v>INELIGIBLE</v>
      </c>
      <c r="I359" s="3" t="str">
        <f t="shared" si="32"/>
        <v>Credit Score, Employment</v>
      </c>
      <c r="K359" s="3" cm="1">
        <f t="array" ref="K3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9" s="5">
        <f>IF(RAW_DATA!C359&lt;300000,0,IF(RAW_DATA!C359&lt;600000,5,IF(RAW_DATA!C359&lt;1200000,15,IF(RAW_DATA!C359&lt;2000000,20,25))))</f>
        <v>25</v>
      </c>
      <c r="M359" s="3">
        <f>IF(RAW_DATA!E359&lt;1,0,IF(RAW_DATA!E359&lt;3,3,IF(RAW_DATA!E359&lt;5,5,IF(RAW_DATA!E359&lt;10,8,10))))</f>
        <v>0</v>
      </c>
      <c r="N359" s="3">
        <f>IF(RAW_DATA!F359&lt;650,0,IF(RAW_DATA!F359&lt;700,8,IF(RAW_DATA!F359&lt;750,15,IF(RAW_DATA!F359&lt;800,20,25))))</f>
        <v>0</v>
      </c>
      <c r="O359" s="3">
        <f>IF(RAW_DATA!G359=0,5,IF(RAW_DATA!G359=1,4,IF(RAW_DATA!G359=2,3,IF(RAW_DATA!G359=3,2,IF(RAW_DATA!G359=4,1,0)))))</f>
        <v>1</v>
      </c>
      <c r="P359" s="3">
        <f>IF(RAW_DATA!K359&gt;=RAW_DATA!H359,20,ROUND((RAW_DATA!K359/RAW_DATA!H359)*20,0))</f>
        <v>20</v>
      </c>
      <c r="Q359" s="3">
        <f>IF(RAW_DATA!L359="No",5,0)</f>
        <v>5</v>
      </c>
      <c r="R359" s="3">
        <f t="shared" si="33"/>
        <v>59</v>
      </c>
      <c r="S359" s="3">
        <f t="shared" si="34"/>
        <v>59</v>
      </c>
      <c r="T359" s="3" t="str">
        <f t="shared" si="35"/>
        <v>Not Scored - Ineligible</v>
      </c>
    </row>
    <row r="360" spans="1:20" x14ac:dyDescent="0.25">
      <c r="A360" s="3" t="str">
        <f>RAW_DATA!A360</f>
        <v>APP359</v>
      </c>
      <c r="B360" s="3" t="b">
        <f>AND(RAW_DATA!B360&gt;=21,RAW_DATA!B360&lt;=60)</f>
        <v>1</v>
      </c>
      <c r="C360" s="3" t="b">
        <f>RAW_DATA!C360&gt;=300000</f>
        <v>1</v>
      </c>
      <c r="D360" s="3" t="b">
        <f>RAW_DATA!F360&gt;=650</f>
        <v>0</v>
      </c>
      <c r="E360" s="3" t="b">
        <f>RAW_DATA!E360&gt;=1</f>
        <v>1</v>
      </c>
      <c r="F360" s="3" t="b">
        <f>RAW_DATA!L360="No"</f>
        <v>1</v>
      </c>
      <c r="G360" s="3" t="b">
        <f t="shared" si="30"/>
        <v>0</v>
      </c>
      <c r="H360" s="3" t="str">
        <f t="shared" si="31"/>
        <v>INELIGIBLE</v>
      </c>
      <c r="I360" s="3" t="str">
        <f t="shared" si="32"/>
        <v>Credit Score</v>
      </c>
      <c r="K360" s="3" cm="1">
        <f t="array" ref="K3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0" s="5">
        <f>IF(RAW_DATA!C360&lt;300000,0,IF(RAW_DATA!C360&lt;600000,5,IF(RAW_DATA!C360&lt;1200000,15,IF(RAW_DATA!C360&lt;2000000,20,25))))</f>
        <v>15</v>
      </c>
      <c r="M360" s="3">
        <f>IF(RAW_DATA!E360&lt;1,0,IF(RAW_DATA!E360&lt;3,3,IF(RAW_DATA!E360&lt;5,5,IF(RAW_DATA!E360&lt;10,8,10))))</f>
        <v>10</v>
      </c>
      <c r="N360" s="3">
        <f>IF(RAW_DATA!F360&lt;650,0,IF(RAW_DATA!F360&lt;700,8,IF(RAW_DATA!F360&lt;750,15,IF(RAW_DATA!F360&lt;800,20,25))))</f>
        <v>0</v>
      </c>
      <c r="O360" s="3">
        <f>IF(RAW_DATA!G360=0,5,IF(RAW_DATA!G360=1,4,IF(RAW_DATA!G360=2,3,IF(RAW_DATA!G360=3,2,IF(RAW_DATA!G360=4,1,0)))))</f>
        <v>0</v>
      </c>
      <c r="P360" s="3">
        <f>IF(RAW_DATA!K360&gt;=RAW_DATA!H360,20,ROUND((RAW_DATA!K360/RAW_DATA!H360)*20,0))</f>
        <v>20</v>
      </c>
      <c r="Q360" s="3">
        <f>IF(RAW_DATA!L360="No",5,0)</f>
        <v>5</v>
      </c>
      <c r="R360" s="3">
        <f t="shared" si="33"/>
        <v>54</v>
      </c>
      <c r="S360" s="3">
        <f t="shared" si="34"/>
        <v>54</v>
      </c>
      <c r="T360" s="3" t="str">
        <f t="shared" si="35"/>
        <v>Not Scored - Ineligible</v>
      </c>
    </row>
    <row r="361" spans="1:20" x14ac:dyDescent="0.25">
      <c r="A361" s="3" t="str">
        <f>RAW_DATA!A361</f>
        <v>APP360</v>
      </c>
      <c r="B361" s="3" t="b">
        <f>AND(RAW_DATA!B361&gt;=21,RAW_DATA!B361&lt;=60)</f>
        <v>1</v>
      </c>
      <c r="C361" s="3" t="b">
        <f>RAW_DATA!C361&gt;=300000</f>
        <v>1</v>
      </c>
      <c r="D361" s="3" t="b">
        <f>RAW_DATA!F361&gt;=650</f>
        <v>0</v>
      </c>
      <c r="E361" s="3" t="b">
        <f>RAW_DATA!E361&gt;=1</f>
        <v>1</v>
      </c>
      <c r="F361" s="3" t="b">
        <f>RAW_DATA!L361="No"</f>
        <v>1</v>
      </c>
      <c r="G361" s="3" t="b">
        <f t="shared" si="30"/>
        <v>0</v>
      </c>
      <c r="H361" s="3" t="str">
        <f t="shared" si="31"/>
        <v>INELIGIBLE</v>
      </c>
      <c r="I361" s="3" t="str">
        <f t="shared" si="32"/>
        <v>Credit Score</v>
      </c>
      <c r="K361" s="3" cm="1">
        <f t="array" ref="K3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1" s="5">
        <f>IF(RAW_DATA!C361&lt;300000,0,IF(RAW_DATA!C361&lt;600000,5,IF(RAW_DATA!C361&lt;1200000,15,IF(RAW_DATA!C361&lt;2000000,20,25))))</f>
        <v>15</v>
      </c>
      <c r="M361" s="3">
        <f>IF(RAW_DATA!E361&lt;1,0,IF(RAW_DATA!E361&lt;3,3,IF(RAW_DATA!E361&lt;5,5,IF(RAW_DATA!E361&lt;10,8,10))))</f>
        <v>10</v>
      </c>
      <c r="N361" s="3">
        <f>IF(RAW_DATA!F361&lt;650,0,IF(RAW_DATA!F361&lt;700,8,IF(RAW_DATA!F361&lt;750,15,IF(RAW_DATA!F361&lt;800,20,25))))</f>
        <v>0</v>
      </c>
      <c r="O361" s="3">
        <f>IF(RAW_DATA!G361=0,5,IF(RAW_DATA!G361=1,4,IF(RAW_DATA!G361=2,3,IF(RAW_DATA!G361=3,2,IF(RAW_DATA!G361=4,1,0)))))</f>
        <v>0</v>
      </c>
      <c r="P361" s="3">
        <f>IF(RAW_DATA!K361&gt;=RAW_DATA!H361,20,ROUND((RAW_DATA!K361/RAW_DATA!H361)*20,0))</f>
        <v>20</v>
      </c>
      <c r="Q361" s="3">
        <f>IF(RAW_DATA!L361="No",5,0)</f>
        <v>5</v>
      </c>
      <c r="R361" s="3">
        <f t="shared" si="33"/>
        <v>54</v>
      </c>
      <c r="S361" s="3">
        <f t="shared" si="34"/>
        <v>54</v>
      </c>
      <c r="T361" s="3" t="str">
        <f t="shared" si="35"/>
        <v>Not Scored - Ineligible</v>
      </c>
    </row>
    <row r="362" spans="1:20" x14ac:dyDescent="0.25">
      <c r="A362" s="3" t="str">
        <f>RAW_DATA!A362</f>
        <v>APP361</v>
      </c>
      <c r="B362" s="3" t="b">
        <f>AND(RAW_DATA!B362&gt;=21,RAW_DATA!B362&lt;=60)</f>
        <v>1</v>
      </c>
      <c r="C362" s="3" t="b">
        <f>RAW_DATA!C362&gt;=300000</f>
        <v>1</v>
      </c>
      <c r="D362" s="3" t="b">
        <f>RAW_DATA!F362&gt;=650</f>
        <v>1</v>
      </c>
      <c r="E362" s="3" t="b">
        <f>RAW_DATA!E362&gt;=1</f>
        <v>1</v>
      </c>
      <c r="F362" s="3" t="b">
        <f>RAW_DATA!L362="No"</f>
        <v>0</v>
      </c>
      <c r="G362" s="3" t="b">
        <f t="shared" si="30"/>
        <v>0</v>
      </c>
      <c r="H362" s="3" t="str">
        <f t="shared" si="31"/>
        <v>INELIGIBLE</v>
      </c>
      <c r="I362" s="3" t="str">
        <f t="shared" si="32"/>
        <v>Defaulter History</v>
      </c>
      <c r="K362" s="3" cm="1">
        <f t="array" ref="K3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2" s="5">
        <f>IF(RAW_DATA!C362&lt;300000,0,IF(RAW_DATA!C362&lt;600000,5,IF(RAW_DATA!C362&lt;1200000,15,IF(RAW_DATA!C362&lt;2000000,20,25))))</f>
        <v>5</v>
      </c>
      <c r="M362" s="3">
        <f>IF(RAW_DATA!E362&lt;1,0,IF(RAW_DATA!E362&lt;3,3,IF(RAW_DATA!E362&lt;5,5,IF(RAW_DATA!E362&lt;10,8,10))))</f>
        <v>10</v>
      </c>
      <c r="N362" s="3">
        <f>IF(RAW_DATA!F362&lt;650,0,IF(RAW_DATA!F362&lt;700,8,IF(RAW_DATA!F362&lt;750,15,IF(RAW_DATA!F362&lt;800,20,25))))</f>
        <v>25</v>
      </c>
      <c r="O362" s="3">
        <f>IF(RAW_DATA!G362=0,5,IF(RAW_DATA!G362=1,4,IF(RAW_DATA!G362=2,3,IF(RAW_DATA!G362=3,2,IF(RAW_DATA!G362=4,1,0)))))</f>
        <v>4</v>
      </c>
      <c r="P362" s="3">
        <f>IF(RAW_DATA!K362&gt;=RAW_DATA!H362,20,ROUND((RAW_DATA!K362/RAW_DATA!H362)*20,0))</f>
        <v>20</v>
      </c>
      <c r="Q362" s="3">
        <f>IF(RAW_DATA!L362="No",5,0)</f>
        <v>0</v>
      </c>
      <c r="R362" s="3">
        <f t="shared" si="33"/>
        <v>74</v>
      </c>
      <c r="S362" s="3">
        <f t="shared" si="34"/>
        <v>74</v>
      </c>
      <c r="T362" s="3" t="str">
        <f t="shared" si="35"/>
        <v>Not Scored - Ineligible</v>
      </c>
    </row>
    <row r="363" spans="1:20" x14ac:dyDescent="0.25">
      <c r="A363" s="3" t="str">
        <f>RAW_DATA!A363</f>
        <v>APP362</v>
      </c>
      <c r="B363" s="3" t="b">
        <f>AND(RAW_DATA!B363&gt;=21,RAW_DATA!B363&lt;=60)</f>
        <v>1</v>
      </c>
      <c r="C363" s="3" t="b">
        <f>RAW_DATA!C363&gt;=300000</f>
        <v>1</v>
      </c>
      <c r="D363" s="3" t="b">
        <f>RAW_DATA!F363&gt;=650</f>
        <v>0</v>
      </c>
      <c r="E363" s="3" t="b">
        <f>RAW_DATA!E363&gt;=1</f>
        <v>1</v>
      </c>
      <c r="F363" s="3" t="b">
        <f>RAW_DATA!L363="No"</f>
        <v>1</v>
      </c>
      <c r="G363" s="3" t="b">
        <f t="shared" si="30"/>
        <v>0</v>
      </c>
      <c r="H363" s="3" t="str">
        <f t="shared" si="31"/>
        <v>INELIGIBLE</v>
      </c>
      <c r="I363" s="3" t="str">
        <f t="shared" si="32"/>
        <v>Credit Score</v>
      </c>
      <c r="K363" s="3" cm="1">
        <f t="array" ref="K3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3" s="5">
        <f>IF(RAW_DATA!C363&lt;300000,0,IF(RAW_DATA!C363&lt;600000,5,IF(RAW_DATA!C363&lt;1200000,15,IF(RAW_DATA!C363&lt;2000000,20,25))))</f>
        <v>20</v>
      </c>
      <c r="M363" s="3">
        <f>IF(RAW_DATA!E363&lt;1,0,IF(RAW_DATA!E363&lt;3,3,IF(RAW_DATA!E363&lt;5,5,IF(RAW_DATA!E363&lt;10,8,10))))</f>
        <v>10</v>
      </c>
      <c r="N363" s="3">
        <f>IF(RAW_DATA!F363&lt;650,0,IF(RAW_DATA!F363&lt;700,8,IF(RAW_DATA!F363&lt;750,15,IF(RAW_DATA!F363&lt;800,20,25))))</f>
        <v>0</v>
      </c>
      <c r="O363" s="3">
        <f>IF(RAW_DATA!G363=0,5,IF(RAW_DATA!G363=1,4,IF(RAW_DATA!G363=2,3,IF(RAW_DATA!G363=3,2,IF(RAW_DATA!G363=4,1,0)))))</f>
        <v>1</v>
      </c>
      <c r="P363" s="3">
        <f>IF(RAW_DATA!K363&gt;=RAW_DATA!H363,20,ROUND((RAW_DATA!K363/RAW_DATA!H363)*20,0))</f>
        <v>20</v>
      </c>
      <c r="Q363" s="3">
        <f>IF(RAW_DATA!L363="No",5,0)</f>
        <v>5</v>
      </c>
      <c r="R363" s="3">
        <f t="shared" si="33"/>
        <v>66</v>
      </c>
      <c r="S363" s="3">
        <f t="shared" si="34"/>
        <v>66</v>
      </c>
      <c r="T363" s="3" t="str">
        <f t="shared" si="35"/>
        <v>Not Scored - Ineligible</v>
      </c>
    </row>
    <row r="364" spans="1:20" x14ac:dyDescent="0.25">
      <c r="A364" s="3" t="str">
        <f>RAW_DATA!A364</f>
        <v>APP363</v>
      </c>
      <c r="B364" s="3" t="b">
        <f>AND(RAW_DATA!B364&gt;=21,RAW_DATA!B364&lt;=60)</f>
        <v>1</v>
      </c>
      <c r="C364" s="3" t="b">
        <f>RAW_DATA!C364&gt;=300000</f>
        <v>1</v>
      </c>
      <c r="D364" s="3" t="b">
        <f>RAW_DATA!F364&gt;=650</f>
        <v>1</v>
      </c>
      <c r="E364" s="3" t="b">
        <f>RAW_DATA!E364&gt;=1</f>
        <v>1</v>
      </c>
      <c r="F364" s="3" t="b">
        <f>RAW_DATA!L364="No"</f>
        <v>1</v>
      </c>
      <c r="G364" s="3" t="b">
        <f t="shared" si="30"/>
        <v>1</v>
      </c>
      <c r="H364" s="3" t="str">
        <f t="shared" si="31"/>
        <v>ELIGIBLE</v>
      </c>
      <c r="I364" s="3" t="str">
        <f t="shared" si="32"/>
        <v/>
      </c>
      <c r="K364" s="3" cm="1">
        <f t="array" ref="K3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4" s="5">
        <f>IF(RAW_DATA!C364&lt;300000,0,IF(RAW_DATA!C364&lt;600000,5,IF(RAW_DATA!C364&lt;1200000,15,IF(RAW_DATA!C364&lt;2000000,20,25))))</f>
        <v>20</v>
      </c>
      <c r="M364" s="3">
        <f>IF(RAW_DATA!E364&lt;1,0,IF(RAW_DATA!E364&lt;3,3,IF(RAW_DATA!E364&lt;5,5,IF(RAW_DATA!E364&lt;10,8,10))))</f>
        <v>8</v>
      </c>
      <c r="N364" s="3">
        <f>IF(RAW_DATA!F364&lt;650,0,IF(RAW_DATA!F364&lt;700,8,IF(RAW_DATA!F364&lt;750,15,IF(RAW_DATA!F364&lt;800,20,25))))</f>
        <v>25</v>
      </c>
      <c r="O364" s="3">
        <f>IF(RAW_DATA!G364=0,5,IF(RAW_DATA!G364=1,4,IF(RAW_DATA!G364=2,3,IF(RAW_DATA!G364=3,2,IF(RAW_DATA!G364=4,1,0)))))</f>
        <v>4</v>
      </c>
      <c r="P364" s="3">
        <f>IF(RAW_DATA!K364&gt;=RAW_DATA!H364,20,ROUND((RAW_DATA!K364/RAW_DATA!H364)*20,0))</f>
        <v>20</v>
      </c>
      <c r="Q364" s="3">
        <f>IF(RAW_DATA!L364="No",5,0)</f>
        <v>5</v>
      </c>
      <c r="R364" s="3">
        <f t="shared" si="33"/>
        <v>92</v>
      </c>
      <c r="S364" s="3">
        <f t="shared" si="34"/>
        <v>92</v>
      </c>
      <c r="T364" s="3" t="str">
        <f t="shared" si="35"/>
        <v>Strong</v>
      </c>
    </row>
    <row r="365" spans="1:20" x14ac:dyDescent="0.25">
      <c r="A365" s="3" t="str">
        <f>RAW_DATA!A365</f>
        <v>APP364</v>
      </c>
      <c r="B365" s="3" t="b">
        <f>AND(RAW_DATA!B365&gt;=21,RAW_DATA!B365&lt;=60)</f>
        <v>1</v>
      </c>
      <c r="C365" s="3" t="b">
        <f>RAW_DATA!C365&gt;=300000</f>
        <v>1</v>
      </c>
      <c r="D365" s="3" t="b">
        <f>RAW_DATA!F365&gt;=650</f>
        <v>1</v>
      </c>
      <c r="E365" s="3" t="b">
        <f>RAW_DATA!E365&gt;=1</f>
        <v>1</v>
      </c>
      <c r="F365" s="3" t="b">
        <f>RAW_DATA!L365="No"</f>
        <v>0</v>
      </c>
      <c r="G365" s="3" t="b">
        <f t="shared" si="30"/>
        <v>0</v>
      </c>
      <c r="H365" s="3" t="str">
        <f t="shared" si="31"/>
        <v>INELIGIBLE</v>
      </c>
      <c r="I365" s="3" t="str">
        <f t="shared" si="32"/>
        <v>Defaulter History</v>
      </c>
      <c r="K365" s="3" cm="1">
        <f t="array" ref="K3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65" s="5">
        <f>IF(RAW_DATA!C365&lt;300000,0,IF(RAW_DATA!C365&lt;600000,5,IF(RAW_DATA!C365&lt;1200000,15,IF(RAW_DATA!C365&lt;2000000,20,25))))</f>
        <v>20</v>
      </c>
      <c r="M365" s="3">
        <f>IF(RAW_DATA!E365&lt;1,0,IF(RAW_DATA!E365&lt;3,3,IF(RAW_DATA!E365&lt;5,5,IF(RAW_DATA!E365&lt;10,8,10))))</f>
        <v>5</v>
      </c>
      <c r="N365" s="3">
        <f>IF(RAW_DATA!F365&lt;650,0,IF(RAW_DATA!F365&lt;700,8,IF(RAW_DATA!F365&lt;750,15,IF(RAW_DATA!F365&lt;800,20,25))))</f>
        <v>20</v>
      </c>
      <c r="O365" s="3">
        <f>IF(RAW_DATA!G365=0,5,IF(RAW_DATA!G365=1,4,IF(RAW_DATA!G365=2,3,IF(RAW_DATA!G365=3,2,IF(RAW_DATA!G365=4,1,0)))))</f>
        <v>3</v>
      </c>
      <c r="P365" s="3">
        <f>IF(RAW_DATA!K365&gt;=RAW_DATA!H365,20,ROUND((RAW_DATA!K365/RAW_DATA!H365)*20,0))</f>
        <v>20</v>
      </c>
      <c r="Q365" s="3">
        <f>IF(RAW_DATA!L365="No",5,0)</f>
        <v>0</v>
      </c>
      <c r="R365" s="3">
        <f t="shared" si="33"/>
        <v>75</v>
      </c>
      <c r="S365" s="3">
        <f t="shared" si="34"/>
        <v>75</v>
      </c>
      <c r="T365" s="3" t="str">
        <f t="shared" si="35"/>
        <v>Not Scored - Ineligible</v>
      </c>
    </row>
    <row r="366" spans="1:20" x14ac:dyDescent="0.25">
      <c r="A366" s="3" t="str">
        <f>RAW_DATA!A366</f>
        <v>APP365</v>
      </c>
      <c r="B366" s="3" t="b">
        <f>AND(RAW_DATA!B366&gt;=21,RAW_DATA!B366&lt;=60)</f>
        <v>0</v>
      </c>
      <c r="C366" s="3" t="b">
        <f>RAW_DATA!C366&gt;=300000</f>
        <v>1</v>
      </c>
      <c r="D366" s="3" t="b">
        <f>RAW_DATA!F366&gt;=650</f>
        <v>1</v>
      </c>
      <c r="E366" s="3" t="b">
        <f>RAW_DATA!E366&gt;=1</f>
        <v>1</v>
      </c>
      <c r="F366" s="3" t="b">
        <f>RAW_DATA!L366="No"</f>
        <v>1</v>
      </c>
      <c r="G366" s="3" t="b">
        <f t="shared" si="30"/>
        <v>0</v>
      </c>
      <c r="H366" s="3" t="str">
        <f t="shared" si="31"/>
        <v>INELIGIBLE</v>
      </c>
      <c r="I366" s="3" t="str">
        <f t="shared" si="32"/>
        <v>Age</v>
      </c>
      <c r="K366" s="3" cm="1">
        <f t="array" ref="K3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66" s="5">
        <f>IF(RAW_DATA!C366&lt;300000,0,IF(RAW_DATA!C366&lt;600000,5,IF(RAW_DATA!C366&lt;1200000,15,IF(RAW_DATA!C366&lt;2000000,20,25))))</f>
        <v>20</v>
      </c>
      <c r="M366" s="3">
        <f>IF(RAW_DATA!E366&lt;1,0,IF(RAW_DATA!E366&lt;3,3,IF(RAW_DATA!E366&lt;5,5,IF(RAW_DATA!E366&lt;10,8,10))))</f>
        <v>3</v>
      </c>
      <c r="N366" s="3">
        <f>IF(RAW_DATA!F366&lt;650,0,IF(RAW_DATA!F366&lt;700,8,IF(RAW_DATA!F366&lt;750,15,IF(RAW_DATA!F366&lt;800,20,25))))</f>
        <v>25</v>
      </c>
      <c r="O366" s="3">
        <f>IF(RAW_DATA!G366=0,5,IF(RAW_DATA!G366=1,4,IF(RAW_DATA!G366=2,3,IF(RAW_DATA!G366=3,2,IF(RAW_DATA!G366=4,1,0)))))</f>
        <v>4</v>
      </c>
      <c r="P366" s="3">
        <f>IF(RAW_DATA!K366&gt;=RAW_DATA!H366,20,ROUND((RAW_DATA!K366/RAW_DATA!H366)*20,0))</f>
        <v>20</v>
      </c>
      <c r="Q366" s="3">
        <f>IF(RAW_DATA!L366="No",5,0)</f>
        <v>5</v>
      </c>
      <c r="R366" s="3">
        <f t="shared" si="33"/>
        <v>77</v>
      </c>
      <c r="S366" s="3">
        <f t="shared" si="34"/>
        <v>77</v>
      </c>
      <c r="T366" s="3" t="str">
        <f t="shared" si="35"/>
        <v>Not Scored - Ineligible</v>
      </c>
    </row>
    <row r="367" spans="1:20" x14ac:dyDescent="0.25">
      <c r="A367" s="3" t="str">
        <f>RAW_DATA!A367</f>
        <v>APP366</v>
      </c>
      <c r="B367" s="3" t="b">
        <f>AND(RAW_DATA!B367&gt;=21,RAW_DATA!B367&lt;=60)</f>
        <v>1</v>
      </c>
      <c r="C367" s="3" t="b">
        <f>RAW_DATA!C367&gt;=300000</f>
        <v>1</v>
      </c>
      <c r="D367" s="3" t="b">
        <f>RAW_DATA!F367&gt;=650</f>
        <v>1</v>
      </c>
      <c r="E367" s="3" t="b">
        <f>RAW_DATA!E367&gt;=1</f>
        <v>1</v>
      </c>
      <c r="F367" s="3" t="b">
        <f>RAW_DATA!L367="No"</f>
        <v>1</v>
      </c>
      <c r="G367" s="3" t="b">
        <f t="shared" si="30"/>
        <v>1</v>
      </c>
      <c r="H367" s="3" t="str">
        <f t="shared" si="31"/>
        <v>ELIGIBLE</v>
      </c>
      <c r="I367" s="3" t="str">
        <f t="shared" si="32"/>
        <v/>
      </c>
      <c r="K367" s="3" cm="1">
        <f t="array" ref="K3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7" s="5">
        <f>IF(RAW_DATA!C367&lt;300000,0,IF(RAW_DATA!C367&lt;600000,5,IF(RAW_DATA!C367&lt;1200000,15,IF(RAW_DATA!C367&lt;2000000,20,25))))</f>
        <v>5</v>
      </c>
      <c r="M367" s="3">
        <f>IF(RAW_DATA!E367&lt;1,0,IF(RAW_DATA!E367&lt;3,3,IF(RAW_DATA!E367&lt;5,5,IF(RAW_DATA!E367&lt;10,8,10))))</f>
        <v>10</v>
      </c>
      <c r="N367" s="3">
        <f>IF(RAW_DATA!F367&lt;650,0,IF(RAW_DATA!F367&lt;700,8,IF(RAW_DATA!F367&lt;750,15,IF(RAW_DATA!F367&lt;800,20,25))))</f>
        <v>20</v>
      </c>
      <c r="O367" s="3">
        <f>IF(RAW_DATA!G367=0,5,IF(RAW_DATA!G367=1,4,IF(RAW_DATA!G367=2,3,IF(RAW_DATA!G367=3,2,IF(RAW_DATA!G367=4,1,0)))))</f>
        <v>0</v>
      </c>
      <c r="P367" s="3">
        <f>IF(RAW_DATA!K367&gt;=RAW_DATA!H367,20,ROUND((RAW_DATA!K367/RAW_DATA!H367)*20,0))</f>
        <v>20</v>
      </c>
      <c r="Q367" s="3">
        <f>IF(RAW_DATA!L367="No",5,0)</f>
        <v>5</v>
      </c>
      <c r="R367" s="3">
        <f t="shared" si="33"/>
        <v>70</v>
      </c>
      <c r="S367" s="3">
        <f t="shared" si="34"/>
        <v>70</v>
      </c>
      <c r="T367" s="3" t="str">
        <f t="shared" si="35"/>
        <v>Strong</v>
      </c>
    </row>
    <row r="368" spans="1:20" x14ac:dyDescent="0.25">
      <c r="A368" s="3" t="str">
        <f>RAW_DATA!A368</f>
        <v>APP367</v>
      </c>
      <c r="B368" s="3" t="b">
        <f>AND(RAW_DATA!B368&gt;=21,RAW_DATA!B368&lt;=60)</f>
        <v>1</v>
      </c>
      <c r="C368" s="3" t="b">
        <f>RAW_DATA!C368&gt;=300000</f>
        <v>1</v>
      </c>
      <c r="D368" s="3" t="b">
        <f>RAW_DATA!F368&gt;=650</f>
        <v>1</v>
      </c>
      <c r="E368" s="3" t="b">
        <f>RAW_DATA!E368&gt;=1</f>
        <v>1</v>
      </c>
      <c r="F368" s="3" t="b">
        <f>RAW_DATA!L368="No"</f>
        <v>1</v>
      </c>
      <c r="G368" s="3" t="b">
        <f t="shared" si="30"/>
        <v>1</v>
      </c>
      <c r="H368" s="3" t="str">
        <f t="shared" si="31"/>
        <v>ELIGIBLE</v>
      </c>
      <c r="I368" s="3" t="str">
        <f t="shared" si="32"/>
        <v/>
      </c>
      <c r="K368" s="3" cm="1">
        <f t="array" ref="K3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8" s="5">
        <f>IF(RAW_DATA!C368&lt;300000,0,IF(RAW_DATA!C368&lt;600000,5,IF(RAW_DATA!C368&lt;1200000,15,IF(RAW_DATA!C368&lt;2000000,20,25))))</f>
        <v>5</v>
      </c>
      <c r="M368" s="3">
        <f>IF(RAW_DATA!E368&lt;1,0,IF(RAW_DATA!E368&lt;3,3,IF(RAW_DATA!E368&lt;5,5,IF(RAW_DATA!E368&lt;10,8,10))))</f>
        <v>10</v>
      </c>
      <c r="N368" s="3">
        <f>IF(RAW_DATA!F368&lt;650,0,IF(RAW_DATA!F368&lt;700,8,IF(RAW_DATA!F368&lt;750,15,IF(RAW_DATA!F368&lt;800,20,25))))</f>
        <v>20</v>
      </c>
      <c r="O368" s="3">
        <f>IF(RAW_DATA!G368=0,5,IF(RAW_DATA!G368=1,4,IF(RAW_DATA!G368=2,3,IF(RAW_DATA!G368=3,2,IF(RAW_DATA!G368=4,1,0)))))</f>
        <v>2</v>
      </c>
      <c r="P368" s="3">
        <f>IF(RAW_DATA!K368&gt;=RAW_DATA!H368,20,ROUND((RAW_DATA!K368/RAW_DATA!H368)*20,0))</f>
        <v>20</v>
      </c>
      <c r="Q368" s="3">
        <f>IF(RAW_DATA!L368="No",5,0)</f>
        <v>5</v>
      </c>
      <c r="R368" s="3">
        <f t="shared" si="33"/>
        <v>66</v>
      </c>
      <c r="S368" s="3">
        <f t="shared" si="34"/>
        <v>66</v>
      </c>
      <c r="T368" s="3" t="str">
        <f t="shared" si="35"/>
        <v>Moderate</v>
      </c>
    </row>
    <row r="369" spans="1:20" x14ac:dyDescent="0.25">
      <c r="A369" s="3" t="str">
        <f>RAW_DATA!A369</f>
        <v>APP368</v>
      </c>
      <c r="B369" s="3" t="b">
        <f>AND(RAW_DATA!B369&gt;=21,RAW_DATA!B369&lt;=60)</f>
        <v>1</v>
      </c>
      <c r="C369" s="3" t="b">
        <f>RAW_DATA!C369&gt;=300000</f>
        <v>1</v>
      </c>
      <c r="D369" s="3" t="b">
        <f>RAW_DATA!F369&gt;=650</f>
        <v>0</v>
      </c>
      <c r="E369" s="3" t="b">
        <f>RAW_DATA!E369&gt;=1</f>
        <v>1</v>
      </c>
      <c r="F369" s="3" t="b">
        <f>RAW_DATA!L369="No"</f>
        <v>1</v>
      </c>
      <c r="G369" s="3" t="b">
        <f t="shared" si="30"/>
        <v>0</v>
      </c>
      <c r="H369" s="3" t="str">
        <f t="shared" si="31"/>
        <v>INELIGIBLE</v>
      </c>
      <c r="I369" s="3" t="str">
        <f t="shared" si="32"/>
        <v>Credit Score</v>
      </c>
      <c r="K369" s="3" cm="1">
        <f t="array" ref="K3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9" s="5">
        <f>IF(RAW_DATA!C369&lt;300000,0,IF(RAW_DATA!C369&lt;600000,5,IF(RAW_DATA!C369&lt;1200000,15,IF(RAW_DATA!C369&lt;2000000,20,25))))</f>
        <v>15</v>
      </c>
      <c r="M369" s="3">
        <f>IF(RAW_DATA!E369&lt;1,0,IF(RAW_DATA!E369&lt;3,3,IF(RAW_DATA!E369&lt;5,5,IF(RAW_DATA!E369&lt;10,8,10))))</f>
        <v>8</v>
      </c>
      <c r="N369" s="3">
        <f>IF(RAW_DATA!F369&lt;650,0,IF(RAW_DATA!F369&lt;700,8,IF(RAW_DATA!F369&lt;750,15,IF(RAW_DATA!F369&lt;800,20,25))))</f>
        <v>0</v>
      </c>
      <c r="O369" s="3">
        <f>IF(RAW_DATA!G369=0,5,IF(RAW_DATA!G369=1,4,IF(RAW_DATA!G369=2,3,IF(RAW_DATA!G369=3,2,IF(RAW_DATA!G369=4,1,0)))))</f>
        <v>5</v>
      </c>
      <c r="P369" s="3">
        <f>IF(RAW_DATA!K369&gt;=RAW_DATA!H369,20,ROUND((RAW_DATA!K369/RAW_DATA!H369)*20,0))</f>
        <v>20</v>
      </c>
      <c r="Q369" s="3">
        <f>IF(RAW_DATA!L369="No",5,0)</f>
        <v>5</v>
      </c>
      <c r="R369" s="3">
        <f t="shared" si="33"/>
        <v>57</v>
      </c>
      <c r="S369" s="3">
        <f t="shared" si="34"/>
        <v>57</v>
      </c>
      <c r="T369" s="3" t="str">
        <f t="shared" si="35"/>
        <v>Not Scored - Ineligible</v>
      </c>
    </row>
    <row r="370" spans="1:20" x14ac:dyDescent="0.25">
      <c r="A370" s="3" t="str">
        <f>RAW_DATA!A370</f>
        <v>APP369</v>
      </c>
      <c r="B370" s="3" t="b">
        <f>AND(RAW_DATA!B370&gt;=21,RAW_DATA!B370&lt;=60)</f>
        <v>1</v>
      </c>
      <c r="C370" s="3" t="b">
        <f>RAW_DATA!C370&gt;=300000</f>
        <v>1</v>
      </c>
      <c r="D370" s="3" t="b">
        <f>RAW_DATA!F370&gt;=650</f>
        <v>0</v>
      </c>
      <c r="E370" s="3" t="b">
        <f>RAW_DATA!E370&gt;=1</f>
        <v>1</v>
      </c>
      <c r="F370" s="3" t="b">
        <f>RAW_DATA!L370="No"</f>
        <v>1</v>
      </c>
      <c r="G370" s="3" t="b">
        <f t="shared" si="30"/>
        <v>0</v>
      </c>
      <c r="H370" s="3" t="str">
        <f t="shared" si="31"/>
        <v>INELIGIBLE</v>
      </c>
      <c r="I370" s="3" t="str">
        <f t="shared" si="32"/>
        <v>Credit Score</v>
      </c>
      <c r="K370" s="3" cm="1">
        <f t="array" ref="K3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0" s="5">
        <f>IF(RAW_DATA!C370&lt;300000,0,IF(RAW_DATA!C370&lt;600000,5,IF(RAW_DATA!C370&lt;1200000,15,IF(RAW_DATA!C370&lt;2000000,20,25))))</f>
        <v>25</v>
      </c>
      <c r="M370" s="3">
        <f>IF(RAW_DATA!E370&lt;1,0,IF(RAW_DATA!E370&lt;3,3,IF(RAW_DATA!E370&lt;5,5,IF(RAW_DATA!E370&lt;10,8,10))))</f>
        <v>10</v>
      </c>
      <c r="N370" s="3">
        <f>IF(RAW_DATA!F370&lt;650,0,IF(RAW_DATA!F370&lt;700,8,IF(RAW_DATA!F370&lt;750,15,IF(RAW_DATA!F370&lt;800,20,25))))</f>
        <v>0</v>
      </c>
      <c r="O370" s="3">
        <f>IF(RAW_DATA!G370=0,5,IF(RAW_DATA!G370=1,4,IF(RAW_DATA!G370=2,3,IF(RAW_DATA!G370=3,2,IF(RAW_DATA!G370=4,1,0)))))</f>
        <v>5</v>
      </c>
      <c r="P370" s="3">
        <f>IF(RAW_DATA!K370&gt;=RAW_DATA!H370,20,ROUND((RAW_DATA!K370/RAW_DATA!H370)*20,0))</f>
        <v>20</v>
      </c>
      <c r="Q370" s="3">
        <f>IF(RAW_DATA!L370="No",5,0)</f>
        <v>5</v>
      </c>
      <c r="R370" s="3">
        <f t="shared" si="33"/>
        <v>72</v>
      </c>
      <c r="S370" s="3">
        <f t="shared" si="34"/>
        <v>72</v>
      </c>
      <c r="T370" s="3" t="str">
        <f t="shared" si="35"/>
        <v>Not Scored - Ineligible</v>
      </c>
    </row>
    <row r="371" spans="1:20" x14ac:dyDescent="0.25">
      <c r="A371" s="3" t="str">
        <f>RAW_DATA!A371</f>
        <v>APP370</v>
      </c>
      <c r="B371" s="3" t="b">
        <f>AND(RAW_DATA!B371&gt;=21,RAW_DATA!B371&lt;=60)</f>
        <v>1</v>
      </c>
      <c r="C371" s="3" t="b">
        <f>RAW_DATA!C371&gt;=300000</f>
        <v>1</v>
      </c>
      <c r="D371" s="3" t="b">
        <f>RAW_DATA!F371&gt;=650</f>
        <v>0</v>
      </c>
      <c r="E371" s="3" t="b">
        <f>RAW_DATA!E371&gt;=1</f>
        <v>1</v>
      </c>
      <c r="F371" s="3" t="b">
        <f>RAW_DATA!L371="No"</f>
        <v>1</v>
      </c>
      <c r="G371" s="3" t="b">
        <f t="shared" si="30"/>
        <v>0</v>
      </c>
      <c r="H371" s="3" t="str">
        <f t="shared" si="31"/>
        <v>INELIGIBLE</v>
      </c>
      <c r="I371" s="3" t="str">
        <f t="shared" si="32"/>
        <v>Credit Score</v>
      </c>
      <c r="K371" s="3" cm="1">
        <f t="array" ref="K3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1" s="5">
        <f>IF(RAW_DATA!C371&lt;300000,0,IF(RAW_DATA!C371&lt;600000,5,IF(RAW_DATA!C371&lt;1200000,15,IF(RAW_DATA!C371&lt;2000000,20,25))))</f>
        <v>20</v>
      </c>
      <c r="M371" s="3">
        <f>IF(RAW_DATA!E371&lt;1,0,IF(RAW_DATA!E371&lt;3,3,IF(RAW_DATA!E371&lt;5,5,IF(RAW_DATA!E371&lt;10,8,10))))</f>
        <v>10</v>
      </c>
      <c r="N371" s="3">
        <f>IF(RAW_DATA!F371&lt;650,0,IF(RAW_DATA!F371&lt;700,8,IF(RAW_DATA!F371&lt;750,15,IF(RAW_DATA!F371&lt;800,20,25))))</f>
        <v>0</v>
      </c>
      <c r="O371" s="3">
        <f>IF(RAW_DATA!G371=0,5,IF(RAW_DATA!G371=1,4,IF(RAW_DATA!G371=2,3,IF(RAW_DATA!G371=3,2,IF(RAW_DATA!G371=4,1,0)))))</f>
        <v>0</v>
      </c>
      <c r="P371" s="3">
        <f>IF(RAW_DATA!K371&gt;=RAW_DATA!H371,20,ROUND((RAW_DATA!K371/RAW_DATA!H371)*20,0))</f>
        <v>20</v>
      </c>
      <c r="Q371" s="3">
        <f>IF(RAW_DATA!L371="No",5,0)</f>
        <v>5</v>
      </c>
      <c r="R371" s="3">
        <f t="shared" si="33"/>
        <v>62</v>
      </c>
      <c r="S371" s="3">
        <f t="shared" si="34"/>
        <v>62</v>
      </c>
      <c r="T371" s="3" t="str">
        <f t="shared" si="35"/>
        <v>Not Scored - Ineligible</v>
      </c>
    </row>
    <row r="372" spans="1:20" x14ac:dyDescent="0.25">
      <c r="A372" s="3" t="str">
        <f>RAW_DATA!A372</f>
        <v>APP371</v>
      </c>
      <c r="B372" s="3" t="b">
        <f>AND(RAW_DATA!B372&gt;=21,RAW_DATA!B372&lt;=60)</f>
        <v>1</v>
      </c>
      <c r="C372" s="3" t="b">
        <f>RAW_DATA!C372&gt;=300000</f>
        <v>1</v>
      </c>
      <c r="D372" s="3" t="b">
        <f>RAW_DATA!F372&gt;=650</f>
        <v>1</v>
      </c>
      <c r="E372" s="3" t="b">
        <f>RAW_DATA!E372&gt;=1</f>
        <v>1</v>
      </c>
      <c r="F372" s="3" t="b">
        <f>RAW_DATA!L372="No"</f>
        <v>1</v>
      </c>
      <c r="G372" s="3" t="b">
        <f t="shared" si="30"/>
        <v>1</v>
      </c>
      <c r="H372" s="3" t="str">
        <f t="shared" si="31"/>
        <v>ELIGIBLE</v>
      </c>
      <c r="I372" s="3" t="str">
        <f t="shared" si="32"/>
        <v/>
      </c>
      <c r="K372" s="3" cm="1">
        <f t="array" ref="K3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2" s="5">
        <f>IF(RAW_DATA!C372&lt;300000,0,IF(RAW_DATA!C372&lt;600000,5,IF(RAW_DATA!C372&lt;1200000,15,IF(RAW_DATA!C372&lt;2000000,20,25))))</f>
        <v>20</v>
      </c>
      <c r="M372" s="3">
        <f>IF(RAW_DATA!E372&lt;1,0,IF(RAW_DATA!E372&lt;3,3,IF(RAW_DATA!E372&lt;5,5,IF(RAW_DATA!E372&lt;10,8,10))))</f>
        <v>10</v>
      </c>
      <c r="N372" s="3">
        <f>IF(RAW_DATA!F372&lt;650,0,IF(RAW_DATA!F372&lt;700,8,IF(RAW_DATA!F372&lt;750,15,IF(RAW_DATA!F372&lt;800,20,25))))</f>
        <v>20</v>
      </c>
      <c r="O372" s="3">
        <f>IF(RAW_DATA!G372=0,5,IF(RAW_DATA!G372=1,4,IF(RAW_DATA!G372=2,3,IF(RAW_DATA!G372=3,2,IF(RAW_DATA!G372=4,1,0)))))</f>
        <v>0</v>
      </c>
      <c r="P372" s="3">
        <f>IF(RAW_DATA!K372&gt;=RAW_DATA!H372,20,ROUND((RAW_DATA!K372/RAW_DATA!H372)*20,0))</f>
        <v>20</v>
      </c>
      <c r="Q372" s="3">
        <f>IF(RAW_DATA!L372="No",5,0)</f>
        <v>5</v>
      </c>
      <c r="R372" s="3">
        <f t="shared" si="33"/>
        <v>85</v>
      </c>
      <c r="S372" s="3">
        <f t="shared" si="34"/>
        <v>85</v>
      </c>
      <c r="T372" s="3" t="str">
        <f t="shared" si="35"/>
        <v>Strong</v>
      </c>
    </row>
    <row r="373" spans="1:20" x14ac:dyDescent="0.25">
      <c r="A373" s="3" t="str">
        <f>RAW_DATA!A373</f>
        <v>APP372</v>
      </c>
      <c r="B373" s="3" t="b">
        <f>AND(RAW_DATA!B373&gt;=21,RAW_DATA!B373&lt;=60)</f>
        <v>1</v>
      </c>
      <c r="C373" s="3" t="b">
        <f>RAW_DATA!C373&gt;=300000</f>
        <v>1</v>
      </c>
      <c r="D373" s="3" t="b">
        <f>RAW_DATA!F373&gt;=650</f>
        <v>1</v>
      </c>
      <c r="E373" s="3" t="b">
        <f>RAW_DATA!E373&gt;=1</f>
        <v>1</v>
      </c>
      <c r="F373" s="3" t="b">
        <f>RAW_DATA!L373="No"</f>
        <v>1</v>
      </c>
      <c r="G373" s="3" t="b">
        <f t="shared" si="30"/>
        <v>1</v>
      </c>
      <c r="H373" s="3" t="str">
        <f t="shared" si="31"/>
        <v>ELIGIBLE</v>
      </c>
      <c r="I373" s="3" t="str">
        <f t="shared" si="32"/>
        <v/>
      </c>
      <c r="K373" s="3" cm="1">
        <f t="array" ref="K3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3" s="5">
        <f>IF(RAW_DATA!C373&lt;300000,0,IF(RAW_DATA!C373&lt;600000,5,IF(RAW_DATA!C373&lt;1200000,15,IF(RAW_DATA!C373&lt;2000000,20,25))))</f>
        <v>25</v>
      </c>
      <c r="M373" s="3">
        <f>IF(RAW_DATA!E373&lt;1,0,IF(RAW_DATA!E373&lt;3,3,IF(RAW_DATA!E373&lt;5,5,IF(RAW_DATA!E373&lt;10,8,10))))</f>
        <v>10</v>
      </c>
      <c r="N373" s="3">
        <f>IF(RAW_DATA!F373&lt;650,0,IF(RAW_DATA!F373&lt;700,8,IF(RAW_DATA!F373&lt;750,15,IF(RAW_DATA!F373&lt;800,20,25))))</f>
        <v>25</v>
      </c>
      <c r="O373" s="3">
        <f>IF(RAW_DATA!G373=0,5,IF(RAW_DATA!G373=1,4,IF(RAW_DATA!G373=2,3,IF(RAW_DATA!G373=3,2,IF(RAW_DATA!G373=4,1,0)))))</f>
        <v>3</v>
      </c>
      <c r="P373" s="3">
        <f>IF(RAW_DATA!K373&gt;=RAW_DATA!H373,20,ROUND((RAW_DATA!K373/RAW_DATA!H373)*20,0))</f>
        <v>20</v>
      </c>
      <c r="Q373" s="3">
        <f>IF(RAW_DATA!L373="No",5,0)</f>
        <v>5</v>
      </c>
      <c r="R373" s="3">
        <f t="shared" si="33"/>
        <v>95</v>
      </c>
      <c r="S373" s="3">
        <f t="shared" si="34"/>
        <v>95</v>
      </c>
      <c r="T373" s="3" t="str">
        <f t="shared" si="35"/>
        <v>Strong</v>
      </c>
    </row>
    <row r="374" spans="1:20" x14ac:dyDescent="0.25">
      <c r="A374" s="3" t="str">
        <f>RAW_DATA!A374</f>
        <v>APP373</v>
      </c>
      <c r="B374" s="3" t="b">
        <f>AND(RAW_DATA!B374&gt;=21,RAW_DATA!B374&lt;=60)</f>
        <v>1</v>
      </c>
      <c r="C374" s="3" t="b">
        <f>RAW_DATA!C374&gt;=300000</f>
        <v>1</v>
      </c>
      <c r="D374" s="3" t="b">
        <f>RAW_DATA!F374&gt;=650</f>
        <v>0</v>
      </c>
      <c r="E374" s="3" t="b">
        <f>RAW_DATA!E374&gt;=1</f>
        <v>1</v>
      </c>
      <c r="F374" s="3" t="b">
        <f>RAW_DATA!L374="No"</f>
        <v>1</v>
      </c>
      <c r="G374" s="3" t="b">
        <f t="shared" si="30"/>
        <v>0</v>
      </c>
      <c r="H374" s="3" t="str">
        <f t="shared" si="31"/>
        <v>INELIGIBLE</v>
      </c>
      <c r="I374" s="3" t="str">
        <f t="shared" si="32"/>
        <v>Credit Score</v>
      </c>
      <c r="K374" s="3" cm="1">
        <f t="array" ref="K3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74" s="5">
        <f>IF(RAW_DATA!C374&lt;300000,0,IF(RAW_DATA!C374&lt;600000,5,IF(RAW_DATA!C374&lt;1200000,15,IF(RAW_DATA!C374&lt;2000000,20,25))))</f>
        <v>5</v>
      </c>
      <c r="M374" s="3">
        <f>IF(RAW_DATA!E374&lt;1,0,IF(RAW_DATA!E374&lt;3,3,IF(RAW_DATA!E374&lt;5,5,IF(RAW_DATA!E374&lt;10,8,10))))</f>
        <v>10</v>
      </c>
      <c r="N374" s="3">
        <f>IF(RAW_DATA!F374&lt;650,0,IF(RAW_DATA!F374&lt;700,8,IF(RAW_DATA!F374&lt;750,15,IF(RAW_DATA!F374&lt;800,20,25))))</f>
        <v>0</v>
      </c>
      <c r="O374" s="3">
        <f>IF(RAW_DATA!G374=0,5,IF(RAW_DATA!G374=1,4,IF(RAW_DATA!G374=2,3,IF(RAW_DATA!G374=3,2,IF(RAW_DATA!G374=4,1,0)))))</f>
        <v>5</v>
      </c>
      <c r="P374" s="3">
        <f>IF(RAW_DATA!K374&gt;=RAW_DATA!H374,20,ROUND((RAW_DATA!K374/RAW_DATA!H374)*20,0))</f>
        <v>20</v>
      </c>
      <c r="Q374" s="3">
        <f>IF(RAW_DATA!L374="No",5,0)</f>
        <v>5</v>
      </c>
      <c r="R374" s="3">
        <f t="shared" si="33"/>
        <v>53</v>
      </c>
      <c r="S374" s="3">
        <f t="shared" si="34"/>
        <v>53</v>
      </c>
      <c r="T374" s="3" t="str">
        <f t="shared" si="35"/>
        <v>Not Scored - Ineligible</v>
      </c>
    </row>
    <row r="375" spans="1:20" x14ac:dyDescent="0.25">
      <c r="A375" s="3" t="str">
        <f>RAW_DATA!A375</f>
        <v>APP374</v>
      </c>
      <c r="B375" s="3" t="b">
        <f>AND(RAW_DATA!B375&gt;=21,RAW_DATA!B375&lt;=60)</f>
        <v>0</v>
      </c>
      <c r="C375" s="3" t="b">
        <f>RAW_DATA!C375&gt;=300000</f>
        <v>1</v>
      </c>
      <c r="D375" s="3" t="b">
        <f>RAW_DATA!F375&gt;=650</f>
        <v>0</v>
      </c>
      <c r="E375" s="3" t="b">
        <f>RAW_DATA!E375&gt;=1</f>
        <v>1</v>
      </c>
      <c r="F375" s="3" t="b">
        <f>RAW_DATA!L375="No"</f>
        <v>1</v>
      </c>
      <c r="G375" s="3" t="b">
        <f t="shared" si="30"/>
        <v>0</v>
      </c>
      <c r="H375" s="3" t="str">
        <f t="shared" si="31"/>
        <v>INELIGIBLE</v>
      </c>
      <c r="I375" s="3" t="str">
        <f t="shared" si="32"/>
        <v>Age, Credit Score</v>
      </c>
      <c r="K375" s="3" cm="1">
        <f t="array" ref="K3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5" s="5">
        <f>IF(RAW_DATA!C375&lt;300000,0,IF(RAW_DATA!C375&lt;600000,5,IF(RAW_DATA!C375&lt;1200000,15,IF(RAW_DATA!C375&lt;2000000,20,25))))</f>
        <v>5</v>
      </c>
      <c r="M375" s="3">
        <f>IF(RAW_DATA!E375&lt;1,0,IF(RAW_DATA!E375&lt;3,3,IF(RAW_DATA!E375&lt;5,5,IF(RAW_DATA!E375&lt;10,8,10))))</f>
        <v>10</v>
      </c>
      <c r="N375" s="3">
        <f>IF(RAW_DATA!F375&lt;650,0,IF(RAW_DATA!F375&lt;700,8,IF(RAW_DATA!F375&lt;750,15,IF(RAW_DATA!F375&lt;800,20,25))))</f>
        <v>0</v>
      </c>
      <c r="O375" s="3">
        <f>IF(RAW_DATA!G375=0,5,IF(RAW_DATA!G375=1,4,IF(RAW_DATA!G375=2,3,IF(RAW_DATA!G375=3,2,IF(RAW_DATA!G375=4,1,0)))))</f>
        <v>2</v>
      </c>
      <c r="P375" s="3">
        <f>IF(RAW_DATA!K375&gt;=RAW_DATA!H375,20,ROUND((RAW_DATA!K375/RAW_DATA!H375)*20,0))</f>
        <v>20</v>
      </c>
      <c r="Q375" s="3">
        <f>IF(RAW_DATA!L375="No",5,0)</f>
        <v>5</v>
      </c>
      <c r="R375" s="3">
        <f t="shared" si="33"/>
        <v>42</v>
      </c>
      <c r="S375" s="3">
        <f t="shared" si="34"/>
        <v>42</v>
      </c>
      <c r="T375" s="3" t="str">
        <f t="shared" si="35"/>
        <v>Not Scored - Ineligible</v>
      </c>
    </row>
    <row r="376" spans="1:20" x14ac:dyDescent="0.25">
      <c r="A376" s="3" t="str">
        <f>RAW_DATA!A376</f>
        <v>APP375</v>
      </c>
      <c r="B376" s="3" t="b">
        <f>AND(RAW_DATA!B376&gt;=21,RAW_DATA!B376&lt;=60)</f>
        <v>1</v>
      </c>
      <c r="C376" s="3" t="b">
        <f>RAW_DATA!C376&gt;=300000</f>
        <v>1</v>
      </c>
      <c r="D376" s="3" t="b">
        <f>RAW_DATA!F376&gt;=650</f>
        <v>0</v>
      </c>
      <c r="E376" s="3" t="b">
        <f>RAW_DATA!E376&gt;=1</f>
        <v>1</v>
      </c>
      <c r="F376" s="3" t="b">
        <f>RAW_DATA!L376="No"</f>
        <v>1</v>
      </c>
      <c r="G376" s="3" t="b">
        <f t="shared" si="30"/>
        <v>0</v>
      </c>
      <c r="H376" s="3" t="str">
        <f t="shared" si="31"/>
        <v>INELIGIBLE</v>
      </c>
      <c r="I376" s="3" t="str">
        <f t="shared" si="32"/>
        <v>Credit Score</v>
      </c>
      <c r="K376" s="3" cm="1">
        <f t="array" ref="K3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6" s="5">
        <f>IF(RAW_DATA!C376&lt;300000,0,IF(RAW_DATA!C376&lt;600000,5,IF(RAW_DATA!C376&lt;1200000,15,IF(RAW_DATA!C376&lt;2000000,20,25))))</f>
        <v>20</v>
      </c>
      <c r="M376" s="3">
        <f>IF(RAW_DATA!E376&lt;1,0,IF(RAW_DATA!E376&lt;3,3,IF(RAW_DATA!E376&lt;5,5,IF(RAW_DATA!E376&lt;10,8,10))))</f>
        <v>8</v>
      </c>
      <c r="N376" s="3">
        <f>IF(RAW_DATA!F376&lt;650,0,IF(RAW_DATA!F376&lt;700,8,IF(RAW_DATA!F376&lt;750,15,IF(RAW_DATA!F376&lt;800,20,25))))</f>
        <v>0</v>
      </c>
      <c r="O376" s="3">
        <f>IF(RAW_DATA!G376=0,5,IF(RAW_DATA!G376=1,4,IF(RAW_DATA!G376=2,3,IF(RAW_DATA!G376=3,2,IF(RAW_DATA!G376=4,1,0)))))</f>
        <v>3</v>
      </c>
      <c r="P376" s="3">
        <f>IF(RAW_DATA!K376&gt;=RAW_DATA!H376,20,ROUND((RAW_DATA!K376/RAW_DATA!H376)*20,0))</f>
        <v>20</v>
      </c>
      <c r="Q376" s="3">
        <f>IF(RAW_DATA!L376="No",5,0)</f>
        <v>5</v>
      </c>
      <c r="R376" s="3">
        <f t="shared" si="33"/>
        <v>63</v>
      </c>
      <c r="S376" s="3">
        <f t="shared" si="34"/>
        <v>63</v>
      </c>
      <c r="T376" s="3" t="str">
        <f t="shared" si="35"/>
        <v>Not Scored - Ineligible</v>
      </c>
    </row>
    <row r="377" spans="1:20" x14ac:dyDescent="0.25">
      <c r="A377" s="3" t="str">
        <f>RAW_DATA!A377</f>
        <v>APP376</v>
      </c>
      <c r="B377" s="3" t="b">
        <f>AND(RAW_DATA!B377&gt;=21,RAW_DATA!B377&lt;=60)</f>
        <v>1</v>
      </c>
      <c r="C377" s="3" t="b">
        <f>RAW_DATA!C377&gt;=300000</f>
        <v>1</v>
      </c>
      <c r="D377" s="3" t="b">
        <f>RAW_DATA!F377&gt;=650</f>
        <v>0</v>
      </c>
      <c r="E377" s="3" t="b">
        <f>RAW_DATA!E377&gt;=1</f>
        <v>1</v>
      </c>
      <c r="F377" s="3" t="b">
        <f>RAW_DATA!L377="No"</f>
        <v>1</v>
      </c>
      <c r="G377" s="3" t="b">
        <f t="shared" si="30"/>
        <v>0</v>
      </c>
      <c r="H377" s="3" t="str">
        <f t="shared" si="31"/>
        <v>INELIGIBLE</v>
      </c>
      <c r="I377" s="3" t="str">
        <f t="shared" si="32"/>
        <v>Credit Score</v>
      </c>
      <c r="K377" s="3" cm="1">
        <f t="array" ref="K3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7" s="5">
        <f>IF(RAW_DATA!C377&lt;300000,0,IF(RAW_DATA!C377&lt;600000,5,IF(RAW_DATA!C377&lt;1200000,15,IF(RAW_DATA!C377&lt;2000000,20,25))))</f>
        <v>20</v>
      </c>
      <c r="M377" s="3">
        <f>IF(RAW_DATA!E377&lt;1,0,IF(RAW_DATA!E377&lt;3,3,IF(RAW_DATA!E377&lt;5,5,IF(RAW_DATA!E377&lt;10,8,10))))</f>
        <v>10</v>
      </c>
      <c r="N377" s="3">
        <f>IF(RAW_DATA!F377&lt;650,0,IF(RAW_DATA!F377&lt;700,8,IF(RAW_DATA!F377&lt;750,15,IF(RAW_DATA!F377&lt;800,20,25))))</f>
        <v>0</v>
      </c>
      <c r="O377" s="3">
        <f>IF(RAW_DATA!G377=0,5,IF(RAW_DATA!G377=1,4,IF(RAW_DATA!G377=2,3,IF(RAW_DATA!G377=3,2,IF(RAW_DATA!G377=4,1,0)))))</f>
        <v>3</v>
      </c>
      <c r="P377" s="3">
        <f>IF(RAW_DATA!K377&gt;=RAW_DATA!H377,20,ROUND((RAW_DATA!K377/RAW_DATA!H377)*20,0))</f>
        <v>20</v>
      </c>
      <c r="Q377" s="3">
        <f>IF(RAW_DATA!L377="No",5,0)</f>
        <v>5</v>
      </c>
      <c r="R377" s="3">
        <f t="shared" si="33"/>
        <v>68</v>
      </c>
      <c r="S377" s="3">
        <f t="shared" si="34"/>
        <v>68</v>
      </c>
      <c r="T377" s="3" t="str">
        <f t="shared" si="35"/>
        <v>Not Scored - Ineligible</v>
      </c>
    </row>
    <row r="378" spans="1:20" x14ac:dyDescent="0.25">
      <c r="A378" s="3" t="str">
        <f>RAW_DATA!A378</f>
        <v>APP377</v>
      </c>
      <c r="B378" s="3" t="b">
        <f>AND(RAW_DATA!B378&gt;=21,RAW_DATA!B378&lt;=60)</f>
        <v>0</v>
      </c>
      <c r="C378" s="3" t="b">
        <f>RAW_DATA!C378&gt;=300000</f>
        <v>1</v>
      </c>
      <c r="D378" s="3" t="b">
        <f>RAW_DATA!F378&gt;=650</f>
        <v>1</v>
      </c>
      <c r="E378" s="3" t="b">
        <f>RAW_DATA!E378&gt;=1</f>
        <v>1</v>
      </c>
      <c r="F378" s="3" t="b">
        <f>RAW_DATA!L378="No"</f>
        <v>1</v>
      </c>
      <c r="G378" s="3" t="b">
        <f t="shared" si="30"/>
        <v>0</v>
      </c>
      <c r="H378" s="3" t="str">
        <f t="shared" si="31"/>
        <v>INELIGIBLE</v>
      </c>
      <c r="I378" s="3" t="str">
        <f t="shared" si="32"/>
        <v>Age</v>
      </c>
      <c r="K378" s="3" cm="1">
        <f t="array" ref="K3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8" s="5">
        <f>IF(RAW_DATA!C378&lt;300000,0,IF(RAW_DATA!C378&lt;600000,5,IF(RAW_DATA!C378&lt;1200000,15,IF(RAW_DATA!C378&lt;2000000,20,25))))</f>
        <v>15</v>
      </c>
      <c r="M378" s="3">
        <f>IF(RAW_DATA!E378&lt;1,0,IF(RAW_DATA!E378&lt;3,3,IF(RAW_DATA!E378&lt;5,5,IF(RAW_DATA!E378&lt;10,8,10))))</f>
        <v>10</v>
      </c>
      <c r="N378" s="3">
        <f>IF(RAW_DATA!F378&lt;650,0,IF(RAW_DATA!F378&lt;700,8,IF(RAW_DATA!F378&lt;750,15,IF(RAW_DATA!F378&lt;800,20,25))))</f>
        <v>8</v>
      </c>
      <c r="O378" s="3">
        <f>IF(RAW_DATA!G378=0,5,IF(RAW_DATA!G378=1,4,IF(RAW_DATA!G378=2,3,IF(RAW_DATA!G378=3,2,IF(RAW_DATA!G378=4,1,0)))))</f>
        <v>3</v>
      </c>
      <c r="P378" s="3">
        <f>IF(RAW_DATA!K378&gt;=RAW_DATA!H378,20,ROUND((RAW_DATA!K378/RAW_DATA!H378)*20,0))</f>
        <v>20</v>
      </c>
      <c r="Q378" s="3">
        <f>IF(RAW_DATA!L378="No",5,0)</f>
        <v>5</v>
      </c>
      <c r="R378" s="3">
        <f t="shared" si="33"/>
        <v>61</v>
      </c>
      <c r="S378" s="3">
        <f t="shared" si="34"/>
        <v>61</v>
      </c>
      <c r="T378" s="3" t="str">
        <f t="shared" si="35"/>
        <v>Not Scored - Ineligible</v>
      </c>
    </row>
    <row r="379" spans="1:20" x14ac:dyDescent="0.25">
      <c r="A379" s="3" t="str">
        <f>RAW_DATA!A379</f>
        <v>APP378</v>
      </c>
      <c r="B379" s="3" t="b">
        <f>AND(RAW_DATA!B379&gt;=21,RAW_DATA!B379&lt;=60)</f>
        <v>0</v>
      </c>
      <c r="C379" s="3" t="b">
        <f>RAW_DATA!C379&gt;=300000</f>
        <v>1</v>
      </c>
      <c r="D379" s="3" t="b">
        <f>RAW_DATA!F379&gt;=650</f>
        <v>1</v>
      </c>
      <c r="E379" s="3" t="b">
        <f>RAW_DATA!E379&gt;=1</f>
        <v>1</v>
      </c>
      <c r="F379" s="3" t="b">
        <f>RAW_DATA!L379="No"</f>
        <v>1</v>
      </c>
      <c r="G379" s="3" t="b">
        <f t="shared" si="30"/>
        <v>0</v>
      </c>
      <c r="H379" s="3" t="str">
        <f t="shared" si="31"/>
        <v>INELIGIBLE</v>
      </c>
      <c r="I379" s="3" t="str">
        <f t="shared" si="32"/>
        <v>Age</v>
      </c>
      <c r="K379" s="3" cm="1">
        <f t="array" ref="K3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9" s="5">
        <f>IF(RAW_DATA!C379&lt;300000,0,IF(RAW_DATA!C379&lt;600000,5,IF(RAW_DATA!C379&lt;1200000,15,IF(RAW_DATA!C379&lt;2000000,20,25))))</f>
        <v>5</v>
      </c>
      <c r="M379" s="3">
        <f>IF(RAW_DATA!E379&lt;1,0,IF(RAW_DATA!E379&lt;3,3,IF(RAW_DATA!E379&lt;5,5,IF(RAW_DATA!E379&lt;10,8,10))))</f>
        <v>10</v>
      </c>
      <c r="N379" s="3">
        <f>IF(RAW_DATA!F379&lt;650,0,IF(RAW_DATA!F379&lt;700,8,IF(RAW_DATA!F379&lt;750,15,IF(RAW_DATA!F379&lt;800,20,25))))</f>
        <v>25</v>
      </c>
      <c r="O379" s="3">
        <f>IF(RAW_DATA!G379=0,5,IF(RAW_DATA!G379=1,4,IF(RAW_DATA!G379=2,3,IF(RAW_DATA!G379=3,2,IF(RAW_DATA!G379=4,1,0)))))</f>
        <v>5</v>
      </c>
      <c r="P379" s="3">
        <f>IF(RAW_DATA!K379&gt;=RAW_DATA!H379,20,ROUND((RAW_DATA!K379/RAW_DATA!H379)*20,0))</f>
        <v>20</v>
      </c>
      <c r="Q379" s="3">
        <f>IF(RAW_DATA!L379="No",5,0)</f>
        <v>5</v>
      </c>
      <c r="R379" s="3">
        <f t="shared" si="33"/>
        <v>70</v>
      </c>
      <c r="S379" s="3">
        <f t="shared" si="34"/>
        <v>70</v>
      </c>
      <c r="T379" s="3" t="str">
        <f t="shared" si="35"/>
        <v>Not Scored - Ineligible</v>
      </c>
    </row>
    <row r="380" spans="1:20" x14ac:dyDescent="0.25">
      <c r="A380" s="3" t="str">
        <f>RAW_DATA!A380</f>
        <v>APP379</v>
      </c>
      <c r="B380" s="3" t="b">
        <f>AND(RAW_DATA!B380&gt;=21,RAW_DATA!B380&lt;=60)</f>
        <v>0</v>
      </c>
      <c r="C380" s="3" t="b">
        <f>RAW_DATA!C380&gt;=300000</f>
        <v>1</v>
      </c>
      <c r="D380" s="3" t="b">
        <f>RAW_DATA!F380&gt;=650</f>
        <v>0</v>
      </c>
      <c r="E380" s="3" t="b">
        <f>RAW_DATA!E380&gt;=1</f>
        <v>1</v>
      </c>
      <c r="F380" s="3" t="b">
        <f>RAW_DATA!L380="No"</f>
        <v>0</v>
      </c>
      <c r="G380" s="3" t="b">
        <f t="shared" si="30"/>
        <v>0</v>
      </c>
      <c r="H380" s="3" t="str">
        <f t="shared" si="31"/>
        <v>INELIGIBLE</v>
      </c>
      <c r="I380" s="3" t="str">
        <f t="shared" si="32"/>
        <v>Age, Credit Score, Defaulter History</v>
      </c>
      <c r="K380" s="3" cm="1">
        <f t="array" ref="K3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0" s="5">
        <f>IF(RAW_DATA!C380&lt;300000,0,IF(RAW_DATA!C380&lt;600000,5,IF(RAW_DATA!C380&lt;1200000,15,IF(RAW_DATA!C380&lt;2000000,20,25))))</f>
        <v>15</v>
      </c>
      <c r="M380" s="3">
        <f>IF(RAW_DATA!E380&lt;1,0,IF(RAW_DATA!E380&lt;3,3,IF(RAW_DATA!E380&lt;5,5,IF(RAW_DATA!E380&lt;10,8,10))))</f>
        <v>10</v>
      </c>
      <c r="N380" s="3">
        <f>IF(RAW_DATA!F380&lt;650,0,IF(RAW_DATA!F380&lt;700,8,IF(RAW_DATA!F380&lt;750,15,IF(RAW_DATA!F380&lt;800,20,25))))</f>
        <v>0</v>
      </c>
      <c r="O380" s="3">
        <f>IF(RAW_DATA!G380=0,5,IF(RAW_DATA!G380=1,4,IF(RAW_DATA!G380=2,3,IF(RAW_DATA!G380=3,2,IF(RAW_DATA!G380=4,1,0)))))</f>
        <v>1</v>
      </c>
      <c r="P380" s="3">
        <f>IF(RAW_DATA!K380&gt;=RAW_DATA!H380,20,ROUND((RAW_DATA!K380/RAW_DATA!H380)*20,0))</f>
        <v>20</v>
      </c>
      <c r="Q380" s="3">
        <f>IF(RAW_DATA!L380="No",5,0)</f>
        <v>0</v>
      </c>
      <c r="R380" s="3">
        <f t="shared" si="33"/>
        <v>46</v>
      </c>
      <c r="S380" s="3">
        <f t="shared" si="34"/>
        <v>46</v>
      </c>
      <c r="T380" s="3" t="str">
        <f t="shared" si="35"/>
        <v>Not Scored - Ineligible</v>
      </c>
    </row>
    <row r="381" spans="1:20" x14ac:dyDescent="0.25">
      <c r="A381" s="3" t="str">
        <f>RAW_DATA!A381</f>
        <v>APP380</v>
      </c>
      <c r="B381" s="3" t="b">
        <f>AND(RAW_DATA!B381&gt;=21,RAW_DATA!B381&lt;=60)</f>
        <v>1</v>
      </c>
      <c r="C381" s="3" t="b">
        <f>RAW_DATA!C381&gt;=300000</f>
        <v>1</v>
      </c>
      <c r="D381" s="3" t="b">
        <f>RAW_DATA!F381&gt;=650</f>
        <v>0</v>
      </c>
      <c r="E381" s="3" t="b">
        <f>RAW_DATA!E381&gt;=1</f>
        <v>1</v>
      </c>
      <c r="F381" s="3" t="b">
        <f>RAW_DATA!L381="No"</f>
        <v>1</v>
      </c>
      <c r="G381" s="3" t="b">
        <f t="shared" si="30"/>
        <v>0</v>
      </c>
      <c r="H381" s="3" t="str">
        <f t="shared" si="31"/>
        <v>INELIGIBLE</v>
      </c>
      <c r="I381" s="3" t="str">
        <f t="shared" si="32"/>
        <v>Credit Score</v>
      </c>
      <c r="K381" s="3" cm="1">
        <f t="array" ref="K3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1" s="5">
        <f>IF(RAW_DATA!C381&lt;300000,0,IF(RAW_DATA!C381&lt;600000,5,IF(RAW_DATA!C381&lt;1200000,15,IF(RAW_DATA!C381&lt;2000000,20,25))))</f>
        <v>25</v>
      </c>
      <c r="M381" s="3">
        <f>IF(RAW_DATA!E381&lt;1,0,IF(RAW_DATA!E381&lt;3,3,IF(RAW_DATA!E381&lt;5,5,IF(RAW_DATA!E381&lt;10,8,10))))</f>
        <v>10</v>
      </c>
      <c r="N381" s="3">
        <f>IF(RAW_DATA!F381&lt;650,0,IF(RAW_DATA!F381&lt;700,8,IF(RAW_DATA!F381&lt;750,15,IF(RAW_DATA!F381&lt;800,20,25))))</f>
        <v>0</v>
      </c>
      <c r="O381" s="3">
        <f>IF(RAW_DATA!G381=0,5,IF(RAW_DATA!G381=1,4,IF(RAW_DATA!G381=2,3,IF(RAW_DATA!G381=3,2,IF(RAW_DATA!G381=4,1,0)))))</f>
        <v>0</v>
      </c>
      <c r="P381" s="3">
        <f>IF(RAW_DATA!K381&gt;=RAW_DATA!H381,20,ROUND((RAW_DATA!K381/RAW_DATA!H381)*20,0))</f>
        <v>9</v>
      </c>
      <c r="Q381" s="3">
        <f>IF(RAW_DATA!L381="No",5,0)</f>
        <v>5</v>
      </c>
      <c r="R381" s="3">
        <f t="shared" si="33"/>
        <v>55</v>
      </c>
      <c r="S381" s="3">
        <f t="shared" si="34"/>
        <v>55</v>
      </c>
      <c r="T381" s="3" t="str">
        <f t="shared" si="35"/>
        <v>Not Scored - Ineligible</v>
      </c>
    </row>
    <row r="382" spans="1:20" x14ac:dyDescent="0.25">
      <c r="A382" s="3" t="str">
        <f>RAW_DATA!A382</f>
        <v>APP381</v>
      </c>
      <c r="B382" s="3" t="b">
        <f>AND(RAW_DATA!B382&gt;=21,RAW_DATA!B382&lt;=60)</f>
        <v>1</v>
      </c>
      <c r="C382" s="3" t="b">
        <f>RAW_DATA!C382&gt;=300000</f>
        <v>1</v>
      </c>
      <c r="D382" s="3" t="b">
        <f>RAW_DATA!F382&gt;=650</f>
        <v>1</v>
      </c>
      <c r="E382" s="3" t="b">
        <f>RAW_DATA!E382&gt;=1</f>
        <v>1</v>
      </c>
      <c r="F382" s="3" t="b">
        <f>RAW_DATA!L382="No"</f>
        <v>1</v>
      </c>
      <c r="G382" s="3" t="b">
        <f t="shared" si="30"/>
        <v>1</v>
      </c>
      <c r="H382" s="3" t="str">
        <f t="shared" si="31"/>
        <v>ELIGIBLE</v>
      </c>
      <c r="I382" s="3" t="str">
        <f t="shared" si="32"/>
        <v/>
      </c>
      <c r="K382" s="3" cm="1">
        <f t="array" ref="K3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2" s="5">
        <f>IF(RAW_DATA!C382&lt;300000,0,IF(RAW_DATA!C382&lt;600000,5,IF(RAW_DATA!C382&lt;1200000,15,IF(RAW_DATA!C382&lt;2000000,20,25))))</f>
        <v>5</v>
      </c>
      <c r="M382" s="3">
        <f>IF(RAW_DATA!E382&lt;1,0,IF(RAW_DATA!E382&lt;3,3,IF(RAW_DATA!E382&lt;5,5,IF(RAW_DATA!E382&lt;10,8,10))))</f>
        <v>10</v>
      </c>
      <c r="N382" s="3">
        <f>IF(RAW_DATA!F382&lt;650,0,IF(RAW_DATA!F382&lt;700,8,IF(RAW_DATA!F382&lt;750,15,IF(RAW_DATA!F382&lt;800,20,25))))</f>
        <v>20</v>
      </c>
      <c r="O382" s="3">
        <f>IF(RAW_DATA!G382=0,5,IF(RAW_DATA!G382=1,4,IF(RAW_DATA!G382=2,3,IF(RAW_DATA!G382=3,2,IF(RAW_DATA!G382=4,1,0)))))</f>
        <v>1</v>
      </c>
      <c r="P382" s="3">
        <f>IF(RAW_DATA!K382&gt;=RAW_DATA!H382,20,ROUND((RAW_DATA!K382/RAW_DATA!H382)*20,0))</f>
        <v>11</v>
      </c>
      <c r="Q382" s="3">
        <f>IF(RAW_DATA!L382="No",5,0)</f>
        <v>5</v>
      </c>
      <c r="R382" s="3">
        <f t="shared" si="33"/>
        <v>58</v>
      </c>
      <c r="S382" s="3">
        <f t="shared" si="34"/>
        <v>58</v>
      </c>
      <c r="T382" s="3" t="str">
        <f t="shared" si="35"/>
        <v>Moderate</v>
      </c>
    </row>
    <row r="383" spans="1:20" x14ac:dyDescent="0.25">
      <c r="A383" s="3" t="str">
        <f>RAW_DATA!A383</f>
        <v>APP382</v>
      </c>
      <c r="B383" s="3" t="b">
        <f>AND(RAW_DATA!B383&gt;=21,RAW_DATA!B383&lt;=60)</f>
        <v>1</v>
      </c>
      <c r="C383" s="3" t="b">
        <f>RAW_DATA!C383&gt;=300000</f>
        <v>1</v>
      </c>
      <c r="D383" s="3" t="b">
        <f>RAW_DATA!F383&gt;=650</f>
        <v>0</v>
      </c>
      <c r="E383" s="3" t="b">
        <f>RAW_DATA!E383&gt;=1</f>
        <v>1</v>
      </c>
      <c r="F383" s="3" t="b">
        <f>RAW_DATA!L383="No"</f>
        <v>1</v>
      </c>
      <c r="G383" s="3" t="b">
        <f t="shared" si="30"/>
        <v>0</v>
      </c>
      <c r="H383" s="3" t="str">
        <f t="shared" si="31"/>
        <v>INELIGIBLE</v>
      </c>
      <c r="I383" s="3" t="str">
        <f t="shared" si="32"/>
        <v>Credit Score</v>
      </c>
      <c r="K383" s="3" cm="1">
        <f t="array" ref="K3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3" s="5">
        <f>IF(RAW_DATA!C383&lt;300000,0,IF(RAW_DATA!C383&lt;600000,5,IF(RAW_DATA!C383&lt;1200000,15,IF(RAW_DATA!C383&lt;2000000,20,25))))</f>
        <v>25</v>
      </c>
      <c r="M383" s="3">
        <f>IF(RAW_DATA!E383&lt;1,0,IF(RAW_DATA!E383&lt;3,3,IF(RAW_DATA!E383&lt;5,5,IF(RAW_DATA!E383&lt;10,8,10))))</f>
        <v>8</v>
      </c>
      <c r="N383" s="3">
        <f>IF(RAW_DATA!F383&lt;650,0,IF(RAW_DATA!F383&lt;700,8,IF(RAW_DATA!F383&lt;750,15,IF(RAW_DATA!F383&lt;800,20,25))))</f>
        <v>0</v>
      </c>
      <c r="O383" s="3">
        <f>IF(RAW_DATA!G383=0,5,IF(RAW_DATA!G383=1,4,IF(RAW_DATA!G383=2,3,IF(RAW_DATA!G383=3,2,IF(RAW_DATA!G383=4,1,0)))))</f>
        <v>2</v>
      </c>
      <c r="P383" s="3">
        <f>IF(RAW_DATA!K383&gt;=RAW_DATA!H383,20,ROUND((RAW_DATA!K383/RAW_DATA!H383)*20,0))</f>
        <v>20</v>
      </c>
      <c r="Q383" s="3">
        <f>IF(RAW_DATA!L383="No",5,0)</f>
        <v>5</v>
      </c>
      <c r="R383" s="3">
        <f t="shared" si="33"/>
        <v>68</v>
      </c>
      <c r="S383" s="3">
        <f t="shared" si="34"/>
        <v>68</v>
      </c>
      <c r="T383" s="3" t="str">
        <f t="shared" si="35"/>
        <v>Not Scored - Ineligible</v>
      </c>
    </row>
    <row r="384" spans="1:20" x14ac:dyDescent="0.25">
      <c r="A384" s="3" t="str">
        <f>RAW_DATA!A384</f>
        <v>APP383</v>
      </c>
      <c r="B384" s="3" t="b">
        <f>AND(RAW_DATA!B384&gt;=21,RAW_DATA!B384&lt;=60)</f>
        <v>1</v>
      </c>
      <c r="C384" s="3" t="b">
        <f>RAW_DATA!C384&gt;=300000</f>
        <v>1</v>
      </c>
      <c r="D384" s="3" t="b">
        <f>RAW_DATA!F384&gt;=650</f>
        <v>0</v>
      </c>
      <c r="E384" s="3" t="b">
        <f>RAW_DATA!E384&gt;=1</f>
        <v>0</v>
      </c>
      <c r="F384" s="3" t="b">
        <f>RAW_DATA!L384="No"</f>
        <v>1</v>
      </c>
      <c r="G384" s="3" t="b">
        <f t="shared" si="30"/>
        <v>0</v>
      </c>
      <c r="H384" s="3" t="str">
        <f t="shared" si="31"/>
        <v>INELIGIBLE</v>
      </c>
      <c r="I384" s="3" t="str">
        <f t="shared" si="32"/>
        <v>Credit Score, Employment</v>
      </c>
      <c r="K384" s="3" cm="1">
        <f t="array" ref="K3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4" s="5">
        <f>IF(RAW_DATA!C384&lt;300000,0,IF(RAW_DATA!C384&lt;600000,5,IF(RAW_DATA!C384&lt;1200000,15,IF(RAW_DATA!C384&lt;2000000,20,25))))</f>
        <v>25</v>
      </c>
      <c r="M384" s="3">
        <f>IF(RAW_DATA!E384&lt;1,0,IF(RAW_DATA!E384&lt;3,3,IF(RAW_DATA!E384&lt;5,5,IF(RAW_DATA!E384&lt;10,8,10))))</f>
        <v>0</v>
      </c>
      <c r="N384" s="3">
        <f>IF(RAW_DATA!F384&lt;650,0,IF(RAW_DATA!F384&lt;700,8,IF(RAW_DATA!F384&lt;750,15,IF(RAW_DATA!F384&lt;800,20,25))))</f>
        <v>0</v>
      </c>
      <c r="O384" s="3">
        <f>IF(RAW_DATA!G384=0,5,IF(RAW_DATA!G384=1,4,IF(RAW_DATA!G384=2,3,IF(RAW_DATA!G384=3,2,IF(RAW_DATA!G384=4,1,0)))))</f>
        <v>2</v>
      </c>
      <c r="P384" s="3">
        <f>IF(RAW_DATA!K384&gt;=RAW_DATA!H384,20,ROUND((RAW_DATA!K384/RAW_DATA!H384)*20,0))</f>
        <v>20</v>
      </c>
      <c r="Q384" s="3">
        <f>IF(RAW_DATA!L384="No",5,0)</f>
        <v>5</v>
      </c>
      <c r="R384" s="3">
        <f t="shared" si="33"/>
        <v>60</v>
      </c>
      <c r="S384" s="3">
        <f t="shared" si="34"/>
        <v>60</v>
      </c>
      <c r="T384" s="3" t="str">
        <f t="shared" si="35"/>
        <v>Not Scored - Ineligible</v>
      </c>
    </row>
    <row r="385" spans="1:20" x14ac:dyDescent="0.25">
      <c r="A385" s="3" t="str">
        <f>RAW_DATA!A385</f>
        <v>APP384</v>
      </c>
      <c r="B385" s="3" t="b">
        <f>AND(RAW_DATA!B385&gt;=21,RAW_DATA!B385&lt;=60)</f>
        <v>0</v>
      </c>
      <c r="C385" s="3" t="b">
        <f>RAW_DATA!C385&gt;=300000</f>
        <v>1</v>
      </c>
      <c r="D385" s="3" t="b">
        <f>RAW_DATA!F385&gt;=650</f>
        <v>0</v>
      </c>
      <c r="E385" s="3" t="b">
        <f>RAW_DATA!E385&gt;=1</f>
        <v>1</v>
      </c>
      <c r="F385" s="3" t="b">
        <f>RAW_DATA!L385="No"</f>
        <v>1</v>
      </c>
      <c r="G385" s="3" t="b">
        <f t="shared" si="30"/>
        <v>0</v>
      </c>
      <c r="H385" s="3" t="str">
        <f t="shared" si="31"/>
        <v>INELIGIBLE</v>
      </c>
      <c r="I385" s="3" t="str">
        <f t="shared" si="32"/>
        <v>Age, Credit Score</v>
      </c>
      <c r="K385" s="3" cm="1">
        <f t="array" ref="K3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5" s="5">
        <f>IF(RAW_DATA!C385&lt;300000,0,IF(RAW_DATA!C385&lt;600000,5,IF(RAW_DATA!C385&lt;1200000,15,IF(RAW_DATA!C385&lt;2000000,20,25))))</f>
        <v>15</v>
      </c>
      <c r="M385" s="3">
        <f>IF(RAW_DATA!E385&lt;1,0,IF(RAW_DATA!E385&lt;3,3,IF(RAW_DATA!E385&lt;5,5,IF(RAW_DATA!E385&lt;10,8,10))))</f>
        <v>10</v>
      </c>
      <c r="N385" s="3">
        <f>IF(RAW_DATA!F385&lt;650,0,IF(RAW_DATA!F385&lt;700,8,IF(RAW_DATA!F385&lt;750,15,IF(RAW_DATA!F385&lt;800,20,25))))</f>
        <v>0</v>
      </c>
      <c r="O385" s="3">
        <f>IF(RAW_DATA!G385=0,5,IF(RAW_DATA!G385=1,4,IF(RAW_DATA!G385=2,3,IF(RAW_DATA!G385=3,2,IF(RAW_DATA!G385=4,1,0)))))</f>
        <v>4</v>
      </c>
      <c r="P385" s="3">
        <f>IF(RAW_DATA!K385&gt;=RAW_DATA!H385,20,ROUND((RAW_DATA!K385/RAW_DATA!H385)*20,0))</f>
        <v>20</v>
      </c>
      <c r="Q385" s="3">
        <f>IF(RAW_DATA!L385="No",5,0)</f>
        <v>5</v>
      </c>
      <c r="R385" s="3">
        <f t="shared" si="33"/>
        <v>54</v>
      </c>
      <c r="S385" s="3">
        <f t="shared" si="34"/>
        <v>54</v>
      </c>
      <c r="T385" s="3" t="str">
        <f t="shared" si="35"/>
        <v>Not Scored - Ineligible</v>
      </c>
    </row>
    <row r="386" spans="1:20" x14ac:dyDescent="0.25">
      <c r="A386" s="3" t="str">
        <f>RAW_DATA!A386</f>
        <v>APP385</v>
      </c>
      <c r="B386" s="3" t="b">
        <f>AND(RAW_DATA!B386&gt;=21,RAW_DATA!B386&lt;=60)</f>
        <v>1</v>
      </c>
      <c r="C386" s="3" t="b">
        <f>RAW_DATA!C386&gt;=300000</f>
        <v>1</v>
      </c>
      <c r="D386" s="3" t="b">
        <f>RAW_DATA!F386&gt;=650</f>
        <v>0</v>
      </c>
      <c r="E386" s="3" t="b">
        <f>RAW_DATA!E386&gt;=1</f>
        <v>1</v>
      </c>
      <c r="F386" s="3" t="b">
        <f>RAW_DATA!L386="No"</f>
        <v>1</v>
      </c>
      <c r="G386" s="3" t="b">
        <f t="shared" si="30"/>
        <v>0</v>
      </c>
      <c r="H386" s="3" t="str">
        <f t="shared" si="31"/>
        <v>INELIGIBLE</v>
      </c>
      <c r="I386" s="3" t="str">
        <f t="shared" si="32"/>
        <v>Credit Score</v>
      </c>
      <c r="K386" s="3" cm="1">
        <f t="array" ref="K3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6" s="5">
        <f>IF(RAW_DATA!C386&lt;300000,0,IF(RAW_DATA!C386&lt;600000,5,IF(RAW_DATA!C386&lt;1200000,15,IF(RAW_DATA!C386&lt;2000000,20,25))))</f>
        <v>25</v>
      </c>
      <c r="M386" s="3">
        <f>IF(RAW_DATA!E386&lt;1,0,IF(RAW_DATA!E386&lt;3,3,IF(RAW_DATA!E386&lt;5,5,IF(RAW_DATA!E386&lt;10,8,10))))</f>
        <v>10</v>
      </c>
      <c r="N386" s="3">
        <f>IF(RAW_DATA!F386&lt;650,0,IF(RAW_DATA!F386&lt;700,8,IF(RAW_DATA!F386&lt;750,15,IF(RAW_DATA!F386&lt;800,20,25))))</f>
        <v>0</v>
      </c>
      <c r="O386" s="3">
        <f>IF(RAW_DATA!G386=0,5,IF(RAW_DATA!G386=1,4,IF(RAW_DATA!G386=2,3,IF(RAW_DATA!G386=3,2,IF(RAW_DATA!G386=4,1,0)))))</f>
        <v>0</v>
      </c>
      <c r="P386" s="3">
        <f>IF(RAW_DATA!K386&gt;=RAW_DATA!H386,20,ROUND((RAW_DATA!K386/RAW_DATA!H386)*20,0))</f>
        <v>20</v>
      </c>
      <c r="Q386" s="3">
        <f>IF(RAW_DATA!L386="No",5,0)</f>
        <v>5</v>
      </c>
      <c r="R386" s="3">
        <f t="shared" si="33"/>
        <v>70</v>
      </c>
      <c r="S386" s="3">
        <f t="shared" si="34"/>
        <v>70</v>
      </c>
      <c r="T386" s="3" t="str">
        <f t="shared" si="35"/>
        <v>Not Scored - Ineligible</v>
      </c>
    </row>
    <row r="387" spans="1:20" x14ac:dyDescent="0.25">
      <c r="A387" s="3" t="str">
        <f>RAW_DATA!A387</f>
        <v>APP386</v>
      </c>
      <c r="B387" s="3" t="b">
        <f>AND(RAW_DATA!B387&gt;=21,RAW_DATA!B387&lt;=60)</f>
        <v>1</v>
      </c>
      <c r="C387" s="3" t="b">
        <f>RAW_DATA!C387&gt;=300000</f>
        <v>1</v>
      </c>
      <c r="D387" s="3" t="b">
        <f>RAW_DATA!F387&gt;=650</f>
        <v>1</v>
      </c>
      <c r="E387" s="3" t="b">
        <f>RAW_DATA!E387&gt;=1</f>
        <v>1</v>
      </c>
      <c r="F387" s="3" t="b">
        <f>RAW_DATA!L387="No"</f>
        <v>1</v>
      </c>
      <c r="G387" s="3" t="b">
        <f t="shared" ref="G387:G450" si="36">AND(B387:F387)</f>
        <v>1</v>
      </c>
      <c r="H387" s="3" t="str">
        <f t="shared" ref="H387:H450" si="37">IF(G387,"ELIGIBLE","INELIGIBLE")</f>
        <v>ELIGIBLE</v>
      </c>
      <c r="I387" s="3" t="str">
        <f t="shared" ref="I387:I450" si="38">IF(G387,"",_xlfn.TEXTJOIN(", ",TRUE,IF(B387,"","Age"),IF(C387,"","Income"),IF(D387,"","Credit Score"),IF(E387,"","Employment"),IF(F387,"","Defaulter History")))</f>
        <v/>
      </c>
      <c r="K387" s="3" cm="1">
        <f t="array" ref="K3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7" s="5">
        <f>IF(RAW_DATA!C387&lt;300000,0,IF(RAW_DATA!C387&lt;600000,5,IF(RAW_DATA!C387&lt;1200000,15,IF(RAW_DATA!C387&lt;2000000,20,25))))</f>
        <v>25</v>
      </c>
      <c r="M387" s="3">
        <f>IF(RAW_DATA!E387&lt;1,0,IF(RAW_DATA!E387&lt;3,3,IF(RAW_DATA!E387&lt;5,5,IF(RAW_DATA!E387&lt;10,8,10))))</f>
        <v>10</v>
      </c>
      <c r="N387" s="3">
        <f>IF(RAW_DATA!F387&lt;650,0,IF(RAW_DATA!F387&lt;700,8,IF(RAW_DATA!F387&lt;750,15,IF(RAW_DATA!F387&lt;800,20,25))))</f>
        <v>15</v>
      </c>
      <c r="O387" s="3">
        <f>IF(RAW_DATA!G387=0,5,IF(RAW_DATA!G387=1,4,IF(RAW_DATA!G387=2,3,IF(RAW_DATA!G387=3,2,IF(RAW_DATA!G387=4,1,0)))))</f>
        <v>0</v>
      </c>
      <c r="P387" s="3">
        <f>IF(RAW_DATA!K387&gt;=RAW_DATA!H387,20,ROUND((RAW_DATA!K387/RAW_DATA!H387)*20,0))</f>
        <v>20</v>
      </c>
      <c r="Q387" s="3">
        <f>IF(RAW_DATA!L387="No",5,0)</f>
        <v>5</v>
      </c>
      <c r="R387" s="3">
        <f t="shared" ref="R387:R450" si="39">K387+L387+M387+N387+O387+P387+Q387</f>
        <v>85</v>
      </c>
      <c r="S387" s="3">
        <f t="shared" ref="S387:S450" si="40">R387</f>
        <v>85</v>
      </c>
      <c r="T387" s="3" t="str">
        <f t="shared" ref="T387:T450" si="41">IF(H387="INELIGIBLE","Not Scored - Ineligible",IF(S387&gt;=70,"Strong",IF(S387&gt;=50,"Moderate","Weak")))</f>
        <v>Strong</v>
      </c>
    </row>
    <row r="388" spans="1:20" x14ac:dyDescent="0.25">
      <c r="A388" s="3" t="str">
        <f>RAW_DATA!A388</f>
        <v>APP387</v>
      </c>
      <c r="B388" s="3" t="b">
        <f>AND(RAW_DATA!B388&gt;=21,RAW_DATA!B388&lt;=60)</f>
        <v>1</v>
      </c>
      <c r="C388" s="3" t="b">
        <f>RAW_DATA!C388&gt;=300000</f>
        <v>0</v>
      </c>
      <c r="D388" s="3" t="b">
        <f>RAW_DATA!F388&gt;=650</f>
        <v>0</v>
      </c>
      <c r="E388" s="3" t="b">
        <f>RAW_DATA!E388&gt;=1</f>
        <v>1</v>
      </c>
      <c r="F388" s="3" t="b">
        <f>RAW_DATA!L388="No"</f>
        <v>1</v>
      </c>
      <c r="G388" s="3" t="b">
        <f t="shared" si="36"/>
        <v>0</v>
      </c>
      <c r="H388" s="3" t="str">
        <f t="shared" si="37"/>
        <v>INELIGIBLE</v>
      </c>
      <c r="I388" s="3" t="str">
        <f t="shared" si="38"/>
        <v>Income, Credit Score</v>
      </c>
      <c r="K388" s="3" cm="1">
        <f t="array" ref="K3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88" s="5">
        <f>IF(RAW_DATA!C388&lt;300000,0,IF(RAW_DATA!C388&lt;600000,5,IF(RAW_DATA!C388&lt;1200000,15,IF(RAW_DATA!C388&lt;2000000,20,25))))</f>
        <v>0</v>
      </c>
      <c r="M388" s="3">
        <f>IF(RAW_DATA!E388&lt;1,0,IF(RAW_DATA!E388&lt;3,3,IF(RAW_DATA!E388&lt;5,5,IF(RAW_DATA!E388&lt;10,8,10))))</f>
        <v>5</v>
      </c>
      <c r="N388" s="3">
        <f>IF(RAW_DATA!F388&lt;650,0,IF(RAW_DATA!F388&lt;700,8,IF(RAW_DATA!F388&lt;750,15,IF(RAW_DATA!F388&lt;800,20,25))))</f>
        <v>0</v>
      </c>
      <c r="O388" s="3">
        <f>IF(RAW_DATA!G388=0,5,IF(RAW_DATA!G388=1,4,IF(RAW_DATA!G388=2,3,IF(RAW_DATA!G388=3,2,IF(RAW_DATA!G388=4,1,0)))))</f>
        <v>2</v>
      </c>
      <c r="P388" s="3">
        <f>IF(RAW_DATA!K388&gt;=RAW_DATA!H388,20,ROUND((RAW_DATA!K388/RAW_DATA!H388)*20,0))</f>
        <v>20</v>
      </c>
      <c r="Q388" s="3">
        <f>IF(RAW_DATA!L388="No",5,0)</f>
        <v>5</v>
      </c>
      <c r="R388" s="3">
        <f t="shared" si="39"/>
        <v>36</v>
      </c>
      <c r="S388" s="3">
        <f t="shared" si="40"/>
        <v>36</v>
      </c>
      <c r="T388" s="3" t="str">
        <f t="shared" si="41"/>
        <v>Not Scored - Ineligible</v>
      </c>
    </row>
    <row r="389" spans="1:20" x14ac:dyDescent="0.25">
      <c r="A389" s="3" t="str">
        <f>RAW_DATA!A389</f>
        <v>APP388</v>
      </c>
      <c r="B389" s="3" t="b">
        <f>AND(RAW_DATA!B389&gt;=21,RAW_DATA!B389&lt;=60)</f>
        <v>1</v>
      </c>
      <c r="C389" s="3" t="b">
        <f>RAW_DATA!C389&gt;=300000</f>
        <v>1</v>
      </c>
      <c r="D389" s="3" t="b">
        <f>RAW_DATA!F389&gt;=650</f>
        <v>0</v>
      </c>
      <c r="E389" s="3" t="b">
        <f>RAW_DATA!E389&gt;=1</f>
        <v>1</v>
      </c>
      <c r="F389" s="3" t="b">
        <f>RAW_DATA!L389="No"</f>
        <v>1</v>
      </c>
      <c r="G389" s="3" t="b">
        <f t="shared" si="36"/>
        <v>0</v>
      </c>
      <c r="H389" s="3" t="str">
        <f t="shared" si="37"/>
        <v>INELIGIBLE</v>
      </c>
      <c r="I389" s="3" t="str">
        <f t="shared" si="38"/>
        <v>Credit Score</v>
      </c>
      <c r="K389" s="3" cm="1">
        <f t="array" ref="K3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9" s="5">
        <f>IF(RAW_DATA!C389&lt;300000,0,IF(RAW_DATA!C389&lt;600000,5,IF(RAW_DATA!C389&lt;1200000,15,IF(RAW_DATA!C389&lt;2000000,20,25))))</f>
        <v>15</v>
      </c>
      <c r="M389" s="3">
        <f>IF(RAW_DATA!E389&lt;1,0,IF(RAW_DATA!E389&lt;3,3,IF(RAW_DATA!E389&lt;5,5,IF(RAW_DATA!E389&lt;10,8,10))))</f>
        <v>8</v>
      </c>
      <c r="N389" s="3">
        <f>IF(RAW_DATA!F389&lt;650,0,IF(RAW_DATA!F389&lt;700,8,IF(RAW_DATA!F389&lt;750,15,IF(RAW_DATA!F389&lt;800,20,25))))</f>
        <v>0</v>
      </c>
      <c r="O389" s="3">
        <f>IF(RAW_DATA!G389=0,5,IF(RAW_DATA!G389=1,4,IF(RAW_DATA!G389=2,3,IF(RAW_DATA!G389=3,2,IF(RAW_DATA!G389=4,1,0)))))</f>
        <v>5</v>
      </c>
      <c r="P389" s="3">
        <f>IF(RAW_DATA!K389&gt;=RAW_DATA!H389,20,ROUND((RAW_DATA!K389/RAW_DATA!H389)*20,0))</f>
        <v>20</v>
      </c>
      <c r="Q389" s="3">
        <f>IF(RAW_DATA!L389="No",5,0)</f>
        <v>5</v>
      </c>
      <c r="R389" s="3">
        <f t="shared" si="39"/>
        <v>63</v>
      </c>
      <c r="S389" s="3">
        <f t="shared" si="40"/>
        <v>63</v>
      </c>
      <c r="T389" s="3" t="str">
        <f t="shared" si="41"/>
        <v>Not Scored - Ineligible</v>
      </c>
    </row>
    <row r="390" spans="1:20" x14ac:dyDescent="0.25">
      <c r="A390" s="3" t="str">
        <f>RAW_DATA!A390</f>
        <v>APP389</v>
      </c>
      <c r="B390" s="3" t="b">
        <f>AND(RAW_DATA!B390&gt;=21,RAW_DATA!B390&lt;=60)</f>
        <v>1</v>
      </c>
      <c r="C390" s="3" t="b">
        <f>RAW_DATA!C390&gt;=300000</f>
        <v>1</v>
      </c>
      <c r="D390" s="3" t="b">
        <f>RAW_DATA!F390&gt;=650</f>
        <v>1</v>
      </c>
      <c r="E390" s="3" t="b">
        <f>RAW_DATA!E390&gt;=1</f>
        <v>1</v>
      </c>
      <c r="F390" s="3" t="b">
        <f>RAW_DATA!L390="No"</f>
        <v>0</v>
      </c>
      <c r="G390" s="3" t="b">
        <f t="shared" si="36"/>
        <v>0</v>
      </c>
      <c r="H390" s="3" t="str">
        <f t="shared" si="37"/>
        <v>INELIGIBLE</v>
      </c>
      <c r="I390" s="3" t="str">
        <f t="shared" si="38"/>
        <v>Defaulter History</v>
      </c>
      <c r="K390" s="3" cm="1">
        <f t="array" ref="K3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0" s="5">
        <f>IF(RAW_DATA!C390&lt;300000,0,IF(RAW_DATA!C390&lt;600000,5,IF(RAW_DATA!C390&lt;1200000,15,IF(RAW_DATA!C390&lt;2000000,20,25))))</f>
        <v>15</v>
      </c>
      <c r="M390" s="3">
        <f>IF(RAW_DATA!E390&lt;1,0,IF(RAW_DATA!E390&lt;3,3,IF(RAW_DATA!E390&lt;5,5,IF(RAW_DATA!E390&lt;10,8,10))))</f>
        <v>10</v>
      </c>
      <c r="N390" s="3">
        <f>IF(RAW_DATA!F390&lt;650,0,IF(RAW_DATA!F390&lt;700,8,IF(RAW_DATA!F390&lt;750,15,IF(RAW_DATA!F390&lt;800,20,25))))</f>
        <v>25</v>
      </c>
      <c r="O390" s="3">
        <f>IF(RAW_DATA!G390=0,5,IF(RAW_DATA!G390=1,4,IF(RAW_DATA!G390=2,3,IF(RAW_DATA!G390=3,2,IF(RAW_DATA!G390=4,1,0)))))</f>
        <v>0</v>
      </c>
      <c r="P390" s="3">
        <f>IF(RAW_DATA!K390&gt;=RAW_DATA!H390,20,ROUND((RAW_DATA!K390/RAW_DATA!H390)*20,0))</f>
        <v>20</v>
      </c>
      <c r="Q390" s="3">
        <f>IF(RAW_DATA!L390="No",5,0)</f>
        <v>0</v>
      </c>
      <c r="R390" s="3">
        <f t="shared" si="39"/>
        <v>76</v>
      </c>
      <c r="S390" s="3">
        <f t="shared" si="40"/>
        <v>76</v>
      </c>
      <c r="T390" s="3" t="str">
        <f t="shared" si="41"/>
        <v>Not Scored - Ineligible</v>
      </c>
    </row>
    <row r="391" spans="1:20" x14ac:dyDescent="0.25">
      <c r="A391" s="3" t="str">
        <f>RAW_DATA!A391</f>
        <v>APP390</v>
      </c>
      <c r="B391" s="3" t="b">
        <f>AND(RAW_DATA!B391&gt;=21,RAW_DATA!B391&lt;=60)</f>
        <v>1</v>
      </c>
      <c r="C391" s="3" t="b">
        <f>RAW_DATA!C391&gt;=300000</f>
        <v>1</v>
      </c>
      <c r="D391" s="3" t="b">
        <f>RAW_DATA!F391&gt;=650</f>
        <v>0</v>
      </c>
      <c r="E391" s="3" t="b">
        <f>RAW_DATA!E391&gt;=1</f>
        <v>1</v>
      </c>
      <c r="F391" s="3" t="b">
        <f>RAW_DATA!L391="No"</f>
        <v>0</v>
      </c>
      <c r="G391" s="3" t="b">
        <f t="shared" si="36"/>
        <v>0</v>
      </c>
      <c r="H391" s="3" t="str">
        <f t="shared" si="37"/>
        <v>INELIGIBLE</v>
      </c>
      <c r="I391" s="3" t="str">
        <f t="shared" si="38"/>
        <v>Credit Score, Defaulter History</v>
      </c>
      <c r="K391" s="3" cm="1">
        <f t="array" ref="K3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1" s="5">
        <f>IF(RAW_DATA!C391&lt;300000,0,IF(RAW_DATA!C391&lt;600000,5,IF(RAW_DATA!C391&lt;1200000,15,IF(RAW_DATA!C391&lt;2000000,20,25))))</f>
        <v>5</v>
      </c>
      <c r="M391" s="3">
        <f>IF(RAW_DATA!E391&lt;1,0,IF(RAW_DATA!E391&lt;3,3,IF(RAW_DATA!E391&lt;5,5,IF(RAW_DATA!E391&lt;10,8,10))))</f>
        <v>10</v>
      </c>
      <c r="N391" s="3">
        <f>IF(RAW_DATA!F391&lt;650,0,IF(RAW_DATA!F391&lt;700,8,IF(RAW_DATA!F391&lt;750,15,IF(RAW_DATA!F391&lt;800,20,25))))</f>
        <v>0</v>
      </c>
      <c r="O391" s="3">
        <f>IF(RAW_DATA!G391=0,5,IF(RAW_DATA!G391=1,4,IF(RAW_DATA!G391=2,3,IF(RAW_DATA!G391=3,2,IF(RAW_DATA!G391=4,1,0)))))</f>
        <v>1</v>
      </c>
      <c r="P391" s="3">
        <f>IF(RAW_DATA!K391&gt;=RAW_DATA!H391,20,ROUND((RAW_DATA!K391/RAW_DATA!H391)*20,0))</f>
        <v>11</v>
      </c>
      <c r="Q391" s="3">
        <f>IF(RAW_DATA!L391="No",5,0)</f>
        <v>0</v>
      </c>
      <c r="R391" s="3">
        <f t="shared" si="39"/>
        <v>33</v>
      </c>
      <c r="S391" s="3">
        <f t="shared" si="40"/>
        <v>33</v>
      </c>
      <c r="T391" s="3" t="str">
        <f t="shared" si="41"/>
        <v>Not Scored - Ineligible</v>
      </c>
    </row>
    <row r="392" spans="1:20" x14ac:dyDescent="0.25">
      <c r="A392" s="3" t="str">
        <f>RAW_DATA!A392</f>
        <v>APP391</v>
      </c>
      <c r="B392" s="3" t="b">
        <f>AND(RAW_DATA!B392&gt;=21,RAW_DATA!B392&lt;=60)</f>
        <v>1</v>
      </c>
      <c r="C392" s="3" t="b">
        <f>RAW_DATA!C392&gt;=300000</f>
        <v>1</v>
      </c>
      <c r="D392" s="3" t="b">
        <f>RAW_DATA!F392&gt;=650</f>
        <v>0</v>
      </c>
      <c r="E392" s="3" t="b">
        <f>RAW_DATA!E392&gt;=1</f>
        <v>1</v>
      </c>
      <c r="F392" s="3" t="b">
        <f>RAW_DATA!L392="No"</f>
        <v>1</v>
      </c>
      <c r="G392" s="3" t="b">
        <f t="shared" si="36"/>
        <v>0</v>
      </c>
      <c r="H392" s="3" t="str">
        <f t="shared" si="37"/>
        <v>INELIGIBLE</v>
      </c>
      <c r="I392" s="3" t="str">
        <f t="shared" si="38"/>
        <v>Credit Score</v>
      </c>
      <c r="K392" s="3" cm="1">
        <f t="array" ref="K3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2" s="5">
        <f>IF(RAW_DATA!C392&lt;300000,0,IF(RAW_DATA!C392&lt;600000,5,IF(RAW_DATA!C392&lt;1200000,15,IF(RAW_DATA!C392&lt;2000000,20,25))))</f>
        <v>15</v>
      </c>
      <c r="M392" s="3">
        <f>IF(RAW_DATA!E392&lt;1,0,IF(RAW_DATA!E392&lt;3,3,IF(RAW_DATA!E392&lt;5,5,IF(RAW_DATA!E392&lt;10,8,10))))</f>
        <v>10</v>
      </c>
      <c r="N392" s="3">
        <f>IF(RAW_DATA!F392&lt;650,0,IF(RAW_DATA!F392&lt;700,8,IF(RAW_DATA!F392&lt;750,15,IF(RAW_DATA!F392&lt;800,20,25))))</f>
        <v>0</v>
      </c>
      <c r="O392" s="3">
        <f>IF(RAW_DATA!G392=0,5,IF(RAW_DATA!G392=1,4,IF(RAW_DATA!G392=2,3,IF(RAW_DATA!G392=3,2,IF(RAW_DATA!G392=4,1,0)))))</f>
        <v>2</v>
      </c>
      <c r="P392" s="3">
        <f>IF(RAW_DATA!K392&gt;=RAW_DATA!H392,20,ROUND((RAW_DATA!K392/RAW_DATA!H392)*20,0))</f>
        <v>20</v>
      </c>
      <c r="Q392" s="3">
        <f>IF(RAW_DATA!L392="No",5,0)</f>
        <v>5</v>
      </c>
      <c r="R392" s="3">
        <f t="shared" si="39"/>
        <v>62</v>
      </c>
      <c r="S392" s="3">
        <f t="shared" si="40"/>
        <v>62</v>
      </c>
      <c r="T392" s="3" t="str">
        <f t="shared" si="41"/>
        <v>Not Scored - Ineligible</v>
      </c>
    </row>
    <row r="393" spans="1:20" x14ac:dyDescent="0.25">
      <c r="A393" s="3" t="str">
        <f>RAW_DATA!A393</f>
        <v>APP392</v>
      </c>
      <c r="B393" s="3" t="b">
        <f>AND(RAW_DATA!B393&gt;=21,RAW_DATA!B393&lt;=60)</f>
        <v>1</v>
      </c>
      <c r="C393" s="3" t="b">
        <f>RAW_DATA!C393&gt;=300000</f>
        <v>1</v>
      </c>
      <c r="D393" s="3" t="b">
        <f>RAW_DATA!F393&gt;=650</f>
        <v>0</v>
      </c>
      <c r="E393" s="3" t="b">
        <f>RAW_DATA!E393&gt;=1</f>
        <v>1</v>
      </c>
      <c r="F393" s="3" t="b">
        <f>RAW_DATA!L393="No"</f>
        <v>1</v>
      </c>
      <c r="G393" s="3" t="b">
        <f t="shared" si="36"/>
        <v>0</v>
      </c>
      <c r="H393" s="3" t="str">
        <f t="shared" si="37"/>
        <v>INELIGIBLE</v>
      </c>
      <c r="I393" s="3" t="str">
        <f t="shared" si="38"/>
        <v>Credit Score</v>
      </c>
      <c r="K393" s="3" cm="1">
        <f t="array" ref="K3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3" s="5">
        <f>IF(RAW_DATA!C393&lt;300000,0,IF(RAW_DATA!C393&lt;600000,5,IF(RAW_DATA!C393&lt;1200000,15,IF(RAW_DATA!C393&lt;2000000,20,25))))</f>
        <v>20</v>
      </c>
      <c r="M393" s="3">
        <f>IF(RAW_DATA!E393&lt;1,0,IF(RAW_DATA!E393&lt;3,3,IF(RAW_DATA!E393&lt;5,5,IF(RAW_DATA!E393&lt;10,8,10))))</f>
        <v>8</v>
      </c>
      <c r="N393" s="3">
        <f>IF(RAW_DATA!F393&lt;650,0,IF(RAW_DATA!F393&lt;700,8,IF(RAW_DATA!F393&lt;750,15,IF(RAW_DATA!F393&lt;800,20,25))))</f>
        <v>0</v>
      </c>
      <c r="O393" s="3">
        <f>IF(RAW_DATA!G393=0,5,IF(RAW_DATA!G393=1,4,IF(RAW_DATA!G393=2,3,IF(RAW_DATA!G393=3,2,IF(RAW_DATA!G393=4,1,0)))))</f>
        <v>2</v>
      </c>
      <c r="P393" s="3">
        <f>IF(RAW_DATA!K393&gt;=RAW_DATA!H393,20,ROUND((RAW_DATA!K393/RAW_DATA!H393)*20,0))</f>
        <v>20</v>
      </c>
      <c r="Q393" s="3">
        <f>IF(RAW_DATA!L393="No",5,0)</f>
        <v>5</v>
      </c>
      <c r="R393" s="3">
        <f t="shared" si="39"/>
        <v>63</v>
      </c>
      <c r="S393" s="3">
        <f t="shared" si="40"/>
        <v>63</v>
      </c>
      <c r="T393" s="3" t="str">
        <f t="shared" si="41"/>
        <v>Not Scored - Ineligible</v>
      </c>
    </row>
    <row r="394" spans="1:20" x14ac:dyDescent="0.25">
      <c r="A394" s="3" t="str">
        <f>RAW_DATA!A394</f>
        <v>APP393</v>
      </c>
      <c r="B394" s="3" t="b">
        <f>AND(RAW_DATA!B394&gt;=21,RAW_DATA!B394&lt;=60)</f>
        <v>1</v>
      </c>
      <c r="C394" s="3" t="b">
        <f>RAW_DATA!C394&gt;=300000</f>
        <v>1</v>
      </c>
      <c r="D394" s="3" t="b">
        <f>RAW_DATA!F394&gt;=650</f>
        <v>1</v>
      </c>
      <c r="E394" s="3" t="b">
        <f>RAW_DATA!E394&gt;=1</f>
        <v>1</v>
      </c>
      <c r="F394" s="3" t="b">
        <f>RAW_DATA!L394="No"</f>
        <v>0</v>
      </c>
      <c r="G394" s="3" t="b">
        <f t="shared" si="36"/>
        <v>0</v>
      </c>
      <c r="H394" s="3" t="str">
        <f t="shared" si="37"/>
        <v>INELIGIBLE</v>
      </c>
      <c r="I394" s="3" t="str">
        <f t="shared" si="38"/>
        <v>Defaulter History</v>
      </c>
      <c r="K394" s="3" cm="1">
        <f t="array" ref="K3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4" s="5">
        <f>IF(RAW_DATA!C394&lt;300000,0,IF(RAW_DATA!C394&lt;600000,5,IF(RAW_DATA!C394&lt;1200000,15,IF(RAW_DATA!C394&lt;2000000,20,25))))</f>
        <v>15</v>
      </c>
      <c r="M394" s="3">
        <f>IF(RAW_DATA!E394&lt;1,0,IF(RAW_DATA!E394&lt;3,3,IF(RAW_DATA!E394&lt;5,5,IF(RAW_DATA!E394&lt;10,8,10))))</f>
        <v>10</v>
      </c>
      <c r="N394" s="3">
        <f>IF(RAW_DATA!F394&lt;650,0,IF(RAW_DATA!F394&lt;700,8,IF(RAW_DATA!F394&lt;750,15,IF(RAW_DATA!F394&lt;800,20,25))))</f>
        <v>25</v>
      </c>
      <c r="O394" s="3">
        <f>IF(RAW_DATA!G394=0,5,IF(RAW_DATA!G394=1,4,IF(RAW_DATA!G394=2,3,IF(RAW_DATA!G394=3,2,IF(RAW_DATA!G394=4,1,0)))))</f>
        <v>3</v>
      </c>
      <c r="P394" s="3">
        <f>IF(RAW_DATA!K394&gt;=RAW_DATA!H394,20,ROUND((RAW_DATA!K394/RAW_DATA!H394)*20,0))</f>
        <v>20</v>
      </c>
      <c r="Q394" s="3">
        <f>IF(RAW_DATA!L394="No",5,0)</f>
        <v>0</v>
      </c>
      <c r="R394" s="3">
        <f t="shared" si="39"/>
        <v>79</v>
      </c>
      <c r="S394" s="3">
        <f t="shared" si="40"/>
        <v>79</v>
      </c>
      <c r="T394" s="3" t="str">
        <f t="shared" si="41"/>
        <v>Not Scored - Ineligible</v>
      </c>
    </row>
    <row r="395" spans="1:20" x14ac:dyDescent="0.25">
      <c r="A395" s="3" t="str">
        <f>RAW_DATA!A395</f>
        <v>APP394</v>
      </c>
      <c r="B395" s="3" t="b">
        <f>AND(RAW_DATA!B395&gt;=21,RAW_DATA!B395&lt;=60)</f>
        <v>1</v>
      </c>
      <c r="C395" s="3" t="b">
        <f>RAW_DATA!C395&gt;=300000</f>
        <v>1</v>
      </c>
      <c r="D395" s="3" t="b">
        <f>RAW_DATA!F395&gt;=650</f>
        <v>0</v>
      </c>
      <c r="E395" s="3" t="b">
        <f>RAW_DATA!E395&gt;=1</f>
        <v>1</v>
      </c>
      <c r="F395" s="3" t="b">
        <f>RAW_DATA!L395="No"</f>
        <v>1</v>
      </c>
      <c r="G395" s="3" t="b">
        <f t="shared" si="36"/>
        <v>0</v>
      </c>
      <c r="H395" s="3" t="str">
        <f t="shared" si="37"/>
        <v>INELIGIBLE</v>
      </c>
      <c r="I395" s="3" t="str">
        <f t="shared" si="38"/>
        <v>Credit Score</v>
      </c>
      <c r="K395" s="3" cm="1">
        <f t="array" ref="K3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95" s="5">
        <f>IF(RAW_DATA!C395&lt;300000,0,IF(RAW_DATA!C395&lt;600000,5,IF(RAW_DATA!C395&lt;1200000,15,IF(RAW_DATA!C395&lt;2000000,20,25))))</f>
        <v>15</v>
      </c>
      <c r="M395" s="3">
        <f>IF(RAW_DATA!E395&lt;1,0,IF(RAW_DATA!E395&lt;3,3,IF(RAW_DATA!E395&lt;5,5,IF(RAW_DATA!E395&lt;10,8,10))))</f>
        <v>8</v>
      </c>
      <c r="N395" s="3">
        <f>IF(RAW_DATA!F395&lt;650,0,IF(RAW_DATA!F395&lt;700,8,IF(RAW_DATA!F395&lt;750,15,IF(RAW_DATA!F395&lt;800,20,25))))</f>
        <v>0</v>
      </c>
      <c r="O395" s="3">
        <f>IF(RAW_DATA!G395=0,5,IF(RAW_DATA!G395=1,4,IF(RAW_DATA!G395=2,3,IF(RAW_DATA!G395=3,2,IF(RAW_DATA!G395=4,1,0)))))</f>
        <v>2</v>
      </c>
      <c r="P395" s="3">
        <f>IF(RAW_DATA!K395&gt;=RAW_DATA!H395,20,ROUND((RAW_DATA!K395/RAW_DATA!H395)*20,0))</f>
        <v>20</v>
      </c>
      <c r="Q395" s="3">
        <f>IF(RAW_DATA!L395="No",5,0)</f>
        <v>5</v>
      </c>
      <c r="R395" s="3">
        <f t="shared" si="39"/>
        <v>54</v>
      </c>
      <c r="S395" s="3">
        <f t="shared" si="40"/>
        <v>54</v>
      </c>
      <c r="T395" s="3" t="str">
        <f t="shared" si="41"/>
        <v>Not Scored - Ineligible</v>
      </c>
    </row>
    <row r="396" spans="1:20" x14ac:dyDescent="0.25">
      <c r="A396" s="3" t="str">
        <f>RAW_DATA!A396</f>
        <v>APP395</v>
      </c>
      <c r="B396" s="3" t="b">
        <f>AND(RAW_DATA!B396&gt;=21,RAW_DATA!B396&lt;=60)</f>
        <v>1</v>
      </c>
      <c r="C396" s="3" t="b">
        <f>RAW_DATA!C396&gt;=300000</f>
        <v>1</v>
      </c>
      <c r="D396" s="3" t="b">
        <f>RAW_DATA!F396&gt;=650</f>
        <v>0</v>
      </c>
      <c r="E396" s="3" t="b">
        <f>RAW_DATA!E396&gt;=1</f>
        <v>1</v>
      </c>
      <c r="F396" s="3" t="b">
        <f>RAW_DATA!L396="No"</f>
        <v>0</v>
      </c>
      <c r="G396" s="3" t="b">
        <f t="shared" si="36"/>
        <v>0</v>
      </c>
      <c r="H396" s="3" t="str">
        <f t="shared" si="37"/>
        <v>INELIGIBLE</v>
      </c>
      <c r="I396" s="3" t="str">
        <f t="shared" si="38"/>
        <v>Credit Score, Defaulter History</v>
      </c>
      <c r="K396" s="3" cm="1">
        <f t="array" ref="K3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6" s="5">
        <f>IF(RAW_DATA!C396&lt;300000,0,IF(RAW_DATA!C396&lt;600000,5,IF(RAW_DATA!C396&lt;1200000,15,IF(RAW_DATA!C396&lt;2000000,20,25))))</f>
        <v>20</v>
      </c>
      <c r="M396" s="3">
        <f>IF(RAW_DATA!E396&lt;1,0,IF(RAW_DATA!E396&lt;3,3,IF(RAW_DATA!E396&lt;5,5,IF(RAW_DATA!E396&lt;10,8,10))))</f>
        <v>10</v>
      </c>
      <c r="N396" s="3">
        <f>IF(RAW_DATA!F396&lt;650,0,IF(RAW_DATA!F396&lt;700,8,IF(RAW_DATA!F396&lt;750,15,IF(RAW_DATA!F396&lt;800,20,25))))</f>
        <v>0</v>
      </c>
      <c r="O396" s="3">
        <f>IF(RAW_DATA!G396=0,5,IF(RAW_DATA!G396=1,4,IF(RAW_DATA!G396=2,3,IF(RAW_DATA!G396=3,2,IF(RAW_DATA!G396=4,1,0)))))</f>
        <v>4</v>
      </c>
      <c r="P396" s="3">
        <f>IF(RAW_DATA!K396&gt;=RAW_DATA!H396,20,ROUND((RAW_DATA!K396/RAW_DATA!H396)*20,0))</f>
        <v>8</v>
      </c>
      <c r="Q396" s="3">
        <f>IF(RAW_DATA!L396="No",5,0)</f>
        <v>0</v>
      </c>
      <c r="R396" s="3">
        <f t="shared" si="39"/>
        <v>52</v>
      </c>
      <c r="S396" s="3">
        <f t="shared" si="40"/>
        <v>52</v>
      </c>
      <c r="T396" s="3" t="str">
        <f t="shared" si="41"/>
        <v>Not Scored - Ineligible</v>
      </c>
    </row>
    <row r="397" spans="1:20" x14ac:dyDescent="0.25">
      <c r="A397" s="3" t="str">
        <f>RAW_DATA!A397</f>
        <v>APP396</v>
      </c>
      <c r="B397" s="3" t="b">
        <f>AND(RAW_DATA!B397&gt;=21,RAW_DATA!B397&lt;=60)</f>
        <v>1</v>
      </c>
      <c r="C397" s="3" t="b">
        <f>RAW_DATA!C397&gt;=300000</f>
        <v>1</v>
      </c>
      <c r="D397" s="3" t="b">
        <f>RAW_DATA!F397&gt;=650</f>
        <v>0</v>
      </c>
      <c r="E397" s="3" t="b">
        <f>RAW_DATA!E397&gt;=1</f>
        <v>0</v>
      </c>
      <c r="F397" s="3" t="b">
        <f>RAW_DATA!L397="No"</f>
        <v>1</v>
      </c>
      <c r="G397" s="3" t="b">
        <f t="shared" si="36"/>
        <v>0</v>
      </c>
      <c r="H397" s="3" t="str">
        <f t="shared" si="37"/>
        <v>INELIGIBLE</v>
      </c>
      <c r="I397" s="3" t="str">
        <f t="shared" si="38"/>
        <v>Credit Score, Employment</v>
      </c>
      <c r="K397" s="3" cm="1">
        <f t="array" ref="K3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7" s="5">
        <f>IF(RAW_DATA!C397&lt;300000,0,IF(RAW_DATA!C397&lt;600000,5,IF(RAW_DATA!C397&lt;1200000,15,IF(RAW_DATA!C397&lt;2000000,20,25))))</f>
        <v>25</v>
      </c>
      <c r="M397" s="3">
        <f>IF(RAW_DATA!E397&lt;1,0,IF(RAW_DATA!E397&lt;3,3,IF(RAW_DATA!E397&lt;5,5,IF(RAW_DATA!E397&lt;10,8,10))))</f>
        <v>0</v>
      </c>
      <c r="N397" s="3">
        <f>IF(RAW_DATA!F397&lt;650,0,IF(RAW_DATA!F397&lt;700,8,IF(RAW_DATA!F397&lt;750,15,IF(RAW_DATA!F397&lt;800,20,25))))</f>
        <v>0</v>
      </c>
      <c r="O397" s="3">
        <f>IF(RAW_DATA!G397=0,5,IF(RAW_DATA!G397=1,4,IF(RAW_DATA!G397=2,3,IF(RAW_DATA!G397=3,2,IF(RAW_DATA!G397=4,1,0)))))</f>
        <v>3</v>
      </c>
      <c r="P397" s="3">
        <f>IF(RAW_DATA!K397&gt;=RAW_DATA!H397,20,ROUND((RAW_DATA!K397/RAW_DATA!H397)*20,0))</f>
        <v>12</v>
      </c>
      <c r="Q397" s="3">
        <f>IF(RAW_DATA!L397="No",5,0)</f>
        <v>5</v>
      </c>
      <c r="R397" s="3">
        <f t="shared" si="39"/>
        <v>52</v>
      </c>
      <c r="S397" s="3">
        <f t="shared" si="40"/>
        <v>52</v>
      </c>
      <c r="T397" s="3" t="str">
        <f t="shared" si="41"/>
        <v>Not Scored - Ineligible</v>
      </c>
    </row>
    <row r="398" spans="1:20" x14ac:dyDescent="0.25">
      <c r="A398" s="3" t="str">
        <f>RAW_DATA!A398</f>
        <v>APP397</v>
      </c>
      <c r="B398" s="3" t="b">
        <f>AND(RAW_DATA!B398&gt;=21,RAW_DATA!B398&lt;=60)</f>
        <v>1</v>
      </c>
      <c r="C398" s="3" t="b">
        <f>RAW_DATA!C398&gt;=300000</f>
        <v>1</v>
      </c>
      <c r="D398" s="3" t="b">
        <f>RAW_DATA!F398&gt;=650</f>
        <v>1</v>
      </c>
      <c r="E398" s="3" t="b">
        <f>RAW_DATA!E398&gt;=1</f>
        <v>1</v>
      </c>
      <c r="F398" s="3" t="b">
        <f>RAW_DATA!L398="No"</f>
        <v>1</v>
      </c>
      <c r="G398" s="3" t="b">
        <f t="shared" si="36"/>
        <v>1</v>
      </c>
      <c r="H398" s="3" t="str">
        <f t="shared" si="37"/>
        <v>ELIGIBLE</v>
      </c>
      <c r="I398" s="3" t="str">
        <f t="shared" si="38"/>
        <v/>
      </c>
      <c r="K398" s="3" cm="1">
        <f t="array" ref="K3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8" s="5">
        <f>IF(RAW_DATA!C398&lt;300000,0,IF(RAW_DATA!C398&lt;600000,5,IF(RAW_DATA!C398&lt;1200000,15,IF(RAW_DATA!C398&lt;2000000,20,25))))</f>
        <v>15</v>
      </c>
      <c r="M398" s="3">
        <f>IF(RAW_DATA!E398&lt;1,0,IF(RAW_DATA!E398&lt;3,3,IF(RAW_DATA!E398&lt;5,5,IF(RAW_DATA!E398&lt;10,8,10))))</f>
        <v>10</v>
      </c>
      <c r="N398" s="3">
        <f>IF(RAW_DATA!F398&lt;650,0,IF(RAW_DATA!F398&lt;700,8,IF(RAW_DATA!F398&lt;750,15,IF(RAW_DATA!F398&lt;800,20,25))))</f>
        <v>20</v>
      </c>
      <c r="O398" s="3">
        <f>IF(RAW_DATA!G398=0,5,IF(RAW_DATA!G398=1,4,IF(RAW_DATA!G398=2,3,IF(RAW_DATA!G398=3,2,IF(RAW_DATA!G398=4,1,0)))))</f>
        <v>4</v>
      </c>
      <c r="P398" s="3">
        <f>IF(RAW_DATA!K398&gt;=RAW_DATA!H398,20,ROUND((RAW_DATA!K398/RAW_DATA!H398)*20,0))</f>
        <v>20</v>
      </c>
      <c r="Q398" s="3">
        <f>IF(RAW_DATA!L398="No",5,0)</f>
        <v>5</v>
      </c>
      <c r="R398" s="3">
        <f t="shared" si="39"/>
        <v>82</v>
      </c>
      <c r="S398" s="3">
        <f t="shared" si="40"/>
        <v>82</v>
      </c>
      <c r="T398" s="3" t="str">
        <f t="shared" si="41"/>
        <v>Strong</v>
      </c>
    </row>
    <row r="399" spans="1:20" x14ac:dyDescent="0.25">
      <c r="A399" s="3" t="str">
        <f>RAW_DATA!A399</f>
        <v>APP398</v>
      </c>
      <c r="B399" s="3" t="b">
        <f>AND(RAW_DATA!B399&gt;=21,RAW_DATA!B399&lt;=60)</f>
        <v>1</v>
      </c>
      <c r="C399" s="3" t="b">
        <f>RAW_DATA!C399&gt;=300000</f>
        <v>1</v>
      </c>
      <c r="D399" s="3" t="b">
        <f>RAW_DATA!F399&gt;=650</f>
        <v>1</v>
      </c>
      <c r="E399" s="3" t="b">
        <f>RAW_DATA!E399&gt;=1</f>
        <v>1</v>
      </c>
      <c r="F399" s="3" t="b">
        <f>RAW_DATA!L399="No"</f>
        <v>1</v>
      </c>
      <c r="G399" s="3" t="b">
        <f t="shared" si="36"/>
        <v>1</v>
      </c>
      <c r="H399" s="3" t="str">
        <f t="shared" si="37"/>
        <v>ELIGIBLE</v>
      </c>
      <c r="I399" s="3" t="str">
        <f t="shared" si="38"/>
        <v/>
      </c>
      <c r="K399" s="3" cm="1">
        <f t="array" ref="K3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9" s="5">
        <f>IF(RAW_DATA!C399&lt;300000,0,IF(RAW_DATA!C399&lt;600000,5,IF(RAW_DATA!C399&lt;1200000,15,IF(RAW_DATA!C399&lt;2000000,20,25))))</f>
        <v>20</v>
      </c>
      <c r="M399" s="3">
        <f>IF(RAW_DATA!E399&lt;1,0,IF(RAW_DATA!E399&lt;3,3,IF(RAW_DATA!E399&lt;5,5,IF(RAW_DATA!E399&lt;10,8,10))))</f>
        <v>10</v>
      </c>
      <c r="N399" s="3">
        <f>IF(RAW_DATA!F399&lt;650,0,IF(RAW_DATA!F399&lt;700,8,IF(RAW_DATA!F399&lt;750,15,IF(RAW_DATA!F399&lt;800,20,25))))</f>
        <v>15</v>
      </c>
      <c r="O399" s="3">
        <f>IF(RAW_DATA!G399=0,5,IF(RAW_DATA!G399=1,4,IF(RAW_DATA!G399=2,3,IF(RAW_DATA!G399=3,2,IF(RAW_DATA!G399=4,1,0)))))</f>
        <v>0</v>
      </c>
      <c r="P399" s="3">
        <f>IF(RAW_DATA!K399&gt;=RAW_DATA!H399,20,ROUND((RAW_DATA!K399/RAW_DATA!H399)*20,0))</f>
        <v>20</v>
      </c>
      <c r="Q399" s="3">
        <f>IF(RAW_DATA!L399="No",5,0)</f>
        <v>5</v>
      </c>
      <c r="R399" s="3">
        <f t="shared" si="39"/>
        <v>77</v>
      </c>
      <c r="S399" s="3">
        <f t="shared" si="40"/>
        <v>77</v>
      </c>
      <c r="T399" s="3" t="str">
        <f t="shared" si="41"/>
        <v>Strong</v>
      </c>
    </row>
    <row r="400" spans="1:20" x14ac:dyDescent="0.25">
      <c r="A400" s="3" t="str">
        <f>RAW_DATA!A400</f>
        <v>APP399</v>
      </c>
      <c r="B400" s="3" t="b">
        <f>AND(RAW_DATA!B400&gt;=21,RAW_DATA!B400&lt;=60)</f>
        <v>1</v>
      </c>
      <c r="C400" s="3" t="b">
        <f>RAW_DATA!C400&gt;=300000</f>
        <v>1</v>
      </c>
      <c r="D400" s="3" t="b">
        <f>RAW_DATA!F400&gt;=650</f>
        <v>1</v>
      </c>
      <c r="E400" s="3" t="b">
        <f>RAW_DATA!E400&gt;=1</f>
        <v>1</v>
      </c>
      <c r="F400" s="3" t="b">
        <f>RAW_DATA!L400="No"</f>
        <v>1</v>
      </c>
      <c r="G400" s="3" t="b">
        <f t="shared" si="36"/>
        <v>1</v>
      </c>
      <c r="H400" s="3" t="str">
        <f t="shared" si="37"/>
        <v>ELIGIBLE</v>
      </c>
      <c r="I400" s="3" t="str">
        <f t="shared" si="38"/>
        <v/>
      </c>
      <c r="K400" s="3" cm="1">
        <f t="array" ref="K4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00" s="5">
        <f>IF(RAW_DATA!C400&lt;300000,0,IF(RAW_DATA!C400&lt;600000,5,IF(RAW_DATA!C400&lt;1200000,15,IF(RAW_DATA!C400&lt;2000000,20,25))))</f>
        <v>25</v>
      </c>
      <c r="M400" s="3">
        <f>IF(RAW_DATA!E400&lt;1,0,IF(RAW_DATA!E400&lt;3,3,IF(RAW_DATA!E400&lt;5,5,IF(RAW_DATA!E400&lt;10,8,10))))</f>
        <v>10</v>
      </c>
      <c r="N400" s="3">
        <f>IF(RAW_DATA!F400&lt;650,0,IF(RAW_DATA!F400&lt;700,8,IF(RAW_DATA!F400&lt;750,15,IF(RAW_DATA!F400&lt;800,20,25))))</f>
        <v>20</v>
      </c>
      <c r="O400" s="3">
        <f>IF(RAW_DATA!G400=0,5,IF(RAW_DATA!G400=1,4,IF(RAW_DATA!G400=2,3,IF(RAW_DATA!G400=3,2,IF(RAW_DATA!G400=4,1,0)))))</f>
        <v>5</v>
      </c>
      <c r="P400" s="3">
        <f>IF(RAW_DATA!K400&gt;=RAW_DATA!H400,20,ROUND((RAW_DATA!K400/RAW_DATA!H400)*20,0))</f>
        <v>10</v>
      </c>
      <c r="Q400" s="3">
        <f>IF(RAW_DATA!L400="No",5,0)</f>
        <v>5</v>
      </c>
      <c r="R400" s="3">
        <f t="shared" si="39"/>
        <v>81</v>
      </c>
      <c r="S400" s="3">
        <f t="shared" si="40"/>
        <v>81</v>
      </c>
      <c r="T400" s="3" t="str">
        <f t="shared" si="41"/>
        <v>Strong</v>
      </c>
    </row>
    <row r="401" spans="1:20" x14ac:dyDescent="0.25">
      <c r="A401" s="3" t="str">
        <f>RAW_DATA!A401</f>
        <v>APP400</v>
      </c>
      <c r="B401" s="3" t="b">
        <f>AND(RAW_DATA!B401&gt;=21,RAW_DATA!B401&lt;=60)</f>
        <v>1</v>
      </c>
      <c r="C401" s="3" t="b">
        <f>RAW_DATA!C401&gt;=300000</f>
        <v>1</v>
      </c>
      <c r="D401" s="3" t="b">
        <f>RAW_DATA!F401&gt;=650</f>
        <v>1</v>
      </c>
      <c r="E401" s="3" t="b">
        <f>RAW_DATA!E401&gt;=1</f>
        <v>1</v>
      </c>
      <c r="F401" s="3" t="b">
        <f>RAW_DATA!L401="No"</f>
        <v>1</v>
      </c>
      <c r="G401" s="3" t="b">
        <f t="shared" si="36"/>
        <v>1</v>
      </c>
      <c r="H401" s="3" t="str">
        <f t="shared" si="37"/>
        <v>ELIGIBLE</v>
      </c>
      <c r="I401" s="3" t="str">
        <f t="shared" si="38"/>
        <v/>
      </c>
      <c r="K401" s="3" cm="1">
        <f t="array" ref="K4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1" s="5">
        <f>IF(RAW_DATA!C401&lt;300000,0,IF(RAW_DATA!C401&lt;600000,5,IF(RAW_DATA!C401&lt;1200000,15,IF(RAW_DATA!C401&lt;2000000,20,25))))</f>
        <v>20</v>
      </c>
      <c r="M401" s="3">
        <f>IF(RAW_DATA!E401&lt;1,0,IF(RAW_DATA!E401&lt;3,3,IF(RAW_DATA!E401&lt;5,5,IF(RAW_DATA!E401&lt;10,8,10))))</f>
        <v>5</v>
      </c>
      <c r="N401" s="3">
        <f>IF(RAW_DATA!F401&lt;650,0,IF(RAW_DATA!F401&lt;700,8,IF(RAW_DATA!F401&lt;750,15,IF(RAW_DATA!F401&lt;800,20,25))))</f>
        <v>25</v>
      </c>
      <c r="O401" s="3">
        <f>IF(RAW_DATA!G401=0,5,IF(RAW_DATA!G401=1,4,IF(RAW_DATA!G401=2,3,IF(RAW_DATA!G401=3,2,IF(RAW_DATA!G401=4,1,0)))))</f>
        <v>1</v>
      </c>
      <c r="P401" s="3">
        <f>IF(RAW_DATA!K401&gt;=RAW_DATA!H401,20,ROUND((RAW_DATA!K401/RAW_DATA!H401)*20,0))</f>
        <v>20</v>
      </c>
      <c r="Q401" s="3">
        <f>IF(RAW_DATA!L401="No",5,0)</f>
        <v>5</v>
      </c>
      <c r="R401" s="3">
        <f t="shared" si="39"/>
        <v>84</v>
      </c>
      <c r="S401" s="3">
        <f t="shared" si="40"/>
        <v>84</v>
      </c>
      <c r="T401" s="3" t="str">
        <f t="shared" si="41"/>
        <v>Strong</v>
      </c>
    </row>
    <row r="402" spans="1:20" x14ac:dyDescent="0.25">
      <c r="A402" s="3" t="str">
        <f>RAW_DATA!A402</f>
        <v>APP401</v>
      </c>
      <c r="B402" s="3" t="b">
        <f>AND(RAW_DATA!B402&gt;=21,RAW_DATA!B402&lt;=60)</f>
        <v>1</v>
      </c>
      <c r="C402" s="3" t="b">
        <f>RAW_DATA!C402&gt;=300000</f>
        <v>1</v>
      </c>
      <c r="D402" s="3" t="b">
        <f>RAW_DATA!F402&gt;=650</f>
        <v>0</v>
      </c>
      <c r="E402" s="3" t="b">
        <f>RAW_DATA!E402&gt;=1</f>
        <v>1</v>
      </c>
      <c r="F402" s="3" t="b">
        <f>RAW_DATA!L402="No"</f>
        <v>1</v>
      </c>
      <c r="G402" s="3" t="b">
        <f t="shared" si="36"/>
        <v>0</v>
      </c>
      <c r="H402" s="3" t="str">
        <f t="shared" si="37"/>
        <v>INELIGIBLE</v>
      </c>
      <c r="I402" s="3" t="str">
        <f t="shared" si="38"/>
        <v>Credit Score</v>
      </c>
      <c r="K402" s="3" cm="1">
        <f t="array" ref="K4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2" s="5">
        <f>IF(RAW_DATA!C402&lt;300000,0,IF(RAW_DATA!C402&lt;600000,5,IF(RAW_DATA!C402&lt;1200000,15,IF(RAW_DATA!C402&lt;2000000,20,25))))</f>
        <v>5</v>
      </c>
      <c r="M402" s="3">
        <f>IF(RAW_DATA!E402&lt;1,0,IF(RAW_DATA!E402&lt;3,3,IF(RAW_DATA!E402&lt;5,5,IF(RAW_DATA!E402&lt;10,8,10))))</f>
        <v>10</v>
      </c>
      <c r="N402" s="3">
        <f>IF(RAW_DATA!F402&lt;650,0,IF(RAW_DATA!F402&lt;700,8,IF(RAW_DATA!F402&lt;750,15,IF(RAW_DATA!F402&lt;800,20,25))))</f>
        <v>0</v>
      </c>
      <c r="O402" s="3">
        <f>IF(RAW_DATA!G402=0,5,IF(RAW_DATA!G402=1,4,IF(RAW_DATA!G402=2,3,IF(RAW_DATA!G402=3,2,IF(RAW_DATA!G402=4,1,0)))))</f>
        <v>4</v>
      </c>
      <c r="P402" s="3">
        <f>IF(RAW_DATA!K402&gt;=RAW_DATA!H402,20,ROUND((RAW_DATA!K402/RAW_DATA!H402)*20,0))</f>
        <v>20</v>
      </c>
      <c r="Q402" s="3">
        <f>IF(RAW_DATA!L402="No",5,0)</f>
        <v>5</v>
      </c>
      <c r="R402" s="3">
        <f t="shared" si="39"/>
        <v>52</v>
      </c>
      <c r="S402" s="3">
        <f t="shared" si="40"/>
        <v>52</v>
      </c>
      <c r="T402" s="3" t="str">
        <f t="shared" si="41"/>
        <v>Not Scored - Ineligible</v>
      </c>
    </row>
    <row r="403" spans="1:20" x14ac:dyDescent="0.25">
      <c r="A403" s="3" t="str">
        <f>RAW_DATA!A403</f>
        <v>APP402</v>
      </c>
      <c r="B403" s="3" t="b">
        <f>AND(RAW_DATA!B403&gt;=21,RAW_DATA!B403&lt;=60)</f>
        <v>1</v>
      </c>
      <c r="C403" s="3" t="b">
        <f>RAW_DATA!C403&gt;=300000</f>
        <v>1</v>
      </c>
      <c r="D403" s="3" t="b">
        <f>RAW_DATA!F403&gt;=650</f>
        <v>0</v>
      </c>
      <c r="E403" s="3" t="b">
        <f>RAW_DATA!E403&gt;=1</f>
        <v>1</v>
      </c>
      <c r="F403" s="3" t="b">
        <f>RAW_DATA!L403="No"</f>
        <v>0</v>
      </c>
      <c r="G403" s="3" t="b">
        <f t="shared" si="36"/>
        <v>0</v>
      </c>
      <c r="H403" s="3" t="str">
        <f t="shared" si="37"/>
        <v>INELIGIBLE</v>
      </c>
      <c r="I403" s="3" t="str">
        <f t="shared" si="38"/>
        <v>Credit Score, Defaulter History</v>
      </c>
      <c r="K403" s="3" cm="1">
        <f t="array" ref="K4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3" s="5">
        <f>IF(RAW_DATA!C403&lt;300000,0,IF(RAW_DATA!C403&lt;600000,5,IF(RAW_DATA!C403&lt;1200000,15,IF(RAW_DATA!C403&lt;2000000,20,25))))</f>
        <v>15</v>
      </c>
      <c r="M403" s="3">
        <f>IF(RAW_DATA!E403&lt;1,0,IF(RAW_DATA!E403&lt;3,3,IF(RAW_DATA!E403&lt;5,5,IF(RAW_DATA!E403&lt;10,8,10))))</f>
        <v>5</v>
      </c>
      <c r="N403" s="3">
        <f>IF(RAW_DATA!F403&lt;650,0,IF(RAW_DATA!F403&lt;700,8,IF(RAW_DATA!F403&lt;750,15,IF(RAW_DATA!F403&lt;800,20,25))))</f>
        <v>0</v>
      </c>
      <c r="O403" s="3">
        <f>IF(RAW_DATA!G403=0,5,IF(RAW_DATA!G403=1,4,IF(RAW_DATA!G403=2,3,IF(RAW_DATA!G403=3,2,IF(RAW_DATA!G403=4,1,0)))))</f>
        <v>3</v>
      </c>
      <c r="P403" s="3">
        <f>IF(RAW_DATA!K403&gt;=RAW_DATA!H403,20,ROUND((RAW_DATA!K403/RAW_DATA!H403)*20,0))</f>
        <v>20</v>
      </c>
      <c r="Q403" s="3">
        <f>IF(RAW_DATA!L403="No",5,0)</f>
        <v>0</v>
      </c>
      <c r="R403" s="3">
        <f t="shared" si="39"/>
        <v>51</v>
      </c>
      <c r="S403" s="3">
        <f t="shared" si="40"/>
        <v>51</v>
      </c>
      <c r="T403" s="3" t="str">
        <f t="shared" si="41"/>
        <v>Not Scored - Ineligible</v>
      </c>
    </row>
    <row r="404" spans="1:20" x14ac:dyDescent="0.25">
      <c r="A404" s="3" t="str">
        <f>RAW_DATA!A404</f>
        <v>APP403</v>
      </c>
      <c r="B404" s="3" t="b">
        <f>AND(RAW_DATA!B404&gt;=21,RAW_DATA!B404&lt;=60)</f>
        <v>1</v>
      </c>
      <c r="C404" s="3" t="b">
        <f>RAW_DATA!C404&gt;=300000</f>
        <v>1</v>
      </c>
      <c r="D404" s="3" t="b">
        <f>RAW_DATA!F404&gt;=650</f>
        <v>0</v>
      </c>
      <c r="E404" s="3" t="b">
        <f>RAW_DATA!E404&gt;=1</f>
        <v>1</v>
      </c>
      <c r="F404" s="3" t="b">
        <f>RAW_DATA!L404="No"</f>
        <v>1</v>
      </c>
      <c r="G404" s="3" t="b">
        <f t="shared" si="36"/>
        <v>0</v>
      </c>
      <c r="H404" s="3" t="str">
        <f t="shared" si="37"/>
        <v>INELIGIBLE</v>
      </c>
      <c r="I404" s="3" t="str">
        <f t="shared" si="38"/>
        <v>Credit Score</v>
      </c>
      <c r="K404" s="3" cm="1">
        <f t="array" ref="K4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4" s="5">
        <f>IF(RAW_DATA!C404&lt;300000,0,IF(RAW_DATA!C404&lt;600000,5,IF(RAW_DATA!C404&lt;1200000,15,IF(RAW_DATA!C404&lt;2000000,20,25))))</f>
        <v>25</v>
      </c>
      <c r="M404" s="3">
        <f>IF(RAW_DATA!E404&lt;1,0,IF(RAW_DATA!E404&lt;3,3,IF(RAW_DATA!E404&lt;5,5,IF(RAW_DATA!E404&lt;10,8,10))))</f>
        <v>10</v>
      </c>
      <c r="N404" s="3">
        <f>IF(RAW_DATA!F404&lt;650,0,IF(RAW_DATA!F404&lt;700,8,IF(RAW_DATA!F404&lt;750,15,IF(RAW_DATA!F404&lt;800,20,25))))</f>
        <v>0</v>
      </c>
      <c r="O404" s="3">
        <f>IF(RAW_DATA!G404=0,5,IF(RAW_DATA!G404=1,4,IF(RAW_DATA!G404=2,3,IF(RAW_DATA!G404=3,2,IF(RAW_DATA!G404=4,1,0)))))</f>
        <v>1</v>
      </c>
      <c r="P404" s="3">
        <f>IF(RAW_DATA!K404&gt;=RAW_DATA!H404,20,ROUND((RAW_DATA!K404/RAW_DATA!H404)*20,0))</f>
        <v>20</v>
      </c>
      <c r="Q404" s="3">
        <f>IF(RAW_DATA!L404="No",5,0)</f>
        <v>5</v>
      </c>
      <c r="R404" s="3">
        <f t="shared" si="39"/>
        <v>68</v>
      </c>
      <c r="S404" s="3">
        <f t="shared" si="40"/>
        <v>68</v>
      </c>
      <c r="T404" s="3" t="str">
        <f t="shared" si="41"/>
        <v>Not Scored - Ineligible</v>
      </c>
    </row>
    <row r="405" spans="1:20" x14ac:dyDescent="0.25">
      <c r="A405" s="3" t="str">
        <f>RAW_DATA!A405</f>
        <v>APP404</v>
      </c>
      <c r="B405" s="3" t="b">
        <f>AND(RAW_DATA!B405&gt;=21,RAW_DATA!B405&lt;=60)</f>
        <v>1</v>
      </c>
      <c r="C405" s="3" t="b">
        <f>RAW_DATA!C405&gt;=300000</f>
        <v>1</v>
      </c>
      <c r="D405" s="3" t="b">
        <f>RAW_DATA!F405&gt;=650</f>
        <v>0</v>
      </c>
      <c r="E405" s="3" t="b">
        <f>RAW_DATA!E405&gt;=1</f>
        <v>1</v>
      </c>
      <c r="F405" s="3" t="b">
        <f>RAW_DATA!L405="No"</f>
        <v>1</v>
      </c>
      <c r="G405" s="3" t="b">
        <f t="shared" si="36"/>
        <v>0</v>
      </c>
      <c r="H405" s="3" t="str">
        <f t="shared" si="37"/>
        <v>INELIGIBLE</v>
      </c>
      <c r="I405" s="3" t="str">
        <f t="shared" si="38"/>
        <v>Credit Score</v>
      </c>
      <c r="K405" s="3" cm="1">
        <f t="array" ref="K4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5" s="5">
        <f>IF(RAW_DATA!C405&lt;300000,0,IF(RAW_DATA!C405&lt;600000,5,IF(RAW_DATA!C405&lt;1200000,15,IF(RAW_DATA!C405&lt;2000000,20,25))))</f>
        <v>15</v>
      </c>
      <c r="M405" s="3">
        <f>IF(RAW_DATA!E405&lt;1,0,IF(RAW_DATA!E405&lt;3,3,IF(RAW_DATA!E405&lt;5,5,IF(RAW_DATA!E405&lt;10,8,10))))</f>
        <v>10</v>
      </c>
      <c r="N405" s="3">
        <f>IF(RAW_DATA!F405&lt;650,0,IF(RAW_DATA!F405&lt;700,8,IF(RAW_DATA!F405&lt;750,15,IF(RAW_DATA!F405&lt;800,20,25))))</f>
        <v>0</v>
      </c>
      <c r="O405" s="3">
        <f>IF(RAW_DATA!G405=0,5,IF(RAW_DATA!G405=1,4,IF(RAW_DATA!G405=2,3,IF(RAW_DATA!G405=3,2,IF(RAW_DATA!G405=4,1,0)))))</f>
        <v>4</v>
      </c>
      <c r="P405" s="3">
        <f>IF(RAW_DATA!K405&gt;=RAW_DATA!H405,20,ROUND((RAW_DATA!K405/RAW_DATA!H405)*20,0))</f>
        <v>20</v>
      </c>
      <c r="Q405" s="3">
        <f>IF(RAW_DATA!L405="No",5,0)</f>
        <v>5</v>
      </c>
      <c r="R405" s="3">
        <f t="shared" si="39"/>
        <v>61</v>
      </c>
      <c r="S405" s="3">
        <f t="shared" si="40"/>
        <v>61</v>
      </c>
      <c r="T405" s="3" t="str">
        <f t="shared" si="41"/>
        <v>Not Scored - Ineligible</v>
      </c>
    </row>
    <row r="406" spans="1:20" x14ac:dyDescent="0.25">
      <c r="A406" s="3" t="str">
        <f>RAW_DATA!A406</f>
        <v>APP405</v>
      </c>
      <c r="B406" s="3" t="b">
        <f>AND(RAW_DATA!B406&gt;=21,RAW_DATA!B406&lt;=60)</f>
        <v>1</v>
      </c>
      <c r="C406" s="3" t="b">
        <f>RAW_DATA!C406&gt;=300000</f>
        <v>0</v>
      </c>
      <c r="D406" s="3" t="b">
        <f>RAW_DATA!F406&gt;=650</f>
        <v>1</v>
      </c>
      <c r="E406" s="3" t="b">
        <f>RAW_DATA!E406&gt;=1</f>
        <v>1</v>
      </c>
      <c r="F406" s="3" t="b">
        <f>RAW_DATA!L406="No"</f>
        <v>1</v>
      </c>
      <c r="G406" s="3" t="b">
        <f t="shared" si="36"/>
        <v>0</v>
      </c>
      <c r="H406" s="3" t="str">
        <f t="shared" si="37"/>
        <v>INELIGIBLE</v>
      </c>
      <c r="I406" s="3" t="str">
        <f t="shared" si="38"/>
        <v>Income</v>
      </c>
      <c r="K406" s="3" cm="1">
        <f t="array" ref="K4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06" s="5">
        <f>IF(RAW_DATA!C406&lt;300000,0,IF(RAW_DATA!C406&lt;600000,5,IF(RAW_DATA!C406&lt;1200000,15,IF(RAW_DATA!C406&lt;2000000,20,25))))</f>
        <v>0</v>
      </c>
      <c r="M406" s="3">
        <f>IF(RAW_DATA!E406&lt;1,0,IF(RAW_DATA!E406&lt;3,3,IF(RAW_DATA!E406&lt;5,5,IF(RAW_DATA!E406&lt;10,8,10))))</f>
        <v>10</v>
      </c>
      <c r="N406" s="3">
        <f>IF(RAW_DATA!F406&lt;650,0,IF(RAW_DATA!F406&lt;700,8,IF(RAW_DATA!F406&lt;750,15,IF(RAW_DATA!F406&lt;800,20,25))))</f>
        <v>20</v>
      </c>
      <c r="O406" s="3">
        <f>IF(RAW_DATA!G406=0,5,IF(RAW_DATA!G406=1,4,IF(RAW_DATA!G406=2,3,IF(RAW_DATA!G406=3,2,IF(RAW_DATA!G406=4,1,0)))))</f>
        <v>0</v>
      </c>
      <c r="P406" s="3">
        <f>IF(RAW_DATA!K406&gt;=RAW_DATA!H406,20,ROUND((RAW_DATA!K406/RAW_DATA!H406)*20,0))</f>
        <v>20</v>
      </c>
      <c r="Q406" s="3">
        <f>IF(RAW_DATA!L406="No",5,0)</f>
        <v>5</v>
      </c>
      <c r="R406" s="3">
        <f t="shared" si="39"/>
        <v>65</v>
      </c>
      <c r="S406" s="3">
        <f t="shared" si="40"/>
        <v>65</v>
      </c>
      <c r="T406" s="3" t="str">
        <f t="shared" si="41"/>
        <v>Not Scored - Ineligible</v>
      </c>
    </row>
    <row r="407" spans="1:20" x14ac:dyDescent="0.25">
      <c r="A407" s="3" t="str">
        <f>RAW_DATA!A407</f>
        <v>APP406</v>
      </c>
      <c r="B407" s="3" t="b">
        <f>AND(RAW_DATA!B407&gt;=21,RAW_DATA!B407&lt;=60)</f>
        <v>1</v>
      </c>
      <c r="C407" s="3" t="b">
        <f>RAW_DATA!C407&gt;=300000</f>
        <v>1</v>
      </c>
      <c r="D407" s="3" t="b">
        <f>RAW_DATA!F407&gt;=650</f>
        <v>1</v>
      </c>
      <c r="E407" s="3" t="b">
        <f>RAW_DATA!E407&gt;=1</f>
        <v>1</v>
      </c>
      <c r="F407" s="3" t="b">
        <f>RAW_DATA!L407="No"</f>
        <v>1</v>
      </c>
      <c r="G407" s="3" t="b">
        <f t="shared" si="36"/>
        <v>1</v>
      </c>
      <c r="H407" s="3" t="str">
        <f t="shared" si="37"/>
        <v>ELIGIBLE</v>
      </c>
      <c r="I407" s="3" t="str">
        <f t="shared" si="38"/>
        <v/>
      </c>
      <c r="K407" s="3" cm="1">
        <f t="array" ref="K4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07" s="5">
        <f>IF(RAW_DATA!C407&lt;300000,0,IF(RAW_DATA!C407&lt;600000,5,IF(RAW_DATA!C407&lt;1200000,15,IF(RAW_DATA!C407&lt;2000000,20,25))))</f>
        <v>25</v>
      </c>
      <c r="M407" s="3">
        <f>IF(RAW_DATA!E407&lt;1,0,IF(RAW_DATA!E407&lt;3,3,IF(RAW_DATA!E407&lt;5,5,IF(RAW_DATA!E407&lt;10,8,10))))</f>
        <v>3</v>
      </c>
      <c r="N407" s="3">
        <f>IF(RAW_DATA!F407&lt;650,0,IF(RAW_DATA!F407&lt;700,8,IF(RAW_DATA!F407&lt;750,15,IF(RAW_DATA!F407&lt;800,20,25))))</f>
        <v>25</v>
      </c>
      <c r="O407" s="3">
        <f>IF(RAW_DATA!G407=0,5,IF(RAW_DATA!G407=1,4,IF(RAW_DATA!G407=2,3,IF(RAW_DATA!G407=3,2,IF(RAW_DATA!G407=4,1,0)))))</f>
        <v>4</v>
      </c>
      <c r="P407" s="3">
        <f>IF(RAW_DATA!K407&gt;=RAW_DATA!H407,20,ROUND((RAW_DATA!K407/RAW_DATA!H407)*20,0))</f>
        <v>17</v>
      </c>
      <c r="Q407" s="3">
        <f>IF(RAW_DATA!L407="No",5,0)</f>
        <v>5</v>
      </c>
      <c r="R407" s="3">
        <f t="shared" si="39"/>
        <v>83</v>
      </c>
      <c r="S407" s="3">
        <f t="shared" si="40"/>
        <v>83</v>
      </c>
      <c r="T407" s="3" t="str">
        <f t="shared" si="41"/>
        <v>Strong</v>
      </c>
    </row>
    <row r="408" spans="1:20" x14ac:dyDescent="0.25">
      <c r="A408" s="3" t="str">
        <f>RAW_DATA!A408</f>
        <v>APP407</v>
      </c>
      <c r="B408" s="3" t="b">
        <f>AND(RAW_DATA!B408&gt;=21,RAW_DATA!B408&lt;=60)</f>
        <v>1</v>
      </c>
      <c r="C408" s="3" t="b">
        <f>RAW_DATA!C408&gt;=300000</f>
        <v>1</v>
      </c>
      <c r="D408" s="3" t="b">
        <f>RAW_DATA!F408&gt;=650</f>
        <v>0</v>
      </c>
      <c r="E408" s="3" t="b">
        <f>RAW_DATA!E408&gt;=1</f>
        <v>1</v>
      </c>
      <c r="F408" s="3" t="b">
        <f>RAW_DATA!L408="No"</f>
        <v>1</v>
      </c>
      <c r="G408" s="3" t="b">
        <f t="shared" si="36"/>
        <v>0</v>
      </c>
      <c r="H408" s="3" t="str">
        <f t="shared" si="37"/>
        <v>INELIGIBLE</v>
      </c>
      <c r="I408" s="3" t="str">
        <f t="shared" si="38"/>
        <v>Credit Score</v>
      </c>
      <c r="K408" s="3" cm="1">
        <f t="array" ref="K4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8" s="5">
        <f>IF(RAW_DATA!C408&lt;300000,0,IF(RAW_DATA!C408&lt;600000,5,IF(RAW_DATA!C408&lt;1200000,15,IF(RAW_DATA!C408&lt;2000000,20,25))))</f>
        <v>25</v>
      </c>
      <c r="M408" s="3">
        <f>IF(RAW_DATA!E408&lt;1,0,IF(RAW_DATA!E408&lt;3,3,IF(RAW_DATA!E408&lt;5,5,IF(RAW_DATA!E408&lt;10,8,10))))</f>
        <v>10</v>
      </c>
      <c r="N408" s="3">
        <f>IF(RAW_DATA!F408&lt;650,0,IF(RAW_DATA!F408&lt;700,8,IF(RAW_DATA!F408&lt;750,15,IF(RAW_DATA!F408&lt;800,20,25))))</f>
        <v>0</v>
      </c>
      <c r="O408" s="3">
        <f>IF(RAW_DATA!G408=0,5,IF(RAW_DATA!G408=1,4,IF(RAW_DATA!G408=2,3,IF(RAW_DATA!G408=3,2,IF(RAW_DATA!G408=4,1,0)))))</f>
        <v>5</v>
      </c>
      <c r="P408" s="3">
        <f>IF(RAW_DATA!K408&gt;=RAW_DATA!H408,20,ROUND((RAW_DATA!K408/RAW_DATA!H408)*20,0))</f>
        <v>20</v>
      </c>
      <c r="Q408" s="3">
        <f>IF(RAW_DATA!L408="No",5,0)</f>
        <v>5</v>
      </c>
      <c r="R408" s="3">
        <f t="shared" si="39"/>
        <v>73</v>
      </c>
      <c r="S408" s="3">
        <f t="shared" si="40"/>
        <v>73</v>
      </c>
      <c r="T408" s="3" t="str">
        <f t="shared" si="41"/>
        <v>Not Scored - Ineligible</v>
      </c>
    </row>
    <row r="409" spans="1:20" x14ac:dyDescent="0.25">
      <c r="A409" s="3" t="str">
        <f>RAW_DATA!A409</f>
        <v>APP408</v>
      </c>
      <c r="B409" s="3" t="b">
        <f>AND(RAW_DATA!B409&gt;=21,RAW_DATA!B409&lt;=60)</f>
        <v>0</v>
      </c>
      <c r="C409" s="3" t="b">
        <f>RAW_DATA!C409&gt;=300000</f>
        <v>1</v>
      </c>
      <c r="D409" s="3" t="b">
        <f>RAW_DATA!F409&gt;=650</f>
        <v>0</v>
      </c>
      <c r="E409" s="3" t="b">
        <f>RAW_DATA!E409&gt;=1</f>
        <v>1</v>
      </c>
      <c r="F409" s="3" t="b">
        <f>RAW_DATA!L409="No"</f>
        <v>1</v>
      </c>
      <c r="G409" s="3" t="b">
        <f t="shared" si="36"/>
        <v>0</v>
      </c>
      <c r="H409" s="3" t="str">
        <f t="shared" si="37"/>
        <v>INELIGIBLE</v>
      </c>
      <c r="I409" s="3" t="str">
        <f t="shared" si="38"/>
        <v>Age, Credit Score</v>
      </c>
      <c r="K409" s="3" cm="1">
        <f t="array" ref="K4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9" s="5">
        <f>IF(RAW_DATA!C409&lt;300000,0,IF(RAW_DATA!C409&lt;600000,5,IF(RAW_DATA!C409&lt;1200000,15,IF(RAW_DATA!C409&lt;2000000,20,25))))</f>
        <v>25</v>
      </c>
      <c r="M409" s="3">
        <f>IF(RAW_DATA!E409&lt;1,0,IF(RAW_DATA!E409&lt;3,3,IF(RAW_DATA!E409&lt;5,5,IF(RAW_DATA!E409&lt;10,8,10))))</f>
        <v>10</v>
      </c>
      <c r="N409" s="3">
        <f>IF(RAW_DATA!F409&lt;650,0,IF(RAW_DATA!F409&lt;700,8,IF(RAW_DATA!F409&lt;750,15,IF(RAW_DATA!F409&lt;800,20,25))))</f>
        <v>0</v>
      </c>
      <c r="O409" s="3">
        <f>IF(RAW_DATA!G409=0,5,IF(RAW_DATA!G409=1,4,IF(RAW_DATA!G409=2,3,IF(RAW_DATA!G409=3,2,IF(RAW_DATA!G409=4,1,0)))))</f>
        <v>4</v>
      </c>
      <c r="P409" s="3">
        <f>IF(RAW_DATA!K409&gt;=RAW_DATA!H409,20,ROUND((RAW_DATA!K409/RAW_DATA!H409)*20,0))</f>
        <v>20</v>
      </c>
      <c r="Q409" s="3">
        <f>IF(RAW_DATA!L409="No",5,0)</f>
        <v>5</v>
      </c>
      <c r="R409" s="3">
        <f t="shared" si="39"/>
        <v>64</v>
      </c>
      <c r="S409" s="3">
        <f t="shared" si="40"/>
        <v>64</v>
      </c>
      <c r="T409" s="3" t="str">
        <f t="shared" si="41"/>
        <v>Not Scored - Ineligible</v>
      </c>
    </row>
    <row r="410" spans="1:20" x14ac:dyDescent="0.25">
      <c r="A410" s="3" t="str">
        <f>RAW_DATA!A410</f>
        <v>APP409</v>
      </c>
      <c r="B410" s="3" t="b">
        <f>AND(RAW_DATA!B410&gt;=21,RAW_DATA!B410&lt;=60)</f>
        <v>1</v>
      </c>
      <c r="C410" s="3" t="b">
        <f>RAW_DATA!C410&gt;=300000</f>
        <v>1</v>
      </c>
      <c r="D410" s="3" t="b">
        <f>RAW_DATA!F410&gt;=650</f>
        <v>1</v>
      </c>
      <c r="E410" s="3" t="b">
        <f>RAW_DATA!E410&gt;=1</f>
        <v>1</v>
      </c>
      <c r="F410" s="3" t="b">
        <f>RAW_DATA!L410="No"</f>
        <v>1</v>
      </c>
      <c r="G410" s="3" t="b">
        <f t="shared" si="36"/>
        <v>1</v>
      </c>
      <c r="H410" s="3" t="str">
        <f t="shared" si="37"/>
        <v>ELIGIBLE</v>
      </c>
      <c r="I410" s="3" t="str">
        <f t="shared" si="38"/>
        <v/>
      </c>
      <c r="K410" s="3" cm="1">
        <f t="array" ref="K4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0" s="5">
        <f>IF(RAW_DATA!C410&lt;300000,0,IF(RAW_DATA!C410&lt;600000,5,IF(RAW_DATA!C410&lt;1200000,15,IF(RAW_DATA!C410&lt;2000000,20,25))))</f>
        <v>5</v>
      </c>
      <c r="M410" s="3">
        <f>IF(RAW_DATA!E410&lt;1,0,IF(RAW_DATA!E410&lt;3,3,IF(RAW_DATA!E410&lt;5,5,IF(RAW_DATA!E410&lt;10,8,10))))</f>
        <v>8</v>
      </c>
      <c r="N410" s="3">
        <f>IF(RAW_DATA!F410&lt;650,0,IF(RAW_DATA!F410&lt;700,8,IF(RAW_DATA!F410&lt;750,15,IF(RAW_DATA!F410&lt;800,20,25))))</f>
        <v>25</v>
      </c>
      <c r="O410" s="3">
        <f>IF(RAW_DATA!G410=0,5,IF(RAW_DATA!G410=1,4,IF(RAW_DATA!G410=2,3,IF(RAW_DATA!G410=3,2,IF(RAW_DATA!G410=4,1,0)))))</f>
        <v>3</v>
      </c>
      <c r="P410" s="3">
        <f>IF(RAW_DATA!K410&gt;=RAW_DATA!H410,20,ROUND((RAW_DATA!K410/RAW_DATA!H410)*20,0))</f>
        <v>20</v>
      </c>
      <c r="Q410" s="3">
        <f>IF(RAW_DATA!L410="No",5,0)</f>
        <v>5</v>
      </c>
      <c r="R410" s="3">
        <f t="shared" si="39"/>
        <v>73</v>
      </c>
      <c r="S410" s="3">
        <f t="shared" si="40"/>
        <v>73</v>
      </c>
      <c r="T410" s="3" t="str">
        <f t="shared" si="41"/>
        <v>Strong</v>
      </c>
    </row>
    <row r="411" spans="1:20" x14ac:dyDescent="0.25">
      <c r="A411" s="3" t="str">
        <f>RAW_DATA!A411</f>
        <v>APP410</v>
      </c>
      <c r="B411" s="3" t="b">
        <f>AND(RAW_DATA!B411&gt;=21,RAW_DATA!B411&lt;=60)</f>
        <v>1</v>
      </c>
      <c r="C411" s="3" t="b">
        <f>RAW_DATA!C411&gt;=300000</f>
        <v>1</v>
      </c>
      <c r="D411" s="3" t="b">
        <f>RAW_DATA!F411&gt;=650</f>
        <v>1</v>
      </c>
      <c r="E411" s="3" t="b">
        <f>RAW_DATA!E411&gt;=1</f>
        <v>1</v>
      </c>
      <c r="F411" s="3" t="b">
        <f>RAW_DATA!L411="No"</f>
        <v>0</v>
      </c>
      <c r="G411" s="3" t="b">
        <f t="shared" si="36"/>
        <v>0</v>
      </c>
      <c r="H411" s="3" t="str">
        <f t="shared" si="37"/>
        <v>INELIGIBLE</v>
      </c>
      <c r="I411" s="3" t="str">
        <f t="shared" si="38"/>
        <v>Defaulter History</v>
      </c>
      <c r="K411" s="3" cm="1">
        <f t="array" ref="K4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1" s="5">
        <f>IF(RAW_DATA!C411&lt;300000,0,IF(RAW_DATA!C411&lt;600000,5,IF(RAW_DATA!C411&lt;1200000,15,IF(RAW_DATA!C411&lt;2000000,20,25))))</f>
        <v>25</v>
      </c>
      <c r="M411" s="3">
        <f>IF(RAW_DATA!E411&lt;1,0,IF(RAW_DATA!E411&lt;3,3,IF(RAW_DATA!E411&lt;5,5,IF(RAW_DATA!E411&lt;10,8,10))))</f>
        <v>10</v>
      </c>
      <c r="N411" s="3">
        <f>IF(RAW_DATA!F411&lt;650,0,IF(RAW_DATA!F411&lt;700,8,IF(RAW_DATA!F411&lt;750,15,IF(RAW_DATA!F411&lt;800,20,25))))</f>
        <v>25</v>
      </c>
      <c r="O411" s="3">
        <f>IF(RAW_DATA!G411=0,5,IF(RAW_DATA!G411=1,4,IF(RAW_DATA!G411=2,3,IF(RAW_DATA!G411=3,2,IF(RAW_DATA!G411=4,1,0)))))</f>
        <v>0</v>
      </c>
      <c r="P411" s="3">
        <f>IF(RAW_DATA!K411&gt;=RAW_DATA!H411,20,ROUND((RAW_DATA!K411/RAW_DATA!H411)*20,0))</f>
        <v>20</v>
      </c>
      <c r="Q411" s="3">
        <f>IF(RAW_DATA!L411="No",5,0)</f>
        <v>0</v>
      </c>
      <c r="R411" s="3">
        <f t="shared" si="39"/>
        <v>87</v>
      </c>
      <c r="S411" s="3">
        <f t="shared" si="40"/>
        <v>87</v>
      </c>
      <c r="T411" s="3" t="str">
        <f t="shared" si="41"/>
        <v>Not Scored - Ineligible</v>
      </c>
    </row>
    <row r="412" spans="1:20" x14ac:dyDescent="0.25">
      <c r="A412" s="3" t="str">
        <f>RAW_DATA!A412</f>
        <v>APP411</v>
      </c>
      <c r="B412" s="3" t="b">
        <f>AND(RAW_DATA!B412&gt;=21,RAW_DATA!B412&lt;=60)</f>
        <v>1</v>
      </c>
      <c r="C412" s="3" t="b">
        <f>RAW_DATA!C412&gt;=300000</f>
        <v>1</v>
      </c>
      <c r="D412" s="3" t="b">
        <f>RAW_DATA!F412&gt;=650</f>
        <v>1</v>
      </c>
      <c r="E412" s="3" t="b">
        <f>RAW_DATA!E412&gt;=1</f>
        <v>1</v>
      </c>
      <c r="F412" s="3" t="b">
        <f>RAW_DATA!L412="No"</f>
        <v>1</v>
      </c>
      <c r="G412" s="3" t="b">
        <f t="shared" si="36"/>
        <v>1</v>
      </c>
      <c r="H412" s="3" t="str">
        <f t="shared" si="37"/>
        <v>ELIGIBLE</v>
      </c>
      <c r="I412" s="3" t="str">
        <f t="shared" si="38"/>
        <v/>
      </c>
      <c r="K412" s="3" cm="1">
        <f t="array" ref="K4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12" s="5">
        <f>IF(RAW_DATA!C412&lt;300000,0,IF(RAW_DATA!C412&lt;600000,5,IF(RAW_DATA!C412&lt;1200000,15,IF(RAW_DATA!C412&lt;2000000,20,25))))</f>
        <v>25</v>
      </c>
      <c r="M412" s="3">
        <f>IF(RAW_DATA!E412&lt;1,0,IF(RAW_DATA!E412&lt;3,3,IF(RAW_DATA!E412&lt;5,5,IF(RAW_DATA!E412&lt;10,8,10))))</f>
        <v>10</v>
      </c>
      <c r="N412" s="3">
        <f>IF(RAW_DATA!F412&lt;650,0,IF(RAW_DATA!F412&lt;700,8,IF(RAW_DATA!F412&lt;750,15,IF(RAW_DATA!F412&lt;800,20,25))))</f>
        <v>25</v>
      </c>
      <c r="O412" s="3">
        <f>IF(RAW_DATA!G412=0,5,IF(RAW_DATA!G412=1,4,IF(RAW_DATA!G412=2,3,IF(RAW_DATA!G412=3,2,IF(RAW_DATA!G412=4,1,0)))))</f>
        <v>0</v>
      </c>
      <c r="P412" s="3">
        <f>IF(RAW_DATA!K412&gt;=RAW_DATA!H412,20,ROUND((RAW_DATA!K412/RAW_DATA!H412)*20,0))</f>
        <v>20</v>
      </c>
      <c r="Q412" s="3">
        <f>IF(RAW_DATA!L412="No",5,0)</f>
        <v>5</v>
      </c>
      <c r="R412" s="3">
        <f t="shared" si="39"/>
        <v>89</v>
      </c>
      <c r="S412" s="3">
        <f t="shared" si="40"/>
        <v>89</v>
      </c>
      <c r="T412" s="3" t="str">
        <f t="shared" si="41"/>
        <v>Strong</v>
      </c>
    </row>
    <row r="413" spans="1:20" x14ac:dyDescent="0.25">
      <c r="A413" s="3" t="str">
        <f>RAW_DATA!A413</f>
        <v>APP412</v>
      </c>
      <c r="B413" s="3" t="b">
        <f>AND(RAW_DATA!B413&gt;=21,RAW_DATA!B413&lt;=60)</f>
        <v>1</v>
      </c>
      <c r="C413" s="3" t="b">
        <f>RAW_DATA!C413&gt;=300000</f>
        <v>1</v>
      </c>
      <c r="D413" s="3" t="b">
        <f>RAW_DATA!F413&gt;=650</f>
        <v>1</v>
      </c>
      <c r="E413" s="3" t="b">
        <f>RAW_DATA!E413&gt;=1</f>
        <v>1</v>
      </c>
      <c r="F413" s="3" t="b">
        <f>RAW_DATA!L413="No"</f>
        <v>1</v>
      </c>
      <c r="G413" s="3" t="b">
        <f t="shared" si="36"/>
        <v>1</v>
      </c>
      <c r="H413" s="3" t="str">
        <f t="shared" si="37"/>
        <v>ELIGIBLE</v>
      </c>
      <c r="I413" s="3" t="str">
        <f t="shared" si="38"/>
        <v/>
      </c>
      <c r="K413" s="3" cm="1">
        <f t="array" ref="K4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3" s="5">
        <f>IF(RAW_DATA!C413&lt;300000,0,IF(RAW_DATA!C413&lt;600000,5,IF(RAW_DATA!C413&lt;1200000,15,IF(RAW_DATA!C413&lt;2000000,20,25))))</f>
        <v>5</v>
      </c>
      <c r="M413" s="3">
        <f>IF(RAW_DATA!E413&lt;1,0,IF(RAW_DATA!E413&lt;3,3,IF(RAW_DATA!E413&lt;5,5,IF(RAW_DATA!E413&lt;10,8,10))))</f>
        <v>10</v>
      </c>
      <c r="N413" s="3">
        <f>IF(RAW_DATA!F413&lt;650,0,IF(RAW_DATA!F413&lt;700,8,IF(RAW_DATA!F413&lt;750,15,IF(RAW_DATA!F413&lt;800,20,25))))</f>
        <v>8</v>
      </c>
      <c r="O413" s="3">
        <f>IF(RAW_DATA!G413=0,5,IF(RAW_DATA!G413=1,4,IF(RAW_DATA!G413=2,3,IF(RAW_DATA!G413=3,2,IF(RAW_DATA!G413=4,1,0)))))</f>
        <v>1</v>
      </c>
      <c r="P413" s="3">
        <f>IF(RAW_DATA!K413&gt;=RAW_DATA!H413,20,ROUND((RAW_DATA!K413/RAW_DATA!H413)*20,0))</f>
        <v>20</v>
      </c>
      <c r="Q413" s="3">
        <f>IF(RAW_DATA!L413="No",5,0)</f>
        <v>5</v>
      </c>
      <c r="R413" s="3">
        <f t="shared" si="39"/>
        <v>59</v>
      </c>
      <c r="S413" s="3">
        <f t="shared" si="40"/>
        <v>59</v>
      </c>
      <c r="T413" s="3" t="str">
        <f t="shared" si="41"/>
        <v>Moderate</v>
      </c>
    </row>
    <row r="414" spans="1:20" x14ac:dyDescent="0.25">
      <c r="A414" s="3" t="str">
        <f>RAW_DATA!A414</f>
        <v>APP413</v>
      </c>
      <c r="B414" s="3" t="b">
        <f>AND(RAW_DATA!B414&gt;=21,RAW_DATA!B414&lt;=60)</f>
        <v>1</v>
      </c>
      <c r="C414" s="3" t="b">
        <f>RAW_DATA!C414&gt;=300000</f>
        <v>1</v>
      </c>
      <c r="D414" s="3" t="b">
        <f>RAW_DATA!F414&gt;=650</f>
        <v>0</v>
      </c>
      <c r="E414" s="3" t="b">
        <f>RAW_DATA!E414&gt;=1</f>
        <v>1</v>
      </c>
      <c r="F414" s="3" t="b">
        <f>RAW_DATA!L414="No"</f>
        <v>1</v>
      </c>
      <c r="G414" s="3" t="b">
        <f t="shared" si="36"/>
        <v>0</v>
      </c>
      <c r="H414" s="3" t="str">
        <f t="shared" si="37"/>
        <v>INELIGIBLE</v>
      </c>
      <c r="I414" s="3" t="str">
        <f t="shared" si="38"/>
        <v>Credit Score</v>
      </c>
      <c r="K414" s="3" cm="1">
        <f t="array" ref="K4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14" s="5">
        <f>IF(RAW_DATA!C414&lt;300000,0,IF(RAW_DATA!C414&lt;600000,5,IF(RAW_DATA!C414&lt;1200000,15,IF(RAW_DATA!C414&lt;2000000,20,25))))</f>
        <v>20</v>
      </c>
      <c r="M414" s="3">
        <f>IF(RAW_DATA!E414&lt;1,0,IF(RAW_DATA!E414&lt;3,3,IF(RAW_DATA!E414&lt;5,5,IF(RAW_DATA!E414&lt;10,8,10))))</f>
        <v>10</v>
      </c>
      <c r="N414" s="3">
        <f>IF(RAW_DATA!F414&lt;650,0,IF(RAW_DATA!F414&lt;700,8,IF(RAW_DATA!F414&lt;750,15,IF(RAW_DATA!F414&lt;800,20,25))))</f>
        <v>0</v>
      </c>
      <c r="O414" s="3">
        <f>IF(RAW_DATA!G414=0,5,IF(RAW_DATA!G414=1,4,IF(RAW_DATA!G414=2,3,IF(RAW_DATA!G414=3,2,IF(RAW_DATA!G414=4,1,0)))))</f>
        <v>3</v>
      </c>
      <c r="P414" s="3">
        <f>IF(RAW_DATA!K414&gt;=RAW_DATA!H414,20,ROUND((RAW_DATA!K414/RAW_DATA!H414)*20,0))</f>
        <v>20</v>
      </c>
      <c r="Q414" s="3">
        <f>IF(RAW_DATA!L414="No",5,0)</f>
        <v>5</v>
      </c>
      <c r="R414" s="3">
        <f t="shared" si="39"/>
        <v>66</v>
      </c>
      <c r="S414" s="3">
        <f t="shared" si="40"/>
        <v>66</v>
      </c>
      <c r="T414" s="3" t="str">
        <f t="shared" si="41"/>
        <v>Not Scored - Ineligible</v>
      </c>
    </row>
    <row r="415" spans="1:20" x14ac:dyDescent="0.25">
      <c r="A415" s="3" t="str">
        <f>RAW_DATA!A415</f>
        <v>APP414</v>
      </c>
      <c r="B415" s="3" t="b">
        <f>AND(RAW_DATA!B415&gt;=21,RAW_DATA!B415&lt;=60)</f>
        <v>1</v>
      </c>
      <c r="C415" s="3" t="b">
        <f>RAW_DATA!C415&gt;=300000</f>
        <v>0</v>
      </c>
      <c r="D415" s="3" t="b">
        <f>RAW_DATA!F415&gt;=650</f>
        <v>0</v>
      </c>
      <c r="E415" s="3" t="b">
        <f>RAW_DATA!E415&gt;=1</f>
        <v>1</v>
      </c>
      <c r="F415" s="3" t="b">
        <f>RAW_DATA!L415="No"</f>
        <v>0</v>
      </c>
      <c r="G415" s="3" t="b">
        <f t="shared" si="36"/>
        <v>0</v>
      </c>
      <c r="H415" s="3" t="str">
        <f t="shared" si="37"/>
        <v>INELIGIBLE</v>
      </c>
      <c r="I415" s="3" t="str">
        <f t="shared" si="38"/>
        <v>Income, Credit Score, Defaulter History</v>
      </c>
      <c r="K415" s="3" cm="1">
        <f t="array" ref="K4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5" s="5">
        <f>IF(RAW_DATA!C415&lt;300000,0,IF(RAW_DATA!C415&lt;600000,5,IF(RAW_DATA!C415&lt;1200000,15,IF(RAW_DATA!C415&lt;2000000,20,25))))</f>
        <v>0</v>
      </c>
      <c r="M415" s="3">
        <f>IF(RAW_DATA!E415&lt;1,0,IF(RAW_DATA!E415&lt;3,3,IF(RAW_DATA!E415&lt;5,5,IF(RAW_DATA!E415&lt;10,8,10))))</f>
        <v>10</v>
      </c>
      <c r="N415" s="3">
        <f>IF(RAW_DATA!F415&lt;650,0,IF(RAW_DATA!F415&lt;700,8,IF(RAW_DATA!F415&lt;750,15,IF(RAW_DATA!F415&lt;800,20,25))))</f>
        <v>0</v>
      </c>
      <c r="O415" s="3">
        <f>IF(RAW_DATA!G415=0,5,IF(RAW_DATA!G415=1,4,IF(RAW_DATA!G415=2,3,IF(RAW_DATA!G415=3,2,IF(RAW_DATA!G415=4,1,0)))))</f>
        <v>2</v>
      </c>
      <c r="P415" s="3">
        <f>IF(RAW_DATA!K415&gt;=RAW_DATA!H415,20,ROUND((RAW_DATA!K415/RAW_DATA!H415)*20,0))</f>
        <v>10</v>
      </c>
      <c r="Q415" s="3">
        <f>IF(RAW_DATA!L415="No",5,0)</f>
        <v>0</v>
      </c>
      <c r="R415" s="3">
        <f t="shared" si="39"/>
        <v>32</v>
      </c>
      <c r="S415" s="3">
        <f t="shared" si="40"/>
        <v>32</v>
      </c>
      <c r="T415" s="3" t="str">
        <f t="shared" si="41"/>
        <v>Not Scored - Ineligible</v>
      </c>
    </row>
    <row r="416" spans="1:20" x14ac:dyDescent="0.25">
      <c r="A416" s="3" t="str">
        <f>RAW_DATA!A416</f>
        <v>APP415</v>
      </c>
      <c r="B416" s="3" t="b">
        <f>AND(RAW_DATA!B416&gt;=21,RAW_DATA!B416&lt;=60)</f>
        <v>0</v>
      </c>
      <c r="C416" s="3" t="b">
        <f>RAW_DATA!C416&gt;=300000</f>
        <v>0</v>
      </c>
      <c r="D416" s="3" t="b">
        <f>RAW_DATA!F416&gt;=650</f>
        <v>1</v>
      </c>
      <c r="E416" s="3" t="b">
        <f>RAW_DATA!E416&gt;=1</f>
        <v>1</v>
      </c>
      <c r="F416" s="3" t="b">
        <f>RAW_DATA!L416="No"</f>
        <v>1</v>
      </c>
      <c r="G416" s="3" t="b">
        <f t="shared" si="36"/>
        <v>0</v>
      </c>
      <c r="H416" s="3" t="str">
        <f t="shared" si="37"/>
        <v>INELIGIBLE</v>
      </c>
      <c r="I416" s="3" t="str">
        <f t="shared" si="38"/>
        <v>Age, Income</v>
      </c>
      <c r="K416" s="3" cm="1">
        <f t="array" ref="K4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16" s="5">
        <f>IF(RAW_DATA!C416&lt;300000,0,IF(RAW_DATA!C416&lt;600000,5,IF(RAW_DATA!C416&lt;1200000,15,IF(RAW_DATA!C416&lt;2000000,20,25))))</f>
        <v>0</v>
      </c>
      <c r="M416" s="3">
        <f>IF(RAW_DATA!E416&lt;1,0,IF(RAW_DATA!E416&lt;3,3,IF(RAW_DATA!E416&lt;5,5,IF(RAW_DATA!E416&lt;10,8,10))))</f>
        <v>10</v>
      </c>
      <c r="N416" s="3">
        <f>IF(RAW_DATA!F416&lt;650,0,IF(RAW_DATA!F416&lt;700,8,IF(RAW_DATA!F416&lt;750,15,IF(RAW_DATA!F416&lt;800,20,25))))</f>
        <v>20</v>
      </c>
      <c r="O416" s="3">
        <f>IF(RAW_DATA!G416=0,5,IF(RAW_DATA!G416=1,4,IF(RAW_DATA!G416=2,3,IF(RAW_DATA!G416=3,2,IF(RAW_DATA!G416=4,1,0)))))</f>
        <v>0</v>
      </c>
      <c r="P416" s="3">
        <f>IF(RAW_DATA!K416&gt;=RAW_DATA!H416,20,ROUND((RAW_DATA!K416/RAW_DATA!H416)*20,0))</f>
        <v>8</v>
      </c>
      <c r="Q416" s="3">
        <f>IF(RAW_DATA!L416="No",5,0)</f>
        <v>5</v>
      </c>
      <c r="R416" s="3">
        <f t="shared" si="39"/>
        <v>43</v>
      </c>
      <c r="S416" s="3">
        <f t="shared" si="40"/>
        <v>43</v>
      </c>
      <c r="T416" s="3" t="str">
        <f t="shared" si="41"/>
        <v>Not Scored - Ineligible</v>
      </c>
    </row>
    <row r="417" spans="1:20" x14ac:dyDescent="0.25">
      <c r="A417" s="3" t="str">
        <f>RAW_DATA!A417</f>
        <v>APP416</v>
      </c>
      <c r="B417" s="3" t="b">
        <f>AND(RAW_DATA!B417&gt;=21,RAW_DATA!B417&lt;=60)</f>
        <v>1</v>
      </c>
      <c r="C417" s="3" t="b">
        <f>RAW_DATA!C417&gt;=300000</f>
        <v>1</v>
      </c>
      <c r="D417" s="3" t="b">
        <f>RAW_DATA!F417&gt;=650</f>
        <v>0</v>
      </c>
      <c r="E417" s="3" t="b">
        <f>RAW_DATA!E417&gt;=1</f>
        <v>1</v>
      </c>
      <c r="F417" s="3" t="b">
        <f>RAW_DATA!L417="No"</f>
        <v>1</v>
      </c>
      <c r="G417" s="3" t="b">
        <f t="shared" si="36"/>
        <v>0</v>
      </c>
      <c r="H417" s="3" t="str">
        <f t="shared" si="37"/>
        <v>INELIGIBLE</v>
      </c>
      <c r="I417" s="3" t="str">
        <f t="shared" si="38"/>
        <v>Credit Score</v>
      </c>
      <c r="K417" s="3" cm="1">
        <f t="array" ref="K4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17" s="5">
        <f>IF(RAW_DATA!C417&lt;300000,0,IF(RAW_DATA!C417&lt;600000,5,IF(RAW_DATA!C417&lt;1200000,15,IF(RAW_DATA!C417&lt;2000000,20,25))))</f>
        <v>25</v>
      </c>
      <c r="M417" s="3">
        <f>IF(RAW_DATA!E417&lt;1,0,IF(RAW_DATA!E417&lt;3,3,IF(RAW_DATA!E417&lt;5,5,IF(RAW_DATA!E417&lt;10,8,10))))</f>
        <v>8</v>
      </c>
      <c r="N417" s="3">
        <f>IF(RAW_DATA!F417&lt;650,0,IF(RAW_DATA!F417&lt;700,8,IF(RAW_DATA!F417&lt;750,15,IF(RAW_DATA!F417&lt;800,20,25))))</f>
        <v>0</v>
      </c>
      <c r="O417" s="3">
        <f>IF(RAW_DATA!G417=0,5,IF(RAW_DATA!G417=1,4,IF(RAW_DATA!G417=2,3,IF(RAW_DATA!G417=3,2,IF(RAW_DATA!G417=4,1,0)))))</f>
        <v>1</v>
      </c>
      <c r="P417" s="3">
        <f>IF(RAW_DATA!K417&gt;=RAW_DATA!H417,20,ROUND((RAW_DATA!K417/RAW_DATA!H417)*20,0))</f>
        <v>20</v>
      </c>
      <c r="Q417" s="3">
        <f>IF(RAW_DATA!L417="No",5,0)</f>
        <v>5</v>
      </c>
      <c r="R417" s="3">
        <f t="shared" si="39"/>
        <v>65</v>
      </c>
      <c r="S417" s="3">
        <f t="shared" si="40"/>
        <v>65</v>
      </c>
      <c r="T417" s="3" t="str">
        <f t="shared" si="41"/>
        <v>Not Scored - Ineligible</v>
      </c>
    </row>
    <row r="418" spans="1:20" x14ac:dyDescent="0.25">
      <c r="A418" s="3" t="str">
        <f>RAW_DATA!A418</f>
        <v>APP417</v>
      </c>
      <c r="B418" s="3" t="b">
        <f>AND(RAW_DATA!B418&gt;=21,RAW_DATA!B418&lt;=60)</f>
        <v>1</v>
      </c>
      <c r="C418" s="3" t="b">
        <f>RAW_DATA!C418&gt;=300000</f>
        <v>1</v>
      </c>
      <c r="D418" s="3" t="b">
        <f>RAW_DATA!F418&gt;=650</f>
        <v>0</v>
      </c>
      <c r="E418" s="3" t="b">
        <f>RAW_DATA!E418&gt;=1</f>
        <v>1</v>
      </c>
      <c r="F418" s="3" t="b">
        <f>RAW_DATA!L418="No"</f>
        <v>1</v>
      </c>
      <c r="G418" s="3" t="b">
        <f t="shared" si="36"/>
        <v>0</v>
      </c>
      <c r="H418" s="3" t="str">
        <f t="shared" si="37"/>
        <v>INELIGIBLE</v>
      </c>
      <c r="I418" s="3" t="str">
        <f t="shared" si="38"/>
        <v>Credit Score</v>
      </c>
      <c r="K418" s="3" cm="1">
        <f t="array" ref="K4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8" s="5">
        <f>IF(RAW_DATA!C418&lt;300000,0,IF(RAW_DATA!C418&lt;600000,5,IF(RAW_DATA!C418&lt;1200000,15,IF(RAW_DATA!C418&lt;2000000,20,25))))</f>
        <v>15</v>
      </c>
      <c r="M418" s="3">
        <f>IF(RAW_DATA!E418&lt;1,0,IF(RAW_DATA!E418&lt;3,3,IF(RAW_DATA!E418&lt;5,5,IF(RAW_DATA!E418&lt;10,8,10))))</f>
        <v>10</v>
      </c>
      <c r="N418" s="3">
        <f>IF(RAW_DATA!F418&lt;650,0,IF(RAW_DATA!F418&lt;700,8,IF(RAW_DATA!F418&lt;750,15,IF(RAW_DATA!F418&lt;800,20,25))))</f>
        <v>0</v>
      </c>
      <c r="O418" s="3">
        <f>IF(RAW_DATA!G418=0,5,IF(RAW_DATA!G418=1,4,IF(RAW_DATA!G418=2,3,IF(RAW_DATA!G418=3,2,IF(RAW_DATA!G418=4,1,0)))))</f>
        <v>5</v>
      </c>
      <c r="P418" s="3">
        <f>IF(RAW_DATA!K418&gt;=RAW_DATA!H418,20,ROUND((RAW_DATA!K418/RAW_DATA!H418)*20,0))</f>
        <v>20</v>
      </c>
      <c r="Q418" s="3">
        <f>IF(RAW_DATA!L418="No",5,0)</f>
        <v>5</v>
      </c>
      <c r="R418" s="3">
        <f t="shared" si="39"/>
        <v>62</v>
      </c>
      <c r="S418" s="3">
        <f t="shared" si="40"/>
        <v>62</v>
      </c>
      <c r="T418" s="3" t="str">
        <f t="shared" si="41"/>
        <v>Not Scored - Ineligible</v>
      </c>
    </row>
    <row r="419" spans="1:20" x14ac:dyDescent="0.25">
      <c r="A419" s="3" t="str">
        <f>RAW_DATA!A419</f>
        <v>APP418</v>
      </c>
      <c r="B419" s="3" t="b">
        <f>AND(RAW_DATA!B419&gt;=21,RAW_DATA!B419&lt;=60)</f>
        <v>1</v>
      </c>
      <c r="C419" s="3" t="b">
        <f>RAW_DATA!C419&gt;=300000</f>
        <v>1</v>
      </c>
      <c r="D419" s="3" t="b">
        <f>RAW_DATA!F419&gt;=650</f>
        <v>1</v>
      </c>
      <c r="E419" s="3" t="b">
        <f>RAW_DATA!E419&gt;=1</f>
        <v>1</v>
      </c>
      <c r="F419" s="3" t="b">
        <f>RAW_DATA!L419="No"</f>
        <v>1</v>
      </c>
      <c r="G419" s="3" t="b">
        <f t="shared" si="36"/>
        <v>1</v>
      </c>
      <c r="H419" s="3" t="str">
        <f t="shared" si="37"/>
        <v>ELIGIBLE</v>
      </c>
      <c r="I419" s="3" t="str">
        <f t="shared" si="38"/>
        <v/>
      </c>
      <c r="K419" s="3" cm="1">
        <f t="array" ref="K4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9" s="5">
        <f>IF(RAW_DATA!C419&lt;300000,0,IF(RAW_DATA!C419&lt;600000,5,IF(RAW_DATA!C419&lt;1200000,15,IF(RAW_DATA!C419&lt;2000000,20,25))))</f>
        <v>15</v>
      </c>
      <c r="M419" s="3">
        <f>IF(RAW_DATA!E419&lt;1,0,IF(RAW_DATA!E419&lt;3,3,IF(RAW_DATA!E419&lt;5,5,IF(RAW_DATA!E419&lt;10,8,10))))</f>
        <v>10</v>
      </c>
      <c r="N419" s="3">
        <f>IF(RAW_DATA!F419&lt;650,0,IF(RAW_DATA!F419&lt;700,8,IF(RAW_DATA!F419&lt;750,15,IF(RAW_DATA!F419&lt;800,20,25))))</f>
        <v>20</v>
      </c>
      <c r="O419" s="3">
        <f>IF(RAW_DATA!G419=0,5,IF(RAW_DATA!G419=1,4,IF(RAW_DATA!G419=2,3,IF(RAW_DATA!G419=3,2,IF(RAW_DATA!G419=4,1,0)))))</f>
        <v>1</v>
      </c>
      <c r="P419" s="3">
        <f>IF(RAW_DATA!K419&gt;=RAW_DATA!H419,20,ROUND((RAW_DATA!K419/RAW_DATA!H419)*20,0))</f>
        <v>20</v>
      </c>
      <c r="Q419" s="3">
        <f>IF(RAW_DATA!L419="No",5,0)</f>
        <v>5</v>
      </c>
      <c r="R419" s="3">
        <f t="shared" si="39"/>
        <v>78</v>
      </c>
      <c r="S419" s="3">
        <f t="shared" si="40"/>
        <v>78</v>
      </c>
      <c r="T419" s="3" t="str">
        <f t="shared" si="41"/>
        <v>Strong</v>
      </c>
    </row>
    <row r="420" spans="1:20" x14ac:dyDescent="0.25">
      <c r="A420" s="3" t="str">
        <f>RAW_DATA!A420</f>
        <v>APP419</v>
      </c>
      <c r="B420" s="3" t="b">
        <f>AND(RAW_DATA!B420&gt;=21,RAW_DATA!B420&lt;=60)</f>
        <v>1</v>
      </c>
      <c r="C420" s="3" t="b">
        <f>RAW_DATA!C420&gt;=300000</f>
        <v>1</v>
      </c>
      <c r="D420" s="3" t="b">
        <f>RAW_DATA!F420&gt;=650</f>
        <v>1</v>
      </c>
      <c r="E420" s="3" t="b">
        <f>RAW_DATA!E420&gt;=1</f>
        <v>1</v>
      </c>
      <c r="F420" s="3" t="b">
        <f>RAW_DATA!L420="No"</f>
        <v>1</v>
      </c>
      <c r="G420" s="3" t="b">
        <f t="shared" si="36"/>
        <v>1</v>
      </c>
      <c r="H420" s="3" t="str">
        <f t="shared" si="37"/>
        <v>ELIGIBLE</v>
      </c>
      <c r="I420" s="3" t="str">
        <f t="shared" si="38"/>
        <v/>
      </c>
      <c r="K420" s="3" cm="1">
        <f t="array" ref="K4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0" s="5">
        <f>IF(RAW_DATA!C420&lt;300000,0,IF(RAW_DATA!C420&lt;600000,5,IF(RAW_DATA!C420&lt;1200000,15,IF(RAW_DATA!C420&lt;2000000,20,25))))</f>
        <v>15</v>
      </c>
      <c r="M420" s="3">
        <f>IF(RAW_DATA!E420&lt;1,0,IF(RAW_DATA!E420&lt;3,3,IF(RAW_DATA!E420&lt;5,5,IF(RAW_DATA!E420&lt;10,8,10))))</f>
        <v>10</v>
      </c>
      <c r="N420" s="3">
        <f>IF(RAW_DATA!F420&lt;650,0,IF(RAW_DATA!F420&lt;700,8,IF(RAW_DATA!F420&lt;750,15,IF(RAW_DATA!F420&lt;800,20,25))))</f>
        <v>25</v>
      </c>
      <c r="O420" s="3">
        <f>IF(RAW_DATA!G420=0,5,IF(RAW_DATA!G420=1,4,IF(RAW_DATA!G420=2,3,IF(RAW_DATA!G420=3,2,IF(RAW_DATA!G420=4,1,0)))))</f>
        <v>4</v>
      </c>
      <c r="P420" s="3">
        <f>IF(RAW_DATA!K420&gt;=RAW_DATA!H420,20,ROUND((RAW_DATA!K420/RAW_DATA!H420)*20,0))</f>
        <v>20</v>
      </c>
      <c r="Q420" s="3">
        <f>IF(RAW_DATA!L420="No",5,0)</f>
        <v>5</v>
      </c>
      <c r="R420" s="3">
        <f t="shared" si="39"/>
        <v>86</v>
      </c>
      <c r="S420" s="3">
        <f t="shared" si="40"/>
        <v>86</v>
      </c>
      <c r="T420" s="3" t="str">
        <f t="shared" si="41"/>
        <v>Strong</v>
      </c>
    </row>
    <row r="421" spans="1:20" x14ac:dyDescent="0.25">
      <c r="A421" s="3" t="str">
        <f>RAW_DATA!A421</f>
        <v>APP420</v>
      </c>
      <c r="B421" s="3" t="b">
        <f>AND(RAW_DATA!B421&gt;=21,RAW_DATA!B421&lt;=60)</f>
        <v>0</v>
      </c>
      <c r="C421" s="3" t="b">
        <f>RAW_DATA!C421&gt;=300000</f>
        <v>1</v>
      </c>
      <c r="D421" s="3" t="b">
        <f>RAW_DATA!F421&gt;=650</f>
        <v>0</v>
      </c>
      <c r="E421" s="3" t="b">
        <f>RAW_DATA!E421&gt;=1</f>
        <v>1</v>
      </c>
      <c r="F421" s="3" t="b">
        <f>RAW_DATA!L421="No"</f>
        <v>1</v>
      </c>
      <c r="G421" s="3" t="b">
        <f t="shared" si="36"/>
        <v>0</v>
      </c>
      <c r="H421" s="3" t="str">
        <f t="shared" si="37"/>
        <v>INELIGIBLE</v>
      </c>
      <c r="I421" s="3" t="str">
        <f t="shared" si="38"/>
        <v>Age, Credit Score</v>
      </c>
      <c r="K421" s="3" cm="1">
        <f t="array" ref="K4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1" s="5">
        <f>IF(RAW_DATA!C421&lt;300000,0,IF(RAW_DATA!C421&lt;600000,5,IF(RAW_DATA!C421&lt;1200000,15,IF(RAW_DATA!C421&lt;2000000,20,25))))</f>
        <v>5</v>
      </c>
      <c r="M421" s="3">
        <f>IF(RAW_DATA!E421&lt;1,0,IF(RAW_DATA!E421&lt;3,3,IF(RAW_DATA!E421&lt;5,5,IF(RAW_DATA!E421&lt;10,8,10))))</f>
        <v>10</v>
      </c>
      <c r="N421" s="3">
        <f>IF(RAW_DATA!F421&lt;650,0,IF(RAW_DATA!F421&lt;700,8,IF(RAW_DATA!F421&lt;750,15,IF(RAW_DATA!F421&lt;800,20,25))))</f>
        <v>0</v>
      </c>
      <c r="O421" s="3">
        <f>IF(RAW_DATA!G421=0,5,IF(RAW_DATA!G421=1,4,IF(RAW_DATA!G421=2,3,IF(RAW_DATA!G421=3,2,IF(RAW_DATA!G421=4,1,0)))))</f>
        <v>5</v>
      </c>
      <c r="P421" s="3">
        <f>IF(RAW_DATA!K421&gt;=RAW_DATA!H421,20,ROUND((RAW_DATA!K421/RAW_DATA!H421)*20,0))</f>
        <v>17</v>
      </c>
      <c r="Q421" s="3">
        <f>IF(RAW_DATA!L421="No",5,0)</f>
        <v>5</v>
      </c>
      <c r="R421" s="3">
        <f t="shared" si="39"/>
        <v>42</v>
      </c>
      <c r="S421" s="3">
        <f t="shared" si="40"/>
        <v>42</v>
      </c>
      <c r="T421" s="3" t="str">
        <f t="shared" si="41"/>
        <v>Not Scored - Ineligible</v>
      </c>
    </row>
    <row r="422" spans="1:20" x14ac:dyDescent="0.25">
      <c r="A422" s="3" t="str">
        <f>RAW_DATA!A422</f>
        <v>APP421</v>
      </c>
      <c r="B422" s="3" t="b">
        <f>AND(RAW_DATA!B422&gt;=21,RAW_DATA!B422&lt;=60)</f>
        <v>0</v>
      </c>
      <c r="C422" s="3" t="b">
        <f>RAW_DATA!C422&gt;=300000</f>
        <v>1</v>
      </c>
      <c r="D422" s="3" t="b">
        <f>RAW_DATA!F422&gt;=650</f>
        <v>1</v>
      </c>
      <c r="E422" s="3" t="b">
        <f>RAW_DATA!E422&gt;=1</f>
        <v>1</v>
      </c>
      <c r="F422" s="3" t="b">
        <f>RAW_DATA!L422="No"</f>
        <v>1</v>
      </c>
      <c r="G422" s="3" t="b">
        <f t="shared" si="36"/>
        <v>0</v>
      </c>
      <c r="H422" s="3" t="str">
        <f t="shared" si="37"/>
        <v>INELIGIBLE</v>
      </c>
      <c r="I422" s="3" t="str">
        <f t="shared" si="38"/>
        <v>Age</v>
      </c>
      <c r="K422" s="3" cm="1">
        <f t="array" ref="K4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2" s="5">
        <f>IF(RAW_DATA!C422&lt;300000,0,IF(RAW_DATA!C422&lt;600000,5,IF(RAW_DATA!C422&lt;1200000,15,IF(RAW_DATA!C422&lt;2000000,20,25))))</f>
        <v>15</v>
      </c>
      <c r="M422" s="3">
        <f>IF(RAW_DATA!E422&lt;1,0,IF(RAW_DATA!E422&lt;3,3,IF(RAW_DATA!E422&lt;5,5,IF(RAW_DATA!E422&lt;10,8,10))))</f>
        <v>10</v>
      </c>
      <c r="N422" s="3">
        <f>IF(RAW_DATA!F422&lt;650,0,IF(RAW_DATA!F422&lt;700,8,IF(RAW_DATA!F422&lt;750,15,IF(RAW_DATA!F422&lt;800,20,25))))</f>
        <v>20</v>
      </c>
      <c r="O422" s="3">
        <f>IF(RAW_DATA!G422=0,5,IF(RAW_DATA!G422=1,4,IF(RAW_DATA!G422=2,3,IF(RAW_DATA!G422=3,2,IF(RAW_DATA!G422=4,1,0)))))</f>
        <v>4</v>
      </c>
      <c r="P422" s="3">
        <f>IF(RAW_DATA!K422&gt;=RAW_DATA!H422,20,ROUND((RAW_DATA!K422/RAW_DATA!H422)*20,0))</f>
        <v>20</v>
      </c>
      <c r="Q422" s="3">
        <f>IF(RAW_DATA!L422="No",5,0)</f>
        <v>5</v>
      </c>
      <c r="R422" s="3">
        <f t="shared" si="39"/>
        <v>74</v>
      </c>
      <c r="S422" s="3">
        <f t="shared" si="40"/>
        <v>74</v>
      </c>
      <c r="T422" s="3" t="str">
        <f t="shared" si="41"/>
        <v>Not Scored - Ineligible</v>
      </c>
    </row>
    <row r="423" spans="1:20" x14ac:dyDescent="0.25">
      <c r="A423" s="3" t="str">
        <f>RAW_DATA!A423</f>
        <v>APP422</v>
      </c>
      <c r="B423" s="3" t="b">
        <f>AND(RAW_DATA!B423&gt;=21,RAW_DATA!B423&lt;=60)</f>
        <v>1</v>
      </c>
      <c r="C423" s="3" t="b">
        <f>RAW_DATA!C423&gt;=300000</f>
        <v>1</v>
      </c>
      <c r="D423" s="3" t="b">
        <f>RAW_DATA!F423&gt;=650</f>
        <v>0</v>
      </c>
      <c r="E423" s="3" t="b">
        <f>RAW_DATA!E423&gt;=1</f>
        <v>1</v>
      </c>
      <c r="F423" s="3" t="b">
        <f>RAW_DATA!L423="No"</f>
        <v>1</v>
      </c>
      <c r="G423" s="3" t="b">
        <f t="shared" si="36"/>
        <v>0</v>
      </c>
      <c r="H423" s="3" t="str">
        <f t="shared" si="37"/>
        <v>INELIGIBLE</v>
      </c>
      <c r="I423" s="3" t="str">
        <f t="shared" si="38"/>
        <v>Credit Score</v>
      </c>
      <c r="K423" s="3" cm="1">
        <f t="array" ref="K4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3" s="5">
        <f>IF(RAW_DATA!C423&lt;300000,0,IF(RAW_DATA!C423&lt;600000,5,IF(RAW_DATA!C423&lt;1200000,15,IF(RAW_DATA!C423&lt;2000000,20,25))))</f>
        <v>20</v>
      </c>
      <c r="M423" s="3">
        <f>IF(RAW_DATA!E423&lt;1,0,IF(RAW_DATA!E423&lt;3,3,IF(RAW_DATA!E423&lt;5,5,IF(RAW_DATA!E423&lt;10,8,10))))</f>
        <v>10</v>
      </c>
      <c r="N423" s="3">
        <f>IF(RAW_DATA!F423&lt;650,0,IF(RAW_DATA!F423&lt;700,8,IF(RAW_DATA!F423&lt;750,15,IF(RAW_DATA!F423&lt;800,20,25))))</f>
        <v>0</v>
      </c>
      <c r="O423" s="3">
        <f>IF(RAW_DATA!G423=0,5,IF(RAW_DATA!G423=1,4,IF(RAW_DATA!G423=2,3,IF(RAW_DATA!G423=3,2,IF(RAW_DATA!G423=4,1,0)))))</f>
        <v>1</v>
      </c>
      <c r="P423" s="3">
        <f>IF(RAW_DATA!K423&gt;=RAW_DATA!H423,20,ROUND((RAW_DATA!K423/RAW_DATA!H423)*20,0))</f>
        <v>15</v>
      </c>
      <c r="Q423" s="3">
        <f>IF(RAW_DATA!L423="No",5,0)</f>
        <v>5</v>
      </c>
      <c r="R423" s="3">
        <f t="shared" si="39"/>
        <v>61</v>
      </c>
      <c r="S423" s="3">
        <f t="shared" si="40"/>
        <v>61</v>
      </c>
      <c r="T423" s="3" t="str">
        <f t="shared" si="41"/>
        <v>Not Scored - Ineligible</v>
      </c>
    </row>
    <row r="424" spans="1:20" x14ac:dyDescent="0.25">
      <c r="A424" s="3" t="str">
        <f>RAW_DATA!A424</f>
        <v>APP423</v>
      </c>
      <c r="B424" s="3" t="b">
        <f>AND(RAW_DATA!B424&gt;=21,RAW_DATA!B424&lt;=60)</f>
        <v>1</v>
      </c>
      <c r="C424" s="3" t="b">
        <f>RAW_DATA!C424&gt;=300000</f>
        <v>1</v>
      </c>
      <c r="D424" s="3" t="b">
        <f>RAW_DATA!F424&gt;=650</f>
        <v>1</v>
      </c>
      <c r="E424" s="3" t="b">
        <f>RAW_DATA!E424&gt;=1</f>
        <v>1</v>
      </c>
      <c r="F424" s="3" t="b">
        <f>RAW_DATA!L424="No"</f>
        <v>1</v>
      </c>
      <c r="G424" s="3" t="b">
        <f t="shared" si="36"/>
        <v>1</v>
      </c>
      <c r="H424" s="3" t="str">
        <f t="shared" si="37"/>
        <v>ELIGIBLE</v>
      </c>
      <c r="I424" s="3" t="str">
        <f t="shared" si="38"/>
        <v/>
      </c>
      <c r="K424" s="3" cm="1">
        <f t="array" ref="K4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4" s="5">
        <f>IF(RAW_DATA!C424&lt;300000,0,IF(RAW_DATA!C424&lt;600000,5,IF(RAW_DATA!C424&lt;1200000,15,IF(RAW_DATA!C424&lt;2000000,20,25))))</f>
        <v>5</v>
      </c>
      <c r="M424" s="3">
        <f>IF(RAW_DATA!E424&lt;1,0,IF(RAW_DATA!E424&lt;3,3,IF(RAW_DATA!E424&lt;5,5,IF(RAW_DATA!E424&lt;10,8,10))))</f>
        <v>3</v>
      </c>
      <c r="N424" s="3">
        <f>IF(RAW_DATA!F424&lt;650,0,IF(RAW_DATA!F424&lt;700,8,IF(RAW_DATA!F424&lt;750,15,IF(RAW_DATA!F424&lt;800,20,25))))</f>
        <v>15</v>
      </c>
      <c r="O424" s="3">
        <f>IF(RAW_DATA!G424=0,5,IF(RAW_DATA!G424=1,4,IF(RAW_DATA!G424=2,3,IF(RAW_DATA!G424=3,2,IF(RAW_DATA!G424=4,1,0)))))</f>
        <v>0</v>
      </c>
      <c r="P424" s="3">
        <f>IF(RAW_DATA!K424&gt;=RAW_DATA!H424,20,ROUND((RAW_DATA!K424/RAW_DATA!H424)*20,0))</f>
        <v>20</v>
      </c>
      <c r="Q424" s="3">
        <f>IF(RAW_DATA!L424="No",5,0)</f>
        <v>5</v>
      </c>
      <c r="R424" s="3">
        <f t="shared" si="39"/>
        <v>54</v>
      </c>
      <c r="S424" s="3">
        <f t="shared" si="40"/>
        <v>54</v>
      </c>
      <c r="T424" s="3" t="str">
        <f t="shared" si="41"/>
        <v>Moderate</v>
      </c>
    </row>
    <row r="425" spans="1:20" x14ac:dyDescent="0.25">
      <c r="A425" s="3" t="str">
        <f>RAW_DATA!A425</f>
        <v>APP424</v>
      </c>
      <c r="B425" s="3" t="b">
        <f>AND(RAW_DATA!B425&gt;=21,RAW_DATA!B425&lt;=60)</f>
        <v>1</v>
      </c>
      <c r="C425" s="3" t="b">
        <f>RAW_DATA!C425&gt;=300000</f>
        <v>1</v>
      </c>
      <c r="D425" s="3" t="b">
        <f>RAW_DATA!F425&gt;=650</f>
        <v>0</v>
      </c>
      <c r="E425" s="3" t="b">
        <f>RAW_DATA!E425&gt;=1</f>
        <v>1</v>
      </c>
      <c r="F425" s="3" t="b">
        <f>RAW_DATA!L425="No"</f>
        <v>1</v>
      </c>
      <c r="G425" s="3" t="b">
        <f t="shared" si="36"/>
        <v>0</v>
      </c>
      <c r="H425" s="3" t="str">
        <f t="shared" si="37"/>
        <v>INELIGIBLE</v>
      </c>
      <c r="I425" s="3" t="str">
        <f t="shared" si="38"/>
        <v>Credit Score</v>
      </c>
      <c r="K425" s="3" cm="1">
        <f t="array" ref="K4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5" s="5">
        <f>IF(RAW_DATA!C425&lt;300000,0,IF(RAW_DATA!C425&lt;600000,5,IF(RAW_DATA!C425&lt;1200000,15,IF(RAW_DATA!C425&lt;2000000,20,25))))</f>
        <v>15</v>
      </c>
      <c r="M425" s="3">
        <f>IF(RAW_DATA!E425&lt;1,0,IF(RAW_DATA!E425&lt;3,3,IF(RAW_DATA!E425&lt;5,5,IF(RAW_DATA!E425&lt;10,8,10))))</f>
        <v>8</v>
      </c>
      <c r="N425" s="3">
        <f>IF(RAW_DATA!F425&lt;650,0,IF(RAW_DATA!F425&lt;700,8,IF(RAW_DATA!F425&lt;750,15,IF(RAW_DATA!F425&lt;800,20,25))))</f>
        <v>0</v>
      </c>
      <c r="O425" s="3">
        <f>IF(RAW_DATA!G425=0,5,IF(RAW_DATA!G425=1,4,IF(RAW_DATA!G425=2,3,IF(RAW_DATA!G425=3,2,IF(RAW_DATA!G425=4,1,0)))))</f>
        <v>4</v>
      </c>
      <c r="P425" s="3">
        <f>IF(RAW_DATA!K425&gt;=RAW_DATA!H425,20,ROUND((RAW_DATA!K425/RAW_DATA!H425)*20,0))</f>
        <v>20</v>
      </c>
      <c r="Q425" s="3">
        <f>IF(RAW_DATA!L425="No",5,0)</f>
        <v>5</v>
      </c>
      <c r="R425" s="3">
        <f t="shared" si="39"/>
        <v>58</v>
      </c>
      <c r="S425" s="3">
        <f t="shared" si="40"/>
        <v>58</v>
      </c>
      <c r="T425" s="3" t="str">
        <f t="shared" si="41"/>
        <v>Not Scored - Ineligible</v>
      </c>
    </row>
    <row r="426" spans="1:20" x14ac:dyDescent="0.25">
      <c r="A426" s="3" t="str">
        <f>RAW_DATA!A426</f>
        <v>APP425</v>
      </c>
      <c r="B426" s="3" t="b">
        <f>AND(RAW_DATA!B426&gt;=21,RAW_DATA!B426&lt;=60)</f>
        <v>1</v>
      </c>
      <c r="C426" s="3" t="b">
        <f>RAW_DATA!C426&gt;=300000</f>
        <v>1</v>
      </c>
      <c r="D426" s="3" t="b">
        <f>RAW_DATA!F426&gt;=650</f>
        <v>0</v>
      </c>
      <c r="E426" s="3" t="b">
        <f>RAW_DATA!E426&gt;=1</f>
        <v>1</v>
      </c>
      <c r="F426" s="3" t="b">
        <f>RAW_DATA!L426="No"</f>
        <v>1</v>
      </c>
      <c r="G426" s="3" t="b">
        <f t="shared" si="36"/>
        <v>0</v>
      </c>
      <c r="H426" s="3" t="str">
        <f t="shared" si="37"/>
        <v>INELIGIBLE</v>
      </c>
      <c r="I426" s="3" t="str">
        <f t="shared" si="38"/>
        <v>Credit Score</v>
      </c>
      <c r="K426" s="3" cm="1">
        <f t="array" ref="K4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6" s="5">
        <f>IF(RAW_DATA!C426&lt;300000,0,IF(RAW_DATA!C426&lt;600000,5,IF(RAW_DATA!C426&lt;1200000,15,IF(RAW_DATA!C426&lt;2000000,20,25))))</f>
        <v>25</v>
      </c>
      <c r="M426" s="3">
        <f>IF(RAW_DATA!E426&lt;1,0,IF(RAW_DATA!E426&lt;3,3,IF(RAW_DATA!E426&lt;5,5,IF(RAW_DATA!E426&lt;10,8,10))))</f>
        <v>10</v>
      </c>
      <c r="N426" s="3">
        <f>IF(RAW_DATA!F426&lt;650,0,IF(RAW_DATA!F426&lt;700,8,IF(RAW_DATA!F426&lt;750,15,IF(RAW_DATA!F426&lt;800,20,25))))</f>
        <v>0</v>
      </c>
      <c r="O426" s="3">
        <f>IF(RAW_DATA!G426=0,5,IF(RAW_DATA!G426=1,4,IF(RAW_DATA!G426=2,3,IF(RAW_DATA!G426=3,2,IF(RAW_DATA!G426=4,1,0)))))</f>
        <v>1</v>
      </c>
      <c r="P426" s="3">
        <f>IF(RAW_DATA!K426&gt;=RAW_DATA!H426,20,ROUND((RAW_DATA!K426/RAW_DATA!H426)*20,0))</f>
        <v>20</v>
      </c>
      <c r="Q426" s="3">
        <f>IF(RAW_DATA!L426="No",5,0)</f>
        <v>5</v>
      </c>
      <c r="R426" s="3">
        <f t="shared" si="39"/>
        <v>71</v>
      </c>
      <c r="S426" s="3">
        <f t="shared" si="40"/>
        <v>71</v>
      </c>
      <c r="T426" s="3" t="str">
        <f t="shared" si="41"/>
        <v>Not Scored - Ineligible</v>
      </c>
    </row>
    <row r="427" spans="1:20" x14ac:dyDescent="0.25">
      <c r="A427" s="3" t="str">
        <f>RAW_DATA!A427</f>
        <v>APP426</v>
      </c>
      <c r="B427" s="3" t="b">
        <f>AND(RAW_DATA!B427&gt;=21,RAW_DATA!B427&lt;=60)</f>
        <v>1</v>
      </c>
      <c r="C427" s="3" t="b">
        <f>RAW_DATA!C427&gt;=300000</f>
        <v>1</v>
      </c>
      <c r="D427" s="3" t="b">
        <f>RAW_DATA!F427&gt;=650</f>
        <v>1</v>
      </c>
      <c r="E427" s="3" t="b">
        <f>RAW_DATA!E427&gt;=1</f>
        <v>1</v>
      </c>
      <c r="F427" s="3" t="b">
        <f>RAW_DATA!L427="No"</f>
        <v>1</v>
      </c>
      <c r="G427" s="3" t="b">
        <f t="shared" si="36"/>
        <v>1</v>
      </c>
      <c r="H427" s="3" t="str">
        <f t="shared" si="37"/>
        <v>ELIGIBLE</v>
      </c>
      <c r="I427" s="3" t="str">
        <f t="shared" si="38"/>
        <v/>
      </c>
      <c r="K427" s="3" cm="1">
        <f t="array" ref="K4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7" s="5">
        <f>IF(RAW_DATA!C427&lt;300000,0,IF(RAW_DATA!C427&lt;600000,5,IF(RAW_DATA!C427&lt;1200000,15,IF(RAW_DATA!C427&lt;2000000,20,25))))</f>
        <v>20</v>
      </c>
      <c r="M427" s="3">
        <f>IF(RAW_DATA!E427&lt;1,0,IF(RAW_DATA!E427&lt;3,3,IF(RAW_DATA!E427&lt;5,5,IF(RAW_DATA!E427&lt;10,8,10))))</f>
        <v>10</v>
      </c>
      <c r="N427" s="3">
        <f>IF(RAW_DATA!F427&lt;650,0,IF(RAW_DATA!F427&lt;700,8,IF(RAW_DATA!F427&lt;750,15,IF(RAW_DATA!F427&lt;800,20,25))))</f>
        <v>15</v>
      </c>
      <c r="O427" s="3">
        <f>IF(RAW_DATA!G427=0,5,IF(RAW_DATA!G427=1,4,IF(RAW_DATA!G427=2,3,IF(RAW_DATA!G427=3,2,IF(RAW_DATA!G427=4,1,0)))))</f>
        <v>4</v>
      </c>
      <c r="P427" s="3">
        <f>IF(RAW_DATA!K427&gt;=RAW_DATA!H427,20,ROUND((RAW_DATA!K427/RAW_DATA!H427)*20,0))</f>
        <v>20</v>
      </c>
      <c r="Q427" s="3">
        <f>IF(RAW_DATA!L427="No",5,0)</f>
        <v>5</v>
      </c>
      <c r="R427" s="3">
        <f t="shared" si="39"/>
        <v>81</v>
      </c>
      <c r="S427" s="3">
        <f t="shared" si="40"/>
        <v>81</v>
      </c>
      <c r="T427" s="3" t="str">
        <f t="shared" si="41"/>
        <v>Strong</v>
      </c>
    </row>
    <row r="428" spans="1:20" x14ac:dyDescent="0.25">
      <c r="A428" s="3" t="str">
        <f>RAW_DATA!A428</f>
        <v>APP427</v>
      </c>
      <c r="B428" s="3" t="b">
        <f>AND(RAW_DATA!B428&gt;=21,RAW_DATA!B428&lt;=60)</f>
        <v>1</v>
      </c>
      <c r="C428" s="3" t="b">
        <f>RAW_DATA!C428&gt;=300000</f>
        <v>1</v>
      </c>
      <c r="D428" s="3" t="b">
        <f>RAW_DATA!F428&gt;=650</f>
        <v>0</v>
      </c>
      <c r="E428" s="3" t="b">
        <f>RAW_DATA!E428&gt;=1</f>
        <v>1</v>
      </c>
      <c r="F428" s="3" t="b">
        <f>RAW_DATA!L428="No"</f>
        <v>0</v>
      </c>
      <c r="G428" s="3" t="b">
        <f t="shared" si="36"/>
        <v>0</v>
      </c>
      <c r="H428" s="3" t="str">
        <f t="shared" si="37"/>
        <v>INELIGIBLE</v>
      </c>
      <c r="I428" s="3" t="str">
        <f t="shared" si="38"/>
        <v>Credit Score, Defaulter History</v>
      </c>
      <c r="K428" s="3" cm="1">
        <f t="array" ref="K4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28" s="5">
        <f>IF(RAW_DATA!C428&lt;300000,0,IF(RAW_DATA!C428&lt;600000,5,IF(RAW_DATA!C428&lt;1200000,15,IF(RAW_DATA!C428&lt;2000000,20,25))))</f>
        <v>20</v>
      </c>
      <c r="M428" s="3">
        <f>IF(RAW_DATA!E428&lt;1,0,IF(RAW_DATA!E428&lt;3,3,IF(RAW_DATA!E428&lt;5,5,IF(RAW_DATA!E428&lt;10,8,10))))</f>
        <v>10</v>
      </c>
      <c r="N428" s="3">
        <f>IF(RAW_DATA!F428&lt;650,0,IF(RAW_DATA!F428&lt;700,8,IF(RAW_DATA!F428&lt;750,15,IF(RAW_DATA!F428&lt;800,20,25))))</f>
        <v>0</v>
      </c>
      <c r="O428" s="3">
        <f>IF(RAW_DATA!G428=0,5,IF(RAW_DATA!G428=1,4,IF(RAW_DATA!G428=2,3,IF(RAW_DATA!G428=3,2,IF(RAW_DATA!G428=4,1,0)))))</f>
        <v>0</v>
      </c>
      <c r="P428" s="3">
        <f>IF(RAW_DATA!K428&gt;=RAW_DATA!H428,20,ROUND((RAW_DATA!K428/RAW_DATA!H428)*20,0))</f>
        <v>20</v>
      </c>
      <c r="Q428" s="3">
        <f>IF(RAW_DATA!L428="No",5,0)</f>
        <v>0</v>
      </c>
      <c r="R428" s="3">
        <f t="shared" si="39"/>
        <v>58</v>
      </c>
      <c r="S428" s="3">
        <f t="shared" si="40"/>
        <v>58</v>
      </c>
      <c r="T428" s="3" t="str">
        <f t="shared" si="41"/>
        <v>Not Scored - Ineligible</v>
      </c>
    </row>
    <row r="429" spans="1:20" x14ac:dyDescent="0.25">
      <c r="A429" s="3" t="str">
        <f>RAW_DATA!A429</f>
        <v>APP428</v>
      </c>
      <c r="B429" s="3" t="b">
        <f>AND(RAW_DATA!B429&gt;=21,RAW_DATA!B429&lt;=60)</f>
        <v>1</v>
      </c>
      <c r="C429" s="3" t="b">
        <f>RAW_DATA!C429&gt;=300000</f>
        <v>1</v>
      </c>
      <c r="D429" s="3" t="b">
        <f>RAW_DATA!F429&gt;=650</f>
        <v>0</v>
      </c>
      <c r="E429" s="3" t="b">
        <f>RAW_DATA!E429&gt;=1</f>
        <v>1</v>
      </c>
      <c r="F429" s="3" t="b">
        <f>RAW_DATA!L429="No"</f>
        <v>1</v>
      </c>
      <c r="G429" s="3" t="b">
        <f t="shared" si="36"/>
        <v>0</v>
      </c>
      <c r="H429" s="3" t="str">
        <f t="shared" si="37"/>
        <v>INELIGIBLE</v>
      </c>
      <c r="I429" s="3" t="str">
        <f t="shared" si="38"/>
        <v>Credit Score</v>
      </c>
      <c r="K429" s="3" cm="1">
        <f t="array" ref="K4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9" s="5">
        <f>IF(RAW_DATA!C429&lt;300000,0,IF(RAW_DATA!C429&lt;600000,5,IF(RAW_DATA!C429&lt;1200000,15,IF(RAW_DATA!C429&lt;2000000,20,25))))</f>
        <v>15</v>
      </c>
      <c r="M429" s="3">
        <f>IF(RAW_DATA!E429&lt;1,0,IF(RAW_DATA!E429&lt;3,3,IF(RAW_DATA!E429&lt;5,5,IF(RAW_DATA!E429&lt;10,8,10))))</f>
        <v>10</v>
      </c>
      <c r="N429" s="3">
        <f>IF(RAW_DATA!F429&lt;650,0,IF(RAW_DATA!F429&lt;700,8,IF(RAW_DATA!F429&lt;750,15,IF(RAW_DATA!F429&lt;800,20,25))))</f>
        <v>0</v>
      </c>
      <c r="O429" s="3">
        <f>IF(RAW_DATA!G429=0,5,IF(RAW_DATA!G429=1,4,IF(RAW_DATA!G429=2,3,IF(RAW_DATA!G429=3,2,IF(RAW_DATA!G429=4,1,0)))))</f>
        <v>3</v>
      </c>
      <c r="P429" s="3">
        <f>IF(RAW_DATA!K429&gt;=RAW_DATA!H429,20,ROUND((RAW_DATA!K429/RAW_DATA!H429)*20,0))</f>
        <v>19</v>
      </c>
      <c r="Q429" s="3">
        <f>IF(RAW_DATA!L429="No",5,0)</f>
        <v>5</v>
      </c>
      <c r="R429" s="3">
        <f t="shared" si="39"/>
        <v>59</v>
      </c>
      <c r="S429" s="3">
        <f t="shared" si="40"/>
        <v>59</v>
      </c>
      <c r="T429" s="3" t="str">
        <f t="shared" si="41"/>
        <v>Not Scored - Ineligible</v>
      </c>
    </row>
    <row r="430" spans="1:20" x14ac:dyDescent="0.25">
      <c r="A430" s="3" t="str">
        <f>RAW_DATA!A430</f>
        <v>APP429</v>
      </c>
      <c r="B430" s="3" t="b">
        <f>AND(RAW_DATA!B430&gt;=21,RAW_DATA!B430&lt;=60)</f>
        <v>1</v>
      </c>
      <c r="C430" s="3" t="b">
        <f>RAW_DATA!C430&gt;=300000</f>
        <v>1</v>
      </c>
      <c r="D430" s="3" t="b">
        <f>RAW_DATA!F430&gt;=650</f>
        <v>1</v>
      </c>
      <c r="E430" s="3" t="b">
        <f>RAW_DATA!E430&gt;=1</f>
        <v>1</v>
      </c>
      <c r="F430" s="3" t="b">
        <f>RAW_DATA!L430="No"</f>
        <v>0</v>
      </c>
      <c r="G430" s="3" t="b">
        <f t="shared" si="36"/>
        <v>0</v>
      </c>
      <c r="H430" s="3" t="str">
        <f t="shared" si="37"/>
        <v>INELIGIBLE</v>
      </c>
      <c r="I430" s="3" t="str">
        <f t="shared" si="38"/>
        <v>Defaulter History</v>
      </c>
      <c r="K430" s="3" cm="1">
        <f t="array" ref="K4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0" s="5">
        <f>IF(RAW_DATA!C430&lt;300000,0,IF(RAW_DATA!C430&lt;600000,5,IF(RAW_DATA!C430&lt;1200000,15,IF(RAW_DATA!C430&lt;2000000,20,25))))</f>
        <v>25</v>
      </c>
      <c r="M430" s="3">
        <f>IF(RAW_DATA!E430&lt;1,0,IF(RAW_DATA!E430&lt;3,3,IF(RAW_DATA!E430&lt;5,5,IF(RAW_DATA!E430&lt;10,8,10))))</f>
        <v>10</v>
      </c>
      <c r="N430" s="3">
        <f>IF(RAW_DATA!F430&lt;650,0,IF(RAW_DATA!F430&lt;700,8,IF(RAW_DATA!F430&lt;750,15,IF(RAW_DATA!F430&lt;800,20,25))))</f>
        <v>20</v>
      </c>
      <c r="O430" s="3">
        <f>IF(RAW_DATA!G430=0,5,IF(RAW_DATA!G430=1,4,IF(RAW_DATA!G430=2,3,IF(RAW_DATA!G430=3,2,IF(RAW_DATA!G430=4,1,0)))))</f>
        <v>4</v>
      </c>
      <c r="P430" s="3">
        <f>IF(RAW_DATA!K430&gt;=RAW_DATA!H430,20,ROUND((RAW_DATA!K430/RAW_DATA!H430)*20,0))</f>
        <v>20</v>
      </c>
      <c r="Q430" s="3">
        <f>IF(RAW_DATA!L430="No",5,0)</f>
        <v>0</v>
      </c>
      <c r="R430" s="3">
        <f t="shared" si="39"/>
        <v>87</v>
      </c>
      <c r="S430" s="3">
        <f t="shared" si="40"/>
        <v>87</v>
      </c>
      <c r="T430" s="3" t="str">
        <f t="shared" si="41"/>
        <v>Not Scored - Ineligible</v>
      </c>
    </row>
    <row r="431" spans="1:20" x14ac:dyDescent="0.25">
      <c r="A431" s="3" t="str">
        <f>RAW_DATA!A431</f>
        <v>APP430</v>
      </c>
      <c r="B431" s="3" t="b">
        <f>AND(RAW_DATA!B431&gt;=21,RAW_DATA!B431&lt;=60)</f>
        <v>1</v>
      </c>
      <c r="C431" s="3" t="b">
        <f>RAW_DATA!C431&gt;=300000</f>
        <v>1</v>
      </c>
      <c r="D431" s="3" t="b">
        <f>RAW_DATA!F431&gt;=650</f>
        <v>0</v>
      </c>
      <c r="E431" s="3" t="b">
        <f>RAW_DATA!E431&gt;=1</f>
        <v>1</v>
      </c>
      <c r="F431" s="3" t="b">
        <f>RAW_DATA!L431="No"</f>
        <v>1</v>
      </c>
      <c r="G431" s="3" t="b">
        <f t="shared" si="36"/>
        <v>0</v>
      </c>
      <c r="H431" s="3" t="str">
        <f t="shared" si="37"/>
        <v>INELIGIBLE</v>
      </c>
      <c r="I431" s="3" t="str">
        <f t="shared" si="38"/>
        <v>Credit Score</v>
      </c>
      <c r="K431" s="3" cm="1">
        <f t="array" ref="K4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1" s="5">
        <f>IF(RAW_DATA!C431&lt;300000,0,IF(RAW_DATA!C431&lt;600000,5,IF(RAW_DATA!C431&lt;1200000,15,IF(RAW_DATA!C431&lt;2000000,20,25))))</f>
        <v>25</v>
      </c>
      <c r="M431" s="3">
        <f>IF(RAW_DATA!E431&lt;1,0,IF(RAW_DATA!E431&lt;3,3,IF(RAW_DATA!E431&lt;5,5,IF(RAW_DATA!E431&lt;10,8,10))))</f>
        <v>10</v>
      </c>
      <c r="N431" s="3">
        <f>IF(RAW_DATA!F431&lt;650,0,IF(RAW_DATA!F431&lt;700,8,IF(RAW_DATA!F431&lt;750,15,IF(RAW_DATA!F431&lt;800,20,25))))</f>
        <v>0</v>
      </c>
      <c r="O431" s="3">
        <f>IF(RAW_DATA!G431=0,5,IF(RAW_DATA!G431=1,4,IF(RAW_DATA!G431=2,3,IF(RAW_DATA!G431=3,2,IF(RAW_DATA!G431=4,1,0)))))</f>
        <v>1</v>
      </c>
      <c r="P431" s="3">
        <f>IF(RAW_DATA!K431&gt;=RAW_DATA!H431,20,ROUND((RAW_DATA!K431/RAW_DATA!H431)*20,0))</f>
        <v>20</v>
      </c>
      <c r="Q431" s="3">
        <f>IF(RAW_DATA!L431="No",5,0)</f>
        <v>5</v>
      </c>
      <c r="R431" s="3">
        <f t="shared" si="39"/>
        <v>69</v>
      </c>
      <c r="S431" s="3">
        <f t="shared" si="40"/>
        <v>69</v>
      </c>
      <c r="T431" s="3" t="str">
        <f t="shared" si="41"/>
        <v>Not Scored - Ineligible</v>
      </c>
    </row>
    <row r="432" spans="1:20" x14ac:dyDescent="0.25">
      <c r="A432" s="3" t="str">
        <f>RAW_DATA!A432</f>
        <v>APP431</v>
      </c>
      <c r="B432" s="3" t="b">
        <f>AND(RAW_DATA!B432&gt;=21,RAW_DATA!B432&lt;=60)</f>
        <v>1</v>
      </c>
      <c r="C432" s="3" t="b">
        <f>RAW_DATA!C432&gt;=300000</f>
        <v>1</v>
      </c>
      <c r="D432" s="3" t="b">
        <f>RAW_DATA!F432&gt;=650</f>
        <v>0</v>
      </c>
      <c r="E432" s="3" t="b">
        <f>RAW_DATA!E432&gt;=1</f>
        <v>1</v>
      </c>
      <c r="F432" s="3" t="b">
        <f>RAW_DATA!L432="No"</f>
        <v>1</v>
      </c>
      <c r="G432" s="3" t="b">
        <f t="shared" si="36"/>
        <v>0</v>
      </c>
      <c r="H432" s="3" t="str">
        <f t="shared" si="37"/>
        <v>INELIGIBLE</v>
      </c>
      <c r="I432" s="3" t="str">
        <f t="shared" si="38"/>
        <v>Credit Score</v>
      </c>
      <c r="K432" s="3" cm="1">
        <f t="array" ref="K4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2" s="5">
        <f>IF(RAW_DATA!C432&lt;300000,0,IF(RAW_DATA!C432&lt;600000,5,IF(RAW_DATA!C432&lt;1200000,15,IF(RAW_DATA!C432&lt;2000000,20,25))))</f>
        <v>15</v>
      </c>
      <c r="M432" s="3">
        <f>IF(RAW_DATA!E432&lt;1,0,IF(RAW_DATA!E432&lt;3,3,IF(RAW_DATA!E432&lt;5,5,IF(RAW_DATA!E432&lt;10,8,10))))</f>
        <v>10</v>
      </c>
      <c r="N432" s="3">
        <f>IF(RAW_DATA!F432&lt;650,0,IF(RAW_DATA!F432&lt;700,8,IF(RAW_DATA!F432&lt;750,15,IF(RAW_DATA!F432&lt;800,20,25))))</f>
        <v>0</v>
      </c>
      <c r="O432" s="3">
        <f>IF(RAW_DATA!G432=0,5,IF(RAW_DATA!G432=1,4,IF(RAW_DATA!G432=2,3,IF(RAW_DATA!G432=3,2,IF(RAW_DATA!G432=4,1,0)))))</f>
        <v>1</v>
      </c>
      <c r="P432" s="3">
        <f>IF(RAW_DATA!K432&gt;=RAW_DATA!H432,20,ROUND((RAW_DATA!K432/RAW_DATA!H432)*20,0))</f>
        <v>20</v>
      </c>
      <c r="Q432" s="3">
        <f>IF(RAW_DATA!L432="No",5,0)</f>
        <v>5</v>
      </c>
      <c r="R432" s="3">
        <f t="shared" si="39"/>
        <v>59</v>
      </c>
      <c r="S432" s="3">
        <f t="shared" si="40"/>
        <v>59</v>
      </c>
      <c r="T432" s="3" t="str">
        <f t="shared" si="41"/>
        <v>Not Scored - Ineligible</v>
      </c>
    </row>
    <row r="433" spans="1:20" x14ac:dyDescent="0.25">
      <c r="A433" s="3" t="str">
        <f>RAW_DATA!A433</f>
        <v>APP432</v>
      </c>
      <c r="B433" s="3" t="b">
        <f>AND(RAW_DATA!B433&gt;=21,RAW_DATA!B433&lt;=60)</f>
        <v>0</v>
      </c>
      <c r="C433" s="3" t="b">
        <f>RAW_DATA!C433&gt;=300000</f>
        <v>1</v>
      </c>
      <c r="D433" s="3" t="b">
        <f>RAW_DATA!F433&gt;=650</f>
        <v>1</v>
      </c>
      <c r="E433" s="3" t="b">
        <f>RAW_DATA!E433&gt;=1</f>
        <v>1</v>
      </c>
      <c r="F433" s="3" t="b">
        <f>RAW_DATA!L433="No"</f>
        <v>0</v>
      </c>
      <c r="G433" s="3" t="b">
        <f t="shared" si="36"/>
        <v>0</v>
      </c>
      <c r="H433" s="3" t="str">
        <f t="shared" si="37"/>
        <v>INELIGIBLE</v>
      </c>
      <c r="I433" s="3" t="str">
        <f t="shared" si="38"/>
        <v>Age, Defaulter History</v>
      </c>
      <c r="K433" s="3" cm="1">
        <f t="array" ref="K4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33" s="5">
        <f>IF(RAW_DATA!C433&lt;300000,0,IF(RAW_DATA!C433&lt;600000,5,IF(RAW_DATA!C433&lt;1200000,15,IF(RAW_DATA!C433&lt;2000000,20,25))))</f>
        <v>15</v>
      </c>
      <c r="M433" s="3">
        <f>IF(RAW_DATA!E433&lt;1,0,IF(RAW_DATA!E433&lt;3,3,IF(RAW_DATA!E433&lt;5,5,IF(RAW_DATA!E433&lt;10,8,10))))</f>
        <v>10</v>
      </c>
      <c r="N433" s="3">
        <f>IF(RAW_DATA!F433&lt;650,0,IF(RAW_DATA!F433&lt;700,8,IF(RAW_DATA!F433&lt;750,15,IF(RAW_DATA!F433&lt;800,20,25))))</f>
        <v>15</v>
      </c>
      <c r="O433" s="3">
        <f>IF(RAW_DATA!G433=0,5,IF(RAW_DATA!G433=1,4,IF(RAW_DATA!G433=2,3,IF(RAW_DATA!G433=3,2,IF(RAW_DATA!G433=4,1,0)))))</f>
        <v>5</v>
      </c>
      <c r="P433" s="3">
        <f>IF(RAW_DATA!K433&gt;=RAW_DATA!H433,20,ROUND((RAW_DATA!K433/RAW_DATA!H433)*20,0))</f>
        <v>20</v>
      </c>
      <c r="Q433" s="3">
        <f>IF(RAW_DATA!L433="No",5,0)</f>
        <v>0</v>
      </c>
      <c r="R433" s="3">
        <f t="shared" si="39"/>
        <v>65</v>
      </c>
      <c r="S433" s="3">
        <f t="shared" si="40"/>
        <v>65</v>
      </c>
      <c r="T433" s="3" t="str">
        <f t="shared" si="41"/>
        <v>Not Scored - Ineligible</v>
      </c>
    </row>
    <row r="434" spans="1:20" x14ac:dyDescent="0.25">
      <c r="A434" s="3" t="str">
        <f>RAW_DATA!A434</f>
        <v>APP433</v>
      </c>
      <c r="B434" s="3" t="b">
        <f>AND(RAW_DATA!B434&gt;=21,RAW_DATA!B434&lt;=60)</f>
        <v>1</v>
      </c>
      <c r="C434" s="3" t="b">
        <f>RAW_DATA!C434&gt;=300000</f>
        <v>1</v>
      </c>
      <c r="D434" s="3" t="b">
        <f>RAW_DATA!F434&gt;=650</f>
        <v>1</v>
      </c>
      <c r="E434" s="3" t="b">
        <f>RAW_DATA!E434&gt;=1</f>
        <v>1</v>
      </c>
      <c r="F434" s="3" t="b">
        <f>RAW_DATA!L434="No"</f>
        <v>1</v>
      </c>
      <c r="G434" s="3" t="b">
        <f t="shared" si="36"/>
        <v>1</v>
      </c>
      <c r="H434" s="3" t="str">
        <f t="shared" si="37"/>
        <v>ELIGIBLE</v>
      </c>
      <c r="I434" s="3" t="str">
        <f t="shared" si="38"/>
        <v/>
      </c>
      <c r="K434" s="3" cm="1">
        <f t="array" ref="K4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4" s="5">
        <f>IF(RAW_DATA!C434&lt;300000,0,IF(RAW_DATA!C434&lt;600000,5,IF(RAW_DATA!C434&lt;1200000,15,IF(RAW_DATA!C434&lt;2000000,20,25))))</f>
        <v>5</v>
      </c>
      <c r="M434" s="3">
        <f>IF(RAW_DATA!E434&lt;1,0,IF(RAW_DATA!E434&lt;3,3,IF(RAW_DATA!E434&lt;5,5,IF(RAW_DATA!E434&lt;10,8,10))))</f>
        <v>8</v>
      </c>
      <c r="N434" s="3">
        <f>IF(RAW_DATA!F434&lt;650,0,IF(RAW_DATA!F434&lt;700,8,IF(RAW_DATA!F434&lt;750,15,IF(RAW_DATA!F434&lt;800,20,25))))</f>
        <v>25</v>
      </c>
      <c r="O434" s="3">
        <f>IF(RAW_DATA!G434=0,5,IF(RAW_DATA!G434=1,4,IF(RAW_DATA!G434=2,3,IF(RAW_DATA!G434=3,2,IF(RAW_DATA!G434=4,1,0)))))</f>
        <v>2</v>
      </c>
      <c r="P434" s="3">
        <f>IF(RAW_DATA!K434&gt;=RAW_DATA!H434,20,ROUND((RAW_DATA!K434/RAW_DATA!H434)*20,0))</f>
        <v>20</v>
      </c>
      <c r="Q434" s="3">
        <f>IF(RAW_DATA!L434="No",5,0)</f>
        <v>5</v>
      </c>
      <c r="R434" s="3">
        <f t="shared" si="39"/>
        <v>72</v>
      </c>
      <c r="S434" s="3">
        <f t="shared" si="40"/>
        <v>72</v>
      </c>
      <c r="T434" s="3" t="str">
        <f t="shared" si="41"/>
        <v>Strong</v>
      </c>
    </row>
    <row r="435" spans="1:20" x14ac:dyDescent="0.25">
      <c r="A435" s="3" t="str">
        <f>RAW_DATA!A435</f>
        <v>APP434</v>
      </c>
      <c r="B435" s="3" t="b">
        <f>AND(RAW_DATA!B435&gt;=21,RAW_DATA!B435&lt;=60)</f>
        <v>1</v>
      </c>
      <c r="C435" s="3" t="b">
        <f>RAW_DATA!C435&gt;=300000</f>
        <v>1</v>
      </c>
      <c r="D435" s="3" t="b">
        <f>RAW_DATA!F435&gt;=650</f>
        <v>0</v>
      </c>
      <c r="E435" s="3" t="b">
        <f>RAW_DATA!E435&gt;=1</f>
        <v>0</v>
      </c>
      <c r="F435" s="3" t="b">
        <f>RAW_DATA!L435="No"</f>
        <v>0</v>
      </c>
      <c r="G435" s="3" t="b">
        <f t="shared" si="36"/>
        <v>0</v>
      </c>
      <c r="H435" s="3" t="str">
        <f t="shared" si="37"/>
        <v>INELIGIBLE</v>
      </c>
      <c r="I435" s="3" t="str">
        <f t="shared" si="38"/>
        <v>Credit Score, Employment, Defaulter History</v>
      </c>
      <c r="K435" s="3" cm="1">
        <f t="array" ref="K4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5" s="5">
        <f>IF(RAW_DATA!C435&lt;300000,0,IF(RAW_DATA!C435&lt;600000,5,IF(RAW_DATA!C435&lt;1200000,15,IF(RAW_DATA!C435&lt;2000000,20,25))))</f>
        <v>20</v>
      </c>
      <c r="M435" s="3">
        <f>IF(RAW_DATA!E435&lt;1,0,IF(RAW_DATA!E435&lt;3,3,IF(RAW_DATA!E435&lt;5,5,IF(RAW_DATA!E435&lt;10,8,10))))</f>
        <v>0</v>
      </c>
      <c r="N435" s="3">
        <f>IF(RAW_DATA!F435&lt;650,0,IF(RAW_DATA!F435&lt;700,8,IF(RAW_DATA!F435&lt;750,15,IF(RAW_DATA!F435&lt;800,20,25))))</f>
        <v>0</v>
      </c>
      <c r="O435" s="3">
        <f>IF(RAW_DATA!G435=0,5,IF(RAW_DATA!G435=1,4,IF(RAW_DATA!G435=2,3,IF(RAW_DATA!G435=3,2,IF(RAW_DATA!G435=4,1,0)))))</f>
        <v>5</v>
      </c>
      <c r="P435" s="3">
        <f>IF(RAW_DATA!K435&gt;=RAW_DATA!H435,20,ROUND((RAW_DATA!K435/RAW_DATA!H435)*20,0))</f>
        <v>6</v>
      </c>
      <c r="Q435" s="3">
        <f>IF(RAW_DATA!L435="No",5,0)</f>
        <v>0</v>
      </c>
      <c r="R435" s="3">
        <f t="shared" si="39"/>
        <v>38</v>
      </c>
      <c r="S435" s="3">
        <f t="shared" si="40"/>
        <v>38</v>
      </c>
      <c r="T435" s="3" t="str">
        <f t="shared" si="41"/>
        <v>Not Scored - Ineligible</v>
      </c>
    </row>
    <row r="436" spans="1:20" x14ac:dyDescent="0.25">
      <c r="A436" s="3" t="str">
        <f>RAW_DATA!A436</f>
        <v>APP435</v>
      </c>
      <c r="B436" s="3" t="b">
        <f>AND(RAW_DATA!B436&gt;=21,RAW_DATA!B436&lt;=60)</f>
        <v>1</v>
      </c>
      <c r="C436" s="3" t="b">
        <f>RAW_DATA!C436&gt;=300000</f>
        <v>1</v>
      </c>
      <c r="D436" s="3" t="b">
        <f>RAW_DATA!F436&gt;=650</f>
        <v>1</v>
      </c>
      <c r="E436" s="3" t="b">
        <f>RAW_DATA!E436&gt;=1</f>
        <v>0</v>
      </c>
      <c r="F436" s="3" t="b">
        <f>RAW_DATA!L436="No"</f>
        <v>1</v>
      </c>
      <c r="G436" s="3" t="b">
        <f t="shared" si="36"/>
        <v>0</v>
      </c>
      <c r="H436" s="3" t="str">
        <f t="shared" si="37"/>
        <v>INELIGIBLE</v>
      </c>
      <c r="I436" s="3" t="str">
        <f t="shared" si="38"/>
        <v>Employment</v>
      </c>
      <c r="K436" s="3" cm="1">
        <f t="array" ref="K4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6" s="5">
        <f>IF(RAW_DATA!C436&lt;300000,0,IF(RAW_DATA!C436&lt;600000,5,IF(RAW_DATA!C436&lt;1200000,15,IF(RAW_DATA!C436&lt;2000000,20,25))))</f>
        <v>25</v>
      </c>
      <c r="M436" s="3">
        <f>IF(RAW_DATA!E436&lt;1,0,IF(RAW_DATA!E436&lt;3,3,IF(RAW_DATA!E436&lt;5,5,IF(RAW_DATA!E436&lt;10,8,10))))</f>
        <v>0</v>
      </c>
      <c r="N436" s="3">
        <f>IF(RAW_DATA!F436&lt;650,0,IF(RAW_DATA!F436&lt;700,8,IF(RAW_DATA!F436&lt;750,15,IF(RAW_DATA!F436&lt;800,20,25))))</f>
        <v>25</v>
      </c>
      <c r="O436" s="3">
        <f>IF(RAW_DATA!G436=0,5,IF(RAW_DATA!G436=1,4,IF(RAW_DATA!G436=2,3,IF(RAW_DATA!G436=3,2,IF(RAW_DATA!G436=4,1,0)))))</f>
        <v>4</v>
      </c>
      <c r="P436" s="3">
        <f>IF(RAW_DATA!K436&gt;=RAW_DATA!H436,20,ROUND((RAW_DATA!K436/RAW_DATA!H436)*20,0))</f>
        <v>12</v>
      </c>
      <c r="Q436" s="3">
        <f>IF(RAW_DATA!L436="No",5,0)</f>
        <v>5</v>
      </c>
      <c r="R436" s="3">
        <f t="shared" si="39"/>
        <v>75</v>
      </c>
      <c r="S436" s="3">
        <f t="shared" si="40"/>
        <v>75</v>
      </c>
      <c r="T436" s="3" t="str">
        <f t="shared" si="41"/>
        <v>Not Scored - Ineligible</v>
      </c>
    </row>
    <row r="437" spans="1:20" x14ac:dyDescent="0.25">
      <c r="A437" s="3" t="str">
        <f>RAW_DATA!A437</f>
        <v>APP436</v>
      </c>
      <c r="B437" s="3" t="b">
        <f>AND(RAW_DATA!B437&gt;=21,RAW_DATA!B437&lt;=60)</f>
        <v>1</v>
      </c>
      <c r="C437" s="3" t="b">
        <f>RAW_DATA!C437&gt;=300000</f>
        <v>1</v>
      </c>
      <c r="D437" s="3" t="b">
        <f>RAW_DATA!F437&gt;=650</f>
        <v>0</v>
      </c>
      <c r="E437" s="3" t="b">
        <f>RAW_DATA!E437&gt;=1</f>
        <v>1</v>
      </c>
      <c r="F437" s="3" t="b">
        <f>RAW_DATA!L437="No"</f>
        <v>1</v>
      </c>
      <c r="G437" s="3" t="b">
        <f t="shared" si="36"/>
        <v>0</v>
      </c>
      <c r="H437" s="3" t="str">
        <f t="shared" si="37"/>
        <v>INELIGIBLE</v>
      </c>
      <c r="I437" s="3" t="str">
        <f t="shared" si="38"/>
        <v>Credit Score</v>
      </c>
      <c r="K437" s="3" cm="1">
        <f t="array" ref="K4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7" s="5">
        <f>IF(RAW_DATA!C437&lt;300000,0,IF(RAW_DATA!C437&lt;600000,5,IF(RAW_DATA!C437&lt;1200000,15,IF(RAW_DATA!C437&lt;2000000,20,25))))</f>
        <v>25</v>
      </c>
      <c r="M437" s="3">
        <f>IF(RAW_DATA!E437&lt;1,0,IF(RAW_DATA!E437&lt;3,3,IF(RAW_DATA!E437&lt;5,5,IF(RAW_DATA!E437&lt;10,8,10))))</f>
        <v>10</v>
      </c>
      <c r="N437" s="3">
        <f>IF(RAW_DATA!F437&lt;650,0,IF(RAW_DATA!F437&lt;700,8,IF(RAW_DATA!F437&lt;750,15,IF(RAW_DATA!F437&lt;800,20,25))))</f>
        <v>0</v>
      </c>
      <c r="O437" s="3">
        <f>IF(RAW_DATA!G437=0,5,IF(RAW_DATA!G437=1,4,IF(RAW_DATA!G437=2,3,IF(RAW_DATA!G437=3,2,IF(RAW_DATA!G437=4,1,0)))))</f>
        <v>0</v>
      </c>
      <c r="P437" s="3">
        <f>IF(RAW_DATA!K437&gt;=RAW_DATA!H437,20,ROUND((RAW_DATA!K437/RAW_DATA!H437)*20,0))</f>
        <v>20</v>
      </c>
      <c r="Q437" s="3">
        <f>IF(RAW_DATA!L437="No",5,0)</f>
        <v>5</v>
      </c>
      <c r="R437" s="3">
        <f t="shared" si="39"/>
        <v>70</v>
      </c>
      <c r="S437" s="3">
        <f t="shared" si="40"/>
        <v>70</v>
      </c>
      <c r="T437" s="3" t="str">
        <f t="shared" si="41"/>
        <v>Not Scored - Ineligible</v>
      </c>
    </row>
    <row r="438" spans="1:20" x14ac:dyDescent="0.25">
      <c r="A438" s="3" t="str">
        <f>RAW_DATA!A438</f>
        <v>APP437</v>
      </c>
      <c r="B438" s="3" t="b">
        <f>AND(RAW_DATA!B438&gt;=21,RAW_DATA!B438&lt;=60)</f>
        <v>1</v>
      </c>
      <c r="C438" s="3" t="b">
        <f>RAW_DATA!C438&gt;=300000</f>
        <v>1</v>
      </c>
      <c r="D438" s="3" t="b">
        <f>RAW_DATA!F438&gt;=650</f>
        <v>0</v>
      </c>
      <c r="E438" s="3" t="b">
        <f>RAW_DATA!E438&gt;=1</f>
        <v>1</v>
      </c>
      <c r="F438" s="3" t="b">
        <f>RAW_DATA!L438="No"</f>
        <v>1</v>
      </c>
      <c r="G438" s="3" t="b">
        <f t="shared" si="36"/>
        <v>0</v>
      </c>
      <c r="H438" s="3" t="str">
        <f t="shared" si="37"/>
        <v>INELIGIBLE</v>
      </c>
      <c r="I438" s="3" t="str">
        <f t="shared" si="38"/>
        <v>Credit Score</v>
      </c>
      <c r="K438" s="3" cm="1">
        <f t="array" ref="K4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38" s="5">
        <f>IF(RAW_DATA!C438&lt;300000,0,IF(RAW_DATA!C438&lt;600000,5,IF(RAW_DATA!C438&lt;1200000,15,IF(RAW_DATA!C438&lt;2000000,20,25))))</f>
        <v>15</v>
      </c>
      <c r="M438" s="3">
        <f>IF(RAW_DATA!E438&lt;1,0,IF(RAW_DATA!E438&lt;3,3,IF(RAW_DATA!E438&lt;5,5,IF(RAW_DATA!E438&lt;10,8,10))))</f>
        <v>10</v>
      </c>
      <c r="N438" s="3">
        <f>IF(RAW_DATA!F438&lt;650,0,IF(RAW_DATA!F438&lt;700,8,IF(RAW_DATA!F438&lt;750,15,IF(RAW_DATA!F438&lt;800,20,25))))</f>
        <v>0</v>
      </c>
      <c r="O438" s="3">
        <f>IF(RAW_DATA!G438=0,5,IF(RAW_DATA!G438=1,4,IF(RAW_DATA!G438=2,3,IF(RAW_DATA!G438=3,2,IF(RAW_DATA!G438=4,1,0)))))</f>
        <v>3</v>
      </c>
      <c r="P438" s="3">
        <f>IF(RAW_DATA!K438&gt;=RAW_DATA!H438,20,ROUND((RAW_DATA!K438/RAW_DATA!H438)*20,0))</f>
        <v>20</v>
      </c>
      <c r="Q438" s="3">
        <f>IF(RAW_DATA!L438="No",5,0)</f>
        <v>5</v>
      </c>
      <c r="R438" s="3">
        <f t="shared" si="39"/>
        <v>59</v>
      </c>
      <c r="S438" s="3">
        <f t="shared" si="40"/>
        <v>59</v>
      </c>
      <c r="T438" s="3" t="str">
        <f t="shared" si="41"/>
        <v>Not Scored - Ineligible</v>
      </c>
    </row>
    <row r="439" spans="1:20" x14ac:dyDescent="0.25">
      <c r="A439" s="3" t="str">
        <f>RAW_DATA!A439</f>
        <v>APP438</v>
      </c>
      <c r="B439" s="3" t="b">
        <f>AND(RAW_DATA!B439&gt;=21,RAW_DATA!B439&lt;=60)</f>
        <v>1</v>
      </c>
      <c r="C439" s="3" t="b">
        <f>RAW_DATA!C439&gt;=300000</f>
        <v>1</v>
      </c>
      <c r="D439" s="3" t="b">
        <f>RAW_DATA!F439&gt;=650</f>
        <v>0</v>
      </c>
      <c r="E439" s="3" t="b">
        <f>RAW_DATA!E439&gt;=1</f>
        <v>1</v>
      </c>
      <c r="F439" s="3" t="b">
        <f>RAW_DATA!L439="No"</f>
        <v>1</v>
      </c>
      <c r="G439" s="3" t="b">
        <f t="shared" si="36"/>
        <v>0</v>
      </c>
      <c r="H439" s="3" t="str">
        <f t="shared" si="37"/>
        <v>INELIGIBLE</v>
      </c>
      <c r="I439" s="3" t="str">
        <f t="shared" si="38"/>
        <v>Credit Score</v>
      </c>
      <c r="K439" s="3" cm="1">
        <f t="array" ref="K4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9" s="5">
        <f>IF(RAW_DATA!C439&lt;300000,0,IF(RAW_DATA!C439&lt;600000,5,IF(RAW_DATA!C439&lt;1200000,15,IF(RAW_DATA!C439&lt;2000000,20,25))))</f>
        <v>20</v>
      </c>
      <c r="M439" s="3">
        <f>IF(RAW_DATA!E439&lt;1,0,IF(RAW_DATA!E439&lt;3,3,IF(RAW_DATA!E439&lt;5,5,IF(RAW_DATA!E439&lt;10,8,10))))</f>
        <v>10</v>
      </c>
      <c r="N439" s="3">
        <f>IF(RAW_DATA!F439&lt;650,0,IF(RAW_DATA!F439&lt;700,8,IF(RAW_DATA!F439&lt;750,15,IF(RAW_DATA!F439&lt;800,20,25))))</f>
        <v>0</v>
      </c>
      <c r="O439" s="3">
        <f>IF(RAW_DATA!G439=0,5,IF(RAW_DATA!G439=1,4,IF(RAW_DATA!G439=2,3,IF(RAW_DATA!G439=3,2,IF(RAW_DATA!G439=4,1,0)))))</f>
        <v>2</v>
      </c>
      <c r="P439" s="3">
        <f>IF(RAW_DATA!K439&gt;=RAW_DATA!H439,20,ROUND((RAW_DATA!K439/RAW_DATA!H439)*20,0))</f>
        <v>10</v>
      </c>
      <c r="Q439" s="3">
        <f>IF(RAW_DATA!L439="No",5,0)</f>
        <v>5</v>
      </c>
      <c r="R439" s="3">
        <f t="shared" si="39"/>
        <v>57</v>
      </c>
      <c r="S439" s="3">
        <f t="shared" si="40"/>
        <v>57</v>
      </c>
      <c r="T439" s="3" t="str">
        <f t="shared" si="41"/>
        <v>Not Scored - Ineligible</v>
      </c>
    </row>
    <row r="440" spans="1:20" x14ac:dyDescent="0.25">
      <c r="A440" s="3" t="str">
        <f>RAW_DATA!A440</f>
        <v>APP439</v>
      </c>
      <c r="B440" s="3" t="b">
        <f>AND(RAW_DATA!B440&gt;=21,RAW_DATA!B440&lt;=60)</f>
        <v>1</v>
      </c>
      <c r="C440" s="3" t="b">
        <f>RAW_DATA!C440&gt;=300000</f>
        <v>1</v>
      </c>
      <c r="D440" s="3" t="b">
        <f>RAW_DATA!F440&gt;=650</f>
        <v>1</v>
      </c>
      <c r="E440" s="3" t="b">
        <f>RAW_DATA!E440&gt;=1</f>
        <v>1</v>
      </c>
      <c r="F440" s="3" t="b">
        <f>RAW_DATA!L440="No"</f>
        <v>1</v>
      </c>
      <c r="G440" s="3" t="b">
        <f t="shared" si="36"/>
        <v>1</v>
      </c>
      <c r="H440" s="3" t="str">
        <f t="shared" si="37"/>
        <v>ELIGIBLE</v>
      </c>
      <c r="I440" s="3" t="str">
        <f t="shared" si="38"/>
        <v/>
      </c>
      <c r="K440" s="3" cm="1">
        <f t="array" ref="K4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40" s="5">
        <f>IF(RAW_DATA!C440&lt;300000,0,IF(RAW_DATA!C440&lt;600000,5,IF(RAW_DATA!C440&lt;1200000,15,IF(RAW_DATA!C440&lt;2000000,20,25))))</f>
        <v>15</v>
      </c>
      <c r="M440" s="3">
        <f>IF(RAW_DATA!E440&lt;1,0,IF(RAW_DATA!E440&lt;3,3,IF(RAW_DATA!E440&lt;5,5,IF(RAW_DATA!E440&lt;10,8,10))))</f>
        <v>10</v>
      </c>
      <c r="N440" s="3">
        <f>IF(RAW_DATA!F440&lt;650,0,IF(RAW_DATA!F440&lt;700,8,IF(RAW_DATA!F440&lt;750,15,IF(RAW_DATA!F440&lt;800,20,25))))</f>
        <v>25</v>
      </c>
      <c r="O440" s="3">
        <f>IF(RAW_DATA!G440=0,5,IF(RAW_DATA!G440=1,4,IF(RAW_DATA!G440=2,3,IF(RAW_DATA!G440=3,2,IF(RAW_DATA!G440=4,1,0)))))</f>
        <v>4</v>
      </c>
      <c r="P440" s="3">
        <f>IF(RAW_DATA!K440&gt;=RAW_DATA!H440,20,ROUND((RAW_DATA!K440/RAW_DATA!H440)*20,0))</f>
        <v>15</v>
      </c>
      <c r="Q440" s="3">
        <f>IF(RAW_DATA!L440="No",5,0)</f>
        <v>5</v>
      </c>
      <c r="R440" s="3">
        <f t="shared" si="39"/>
        <v>80</v>
      </c>
      <c r="S440" s="3">
        <f t="shared" si="40"/>
        <v>80</v>
      </c>
      <c r="T440" s="3" t="str">
        <f t="shared" si="41"/>
        <v>Strong</v>
      </c>
    </row>
    <row r="441" spans="1:20" x14ac:dyDescent="0.25">
      <c r="A441" s="3" t="str">
        <f>RAW_DATA!A441</f>
        <v>APP440</v>
      </c>
      <c r="B441" s="3" t="b">
        <f>AND(RAW_DATA!B441&gt;=21,RAW_DATA!B441&lt;=60)</f>
        <v>1</v>
      </c>
      <c r="C441" s="3" t="b">
        <f>RAW_DATA!C441&gt;=300000</f>
        <v>1</v>
      </c>
      <c r="D441" s="3" t="b">
        <f>RAW_DATA!F441&gt;=650</f>
        <v>0</v>
      </c>
      <c r="E441" s="3" t="b">
        <f>RAW_DATA!E441&gt;=1</f>
        <v>1</v>
      </c>
      <c r="F441" s="3" t="b">
        <f>RAW_DATA!L441="No"</f>
        <v>0</v>
      </c>
      <c r="G441" s="3" t="b">
        <f t="shared" si="36"/>
        <v>0</v>
      </c>
      <c r="H441" s="3" t="str">
        <f t="shared" si="37"/>
        <v>INELIGIBLE</v>
      </c>
      <c r="I441" s="3" t="str">
        <f t="shared" si="38"/>
        <v>Credit Score, Defaulter History</v>
      </c>
      <c r="K441" s="3" cm="1">
        <f t="array" ref="K4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1" s="5">
        <f>IF(RAW_DATA!C441&lt;300000,0,IF(RAW_DATA!C441&lt;600000,5,IF(RAW_DATA!C441&lt;1200000,15,IF(RAW_DATA!C441&lt;2000000,20,25))))</f>
        <v>25</v>
      </c>
      <c r="M441" s="3">
        <f>IF(RAW_DATA!E441&lt;1,0,IF(RAW_DATA!E441&lt;3,3,IF(RAW_DATA!E441&lt;5,5,IF(RAW_DATA!E441&lt;10,8,10))))</f>
        <v>10</v>
      </c>
      <c r="N441" s="3">
        <f>IF(RAW_DATA!F441&lt;650,0,IF(RAW_DATA!F441&lt;700,8,IF(RAW_DATA!F441&lt;750,15,IF(RAW_DATA!F441&lt;800,20,25))))</f>
        <v>0</v>
      </c>
      <c r="O441" s="3">
        <f>IF(RAW_DATA!G441=0,5,IF(RAW_DATA!G441=1,4,IF(RAW_DATA!G441=2,3,IF(RAW_DATA!G441=3,2,IF(RAW_DATA!G441=4,1,0)))))</f>
        <v>3</v>
      </c>
      <c r="P441" s="3">
        <f>IF(RAW_DATA!K441&gt;=RAW_DATA!H441,20,ROUND((RAW_DATA!K441/RAW_DATA!H441)*20,0))</f>
        <v>20</v>
      </c>
      <c r="Q441" s="3">
        <f>IF(RAW_DATA!L441="No",5,0)</f>
        <v>0</v>
      </c>
      <c r="R441" s="3">
        <f t="shared" si="39"/>
        <v>68</v>
      </c>
      <c r="S441" s="3">
        <f t="shared" si="40"/>
        <v>68</v>
      </c>
      <c r="T441" s="3" t="str">
        <f t="shared" si="41"/>
        <v>Not Scored - Ineligible</v>
      </c>
    </row>
    <row r="442" spans="1:20" x14ac:dyDescent="0.25">
      <c r="A442" s="3" t="str">
        <f>RAW_DATA!A442</f>
        <v>APP441</v>
      </c>
      <c r="B442" s="3" t="b">
        <f>AND(RAW_DATA!B442&gt;=21,RAW_DATA!B442&lt;=60)</f>
        <v>1</v>
      </c>
      <c r="C442" s="3" t="b">
        <f>RAW_DATA!C442&gt;=300000</f>
        <v>1</v>
      </c>
      <c r="D442" s="3" t="b">
        <f>RAW_DATA!F442&gt;=650</f>
        <v>0</v>
      </c>
      <c r="E442" s="3" t="b">
        <f>RAW_DATA!E442&gt;=1</f>
        <v>1</v>
      </c>
      <c r="F442" s="3" t="b">
        <f>RAW_DATA!L442="No"</f>
        <v>1</v>
      </c>
      <c r="G442" s="3" t="b">
        <f t="shared" si="36"/>
        <v>0</v>
      </c>
      <c r="H442" s="3" t="str">
        <f t="shared" si="37"/>
        <v>INELIGIBLE</v>
      </c>
      <c r="I442" s="3" t="str">
        <f t="shared" si="38"/>
        <v>Credit Score</v>
      </c>
      <c r="K442" s="3" cm="1">
        <f t="array" ref="K4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2" s="5">
        <f>IF(RAW_DATA!C442&lt;300000,0,IF(RAW_DATA!C442&lt;600000,5,IF(RAW_DATA!C442&lt;1200000,15,IF(RAW_DATA!C442&lt;2000000,20,25))))</f>
        <v>20</v>
      </c>
      <c r="M442" s="3">
        <f>IF(RAW_DATA!E442&lt;1,0,IF(RAW_DATA!E442&lt;3,3,IF(RAW_DATA!E442&lt;5,5,IF(RAW_DATA!E442&lt;10,8,10))))</f>
        <v>3</v>
      </c>
      <c r="N442" s="3">
        <f>IF(RAW_DATA!F442&lt;650,0,IF(RAW_DATA!F442&lt;700,8,IF(RAW_DATA!F442&lt;750,15,IF(RAW_DATA!F442&lt;800,20,25))))</f>
        <v>0</v>
      </c>
      <c r="O442" s="3">
        <f>IF(RAW_DATA!G442=0,5,IF(RAW_DATA!G442=1,4,IF(RAW_DATA!G442=2,3,IF(RAW_DATA!G442=3,2,IF(RAW_DATA!G442=4,1,0)))))</f>
        <v>1</v>
      </c>
      <c r="P442" s="3">
        <f>IF(RAW_DATA!K442&gt;=RAW_DATA!H442,20,ROUND((RAW_DATA!K442/RAW_DATA!H442)*20,0))</f>
        <v>20</v>
      </c>
      <c r="Q442" s="3">
        <f>IF(RAW_DATA!L442="No",5,0)</f>
        <v>5</v>
      </c>
      <c r="R442" s="3">
        <f t="shared" si="39"/>
        <v>56</v>
      </c>
      <c r="S442" s="3">
        <f t="shared" si="40"/>
        <v>56</v>
      </c>
      <c r="T442" s="3" t="str">
        <f t="shared" si="41"/>
        <v>Not Scored - Ineligible</v>
      </c>
    </row>
    <row r="443" spans="1:20" x14ac:dyDescent="0.25">
      <c r="A443" s="3" t="str">
        <f>RAW_DATA!A443</f>
        <v>APP442</v>
      </c>
      <c r="B443" s="3" t="b">
        <f>AND(RAW_DATA!B443&gt;=21,RAW_DATA!B443&lt;=60)</f>
        <v>1</v>
      </c>
      <c r="C443" s="3" t="b">
        <f>RAW_DATA!C443&gt;=300000</f>
        <v>1</v>
      </c>
      <c r="D443" s="3" t="b">
        <f>RAW_DATA!F443&gt;=650</f>
        <v>1</v>
      </c>
      <c r="E443" s="3" t="b">
        <f>RAW_DATA!E443&gt;=1</f>
        <v>1</v>
      </c>
      <c r="F443" s="3" t="b">
        <f>RAW_DATA!L443="No"</f>
        <v>1</v>
      </c>
      <c r="G443" s="3" t="b">
        <f t="shared" si="36"/>
        <v>1</v>
      </c>
      <c r="H443" s="3" t="str">
        <f t="shared" si="37"/>
        <v>ELIGIBLE</v>
      </c>
      <c r="I443" s="3" t="str">
        <f t="shared" si="38"/>
        <v/>
      </c>
      <c r="K443" s="3" cm="1">
        <f t="array" ref="K4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3" s="5">
        <f>IF(RAW_DATA!C443&lt;300000,0,IF(RAW_DATA!C443&lt;600000,5,IF(RAW_DATA!C443&lt;1200000,15,IF(RAW_DATA!C443&lt;2000000,20,25))))</f>
        <v>5</v>
      </c>
      <c r="M443" s="3">
        <f>IF(RAW_DATA!E443&lt;1,0,IF(RAW_DATA!E443&lt;3,3,IF(RAW_DATA!E443&lt;5,5,IF(RAW_DATA!E443&lt;10,8,10))))</f>
        <v>10</v>
      </c>
      <c r="N443" s="3">
        <f>IF(RAW_DATA!F443&lt;650,0,IF(RAW_DATA!F443&lt;700,8,IF(RAW_DATA!F443&lt;750,15,IF(RAW_DATA!F443&lt;800,20,25))))</f>
        <v>25</v>
      </c>
      <c r="O443" s="3">
        <f>IF(RAW_DATA!G443=0,5,IF(RAW_DATA!G443=1,4,IF(RAW_DATA!G443=2,3,IF(RAW_DATA!G443=3,2,IF(RAW_DATA!G443=4,1,0)))))</f>
        <v>0</v>
      </c>
      <c r="P443" s="3">
        <f>IF(RAW_DATA!K443&gt;=RAW_DATA!H443,20,ROUND((RAW_DATA!K443/RAW_DATA!H443)*20,0))</f>
        <v>20</v>
      </c>
      <c r="Q443" s="3">
        <f>IF(RAW_DATA!L443="No",5,0)</f>
        <v>5</v>
      </c>
      <c r="R443" s="3">
        <f t="shared" si="39"/>
        <v>69</v>
      </c>
      <c r="S443" s="3">
        <f t="shared" si="40"/>
        <v>69</v>
      </c>
      <c r="T443" s="3" t="str">
        <f t="shared" si="41"/>
        <v>Moderate</v>
      </c>
    </row>
    <row r="444" spans="1:20" x14ac:dyDescent="0.25">
      <c r="A444" s="3" t="str">
        <f>RAW_DATA!A444</f>
        <v>APP443</v>
      </c>
      <c r="B444" s="3" t="b">
        <f>AND(RAW_DATA!B444&gt;=21,RAW_DATA!B444&lt;=60)</f>
        <v>1</v>
      </c>
      <c r="C444" s="3" t="b">
        <f>RAW_DATA!C444&gt;=300000</f>
        <v>1</v>
      </c>
      <c r="D444" s="3" t="b">
        <f>RAW_DATA!F444&gt;=650</f>
        <v>0</v>
      </c>
      <c r="E444" s="3" t="b">
        <f>RAW_DATA!E444&gt;=1</f>
        <v>1</v>
      </c>
      <c r="F444" s="3" t="b">
        <f>RAW_DATA!L444="No"</f>
        <v>1</v>
      </c>
      <c r="G444" s="3" t="b">
        <f t="shared" si="36"/>
        <v>0</v>
      </c>
      <c r="H444" s="3" t="str">
        <f t="shared" si="37"/>
        <v>INELIGIBLE</v>
      </c>
      <c r="I444" s="3" t="str">
        <f t="shared" si="38"/>
        <v>Credit Score</v>
      </c>
      <c r="K444" s="3" cm="1">
        <f t="array" ref="K4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44" s="5">
        <f>IF(RAW_DATA!C444&lt;300000,0,IF(RAW_DATA!C444&lt;600000,5,IF(RAW_DATA!C444&lt;1200000,15,IF(RAW_DATA!C444&lt;2000000,20,25))))</f>
        <v>20</v>
      </c>
      <c r="M444" s="3">
        <f>IF(RAW_DATA!E444&lt;1,0,IF(RAW_DATA!E444&lt;3,3,IF(RAW_DATA!E444&lt;5,5,IF(RAW_DATA!E444&lt;10,8,10))))</f>
        <v>8</v>
      </c>
      <c r="N444" s="3">
        <f>IF(RAW_DATA!F444&lt;650,0,IF(RAW_DATA!F444&lt;700,8,IF(RAW_DATA!F444&lt;750,15,IF(RAW_DATA!F444&lt;800,20,25))))</f>
        <v>0</v>
      </c>
      <c r="O444" s="3">
        <f>IF(RAW_DATA!G444=0,5,IF(RAW_DATA!G444=1,4,IF(RAW_DATA!G444=2,3,IF(RAW_DATA!G444=3,2,IF(RAW_DATA!G444=4,1,0)))))</f>
        <v>0</v>
      </c>
      <c r="P444" s="3">
        <f>IF(RAW_DATA!K444&gt;=RAW_DATA!H444,20,ROUND((RAW_DATA!K444/RAW_DATA!H444)*20,0))</f>
        <v>20</v>
      </c>
      <c r="Q444" s="3">
        <f>IF(RAW_DATA!L444="No",5,0)</f>
        <v>5</v>
      </c>
      <c r="R444" s="3">
        <f t="shared" si="39"/>
        <v>61</v>
      </c>
      <c r="S444" s="3">
        <f t="shared" si="40"/>
        <v>61</v>
      </c>
      <c r="T444" s="3" t="str">
        <f t="shared" si="41"/>
        <v>Not Scored - Ineligible</v>
      </c>
    </row>
    <row r="445" spans="1:20" x14ac:dyDescent="0.25">
      <c r="A445" s="3" t="str">
        <f>RAW_DATA!A445</f>
        <v>APP444</v>
      </c>
      <c r="B445" s="3" t="b">
        <f>AND(RAW_DATA!B445&gt;=21,RAW_DATA!B445&lt;=60)</f>
        <v>1</v>
      </c>
      <c r="C445" s="3" t="b">
        <f>RAW_DATA!C445&gt;=300000</f>
        <v>1</v>
      </c>
      <c r="D445" s="3" t="b">
        <f>RAW_DATA!F445&gt;=650</f>
        <v>1</v>
      </c>
      <c r="E445" s="3" t="b">
        <f>RAW_DATA!E445&gt;=1</f>
        <v>1</v>
      </c>
      <c r="F445" s="3" t="b">
        <f>RAW_DATA!L445="No"</f>
        <v>1</v>
      </c>
      <c r="G445" s="3" t="b">
        <f t="shared" si="36"/>
        <v>1</v>
      </c>
      <c r="H445" s="3" t="str">
        <f t="shared" si="37"/>
        <v>ELIGIBLE</v>
      </c>
      <c r="I445" s="3" t="str">
        <f t="shared" si="38"/>
        <v/>
      </c>
      <c r="K445" s="3" cm="1">
        <f t="array" ref="K4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5" s="5">
        <f>IF(RAW_DATA!C445&lt;300000,0,IF(RAW_DATA!C445&lt;600000,5,IF(RAW_DATA!C445&lt;1200000,15,IF(RAW_DATA!C445&lt;2000000,20,25))))</f>
        <v>20</v>
      </c>
      <c r="M445" s="3">
        <f>IF(RAW_DATA!E445&lt;1,0,IF(RAW_DATA!E445&lt;3,3,IF(RAW_DATA!E445&lt;5,5,IF(RAW_DATA!E445&lt;10,8,10))))</f>
        <v>10</v>
      </c>
      <c r="N445" s="3">
        <f>IF(RAW_DATA!F445&lt;650,0,IF(RAW_DATA!F445&lt;700,8,IF(RAW_DATA!F445&lt;750,15,IF(RAW_DATA!F445&lt;800,20,25))))</f>
        <v>15</v>
      </c>
      <c r="O445" s="3">
        <f>IF(RAW_DATA!G445=0,5,IF(RAW_DATA!G445=1,4,IF(RAW_DATA!G445=2,3,IF(RAW_DATA!G445=3,2,IF(RAW_DATA!G445=4,1,0)))))</f>
        <v>5</v>
      </c>
      <c r="P445" s="3">
        <f>IF(RAW_DATA!K445&gt;=RAW_DATA!H445,20,ROUND((RAW_DATA!K445/RAW_DATA!H445)*20,0))</f>
        <v>20</v>
      </c>
      <c r="Q445" s="3">
        <f>IF(RAW_DATA!L445="No",5,0)</f>
        <v>5</v>
      </c>
      <c r="R445" s="3">
        <f t="shared" si="39"/>
        <v>85</v>
      </c>
      <c r="S445" s="3">
        <f t="shared" si="40"/>
        <v>85</v>
      </c>
      <c r="T445" s="3" t="str">
        <f t="shared" si="41"/>
        <v>Strong</v>
      </c>
    </row>
    <row r="446" spans="1:20" x14ac:dyDescent="0.25">
      <c r="A446" s="3" t="str">
        <f>RAW_DATA!A446</f>
        <v>APP445</v>
      </c>
      <c r="B446" s="3" t="b">
        <f>AND(RAW_DATA!B446&gt;=21,RAW_DATA!B446&lt;=60)</f>
        <v>1</v>
      </c>
      <c r="C446" s="3" t="b">
        <f>RAW_DATA!C446&gt;=300000</f>
        <v>1</v>
      </c>
      <c r="D446" s="3" t="b">
        <f>RAW_DATA!F446&gt;=650</f>
        <v>1</v>
      </c>
      <c r="E446" s="3" t="b">
        <f>RAW_DATA!E446&gt;=1</f>
        <v>1</v>
      </c>
      <c r="F446" s="3" t="b">
        <f>RAW_DATA!L446="No"</f>
        <v>1</v>
      </c>
      <c r="G446" s="3" t="b">
        <f t="shared" si="36"/>
        <v>1</v>
      </c>
      <c r="H446" s="3" t="str">
        <f t="shared" si="37"/>
        <v>ELIGIBLE</v>
      </c>
      <c r="I446" s="3" t="str">
        <f t="shared" si="38"/>
        <v/>
      </c>
      <c r="K446" s="3" cm="1">
        <f t="array" ref="K4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6" s="5">
        <f>IF(RAW_DATA!C446&lt;300000,0,IF(RAW_DATA!C446&lt;600000,5,IF(RAW_DATA!C446&lt;1200000,15,IF(RAW_DATA!C446&lt;2000000,20,25))))</f>
        <v>15</v>
      </c>
      <c r="M446" s="3">
        <f>IF(RAW_DATA!E446&lt;1,0,IF(RAW_DATA!E446&lt;3,3,IF(RAW_DATA!E446&lt;5,5,IF(RAW_DATA!E446&lt;10,8,10))))</f>
        <v>10</v>
      </c>
      <c r="N446" s="3">
        <f>IF(RAW_DATA!F446&lt;650,0,IF(RAW_DATA!F446&lt;700,8,IF(RAW_DATA!F446&lt;750,15,IF(RAW_DATA!F446&lt;800,20,25))))</f>
        <v>25</v>
      </c>
      <c r="O446" s="3">
        <f>IF(RAW_DATA!G446=0,5,IF(RAW_DATA!G446=1,4,IF(RAW_DATA!G446=2,3,IF(RAW_DATA!G446=3,2,IF(RAW_DATA!G446=4,1,0)))))</f>
        <v>3</v>
      </c>
      <c r="P446" s="3">
        <f>IF(RAW_DATA!K446&gt;=RAW_DATA!H446,20,ROUND((RAW_DATA!K446/RAW_DATA!H446)*20,0))</f>
        <v>20</v>
      </c>
      <c r="Q446" s="3">
        <f>IF(RAW_DATA!L446="No",5,0)</f>
        <v>5</v>
      </c>
      <c r="R446" s="3">
        <f t="shared" si="39"/>
        <v>88</v>
      </c>
      <c r="S446" s="3">
        <f t="shared" si="40"/>
        <v>88</v>
      </c>
      <c r="T446" s="3" t="str">
        <f t="shared" si="41"/>
        <v>Strong</v>
      </c>
    </row>
    <row r="447" spans="1:20" x14ac:dyDescent="0.25">
      <c r="A447" s="3" t="str">
        <f>RAW_DATA!A447</f>
        <v>APP446</v>
      </c>
      <c r="B447" s="3" t="b">
        <f>AND(RAW_DATA!B447&gt;=21,RAW_DATA!B447&lt;=60)</f>
        <v>1</v>
      </c>
      <c r="C447" s="3" t="b">
        <f>RAW_DATA!C447&gt;=300000</f>
        <v>1</v>
      </c>
      <c r="D447" s="3" t="b">
        <f>RAW_DATA!F447&gt;=650</f>
        <v>0</v>
      </c>
      <c r="E447" s="3" t="b">
        <f>RAW_DATA!E447&gt;=1</f>
        <v>0</v>
      </c>
      <c r="F447" s="3" t="b">
        <f>RAW_DATA!L447="No"</f>
        <v>1</v>
      </c>
      <c r="G447" s="3" t="b">
        <f t="shared" si="36"/>
        <v>0</v>
      </c>
      <c r="H447" s="3" t="str">
        <f t="shared" si="37"/>
        <v>INELIGIBLE</v>
      </c>
      <c r="I447" s="3" t="str">
        <f t="shared" si="38"/>
        <v>Credit Score, Employment</v>
      </c>
      <c r="K447" s="3" cm="1">
        <f t="array" ref="K4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7" s="5">
        <f>IF(RAW_DATA!C447&lt;300000,0,IF(RAW_DATA!C447&lt;600000,5,IF(RAW_DATA!C447&lt;1200000,15,IF(RAW_DATA!C447&lt;2000000,20,25))))</f>
        <v>15</v>
      </c>
      <c r="M447" s="3">
        <f>IF(RAW_DATA!E447&lt;1,0,IF(RAW_DATA!E447&lt;3,3,IF(RAW_DATA!E447&lt;5,5,IF(RAW_DATA!E447&lt;10,8,10))))</f>
        <v>0</v>
      </c>
      <c r="N447" s="3">
        <f>IF(RAW_DATA!F447&lt;650,0,IF(RAW_DATA!F447&lt;700,8,IF(RAW_DATA!F447&lt;750,15,IF(RAW_DATA!F447&lt;800,20,25))))</f>
        <v>0</v>
      </c>
      <c r="O447" s="3">
        <f>IF(RAW_DATA!G447=0,5,IF(RAW_DATA!G447=1,4,IF(RAW_DATA!G447=2,3,IF(RAW_DATA!G447=3,2,IF(RAW_DATA!G447=4,1,0)))))</f>
        <v>4</v>
      </c>
      <c r="P447" s="3">
        <f>IF(RAW_DATA!K447&gt;=RAW_DATA!H447,20,ROUND((RAW_DATA!K447/RAW_DATA!H447)*20,0))</f>
        <v>7</v>
      </c>
      <c r="Q447" s="3">
        <f>IF(RAW_DATA!L447="No",5,0)</f>
        <v>5</v>
      </c>
      <c r="R447" s="3">
        <f t="shared" si="39"/>
        <v>35</v>
      </c>
      <c r="S447" s="3">
        <f t="shared" si="40"/>
        <v>35</v>
      </c>
      <c r="T447" s="3" t="str">
        <f t="shared" si="41"/>
        <v>Not Scored - Ineligible</v>
      </c>
    </row>
    <row r="448" spans="1:20" x14ac:dyDescent="0.25">
      <c r="A448" s="3" t="str">
        <f>RAW_DATA!A448</f>
        <v>APP447</v>
      </c>
      <c r="B448" s="3" t="b">
        <f>AND(RAW_DATA!B448&gt;=21,RAW_DATA!B448&lt;=60)</f>
        <v>1</v>
      </c>
      <c r="C448" s="3" t="b">
        <f>RAW_DATA!C448&gt;=300000</f>
        <v>1</v>
      </c>
      <c r="D448" s="3" t="b">
        <f>RAW_DATA!F448&gt;=650</f>
        <v>1</v>
      </c>
      <c r="E448" s="3" t="b">
        <f>RAW_DATA!E448&gt;=1</f>
        <v>1</v>
      </c>
      <c r="F448" s="3" t="b">
        <f>RAW_DATA!L448="No"</f>
        <v>1</v>
      </c>
      <c r="G448" s="3" t="b">
        <f t="shared" si="36"/>
        <v>1</v>
      </c>
      <c r="H448" s="3" t="str">
        <f t="shared" si="37"/>
        <v>ELIGIBLE</v>
      </c>
      <c r="I448" s="3" t="str">
        <f t="shared" si="38"/>
        <v/>
      </c>
      <c r="K448" s="3" cm="1">
        <f t="array" ref="K4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8" s="5">
        <f>IF(RAW_DATA!C448&lt;300000,0,IF(RAW_DATA!C448&lt;600000,5,IF(RAW_DATA!C448&lt;1200000,15,IF(RAW_DATA!C448&lt;2000000,20,25))))</f>
        <v>20</v>
      </c>
      <c r="M448" s="3">
        <f>IF(RAW_DATA!E448&lt;1,0,IF(RAW_DATA!E448&lt;3,3,IF(RAW_DATA!E448&lt;5,5,IF(RAW_DATA!E448&lt;10,8,10))))</f>
        <v>8</v>
      </c>
      <c r="N448" s="3">
        <f>IF(RAW_DATA!F448&lt;650,0,IF(RAW_DATA!F448&lt;700,8,IF(RAW_DATA!F448&lt;750,15,IF(RAW_DATA!F448&lt;800,20,25))))</f>
        <v>25</v>
      </c>
      <c r="O448" s="3">
        <f>IF(RAW_DATA!G448=0,5,IF(RAW_DATA!G448=1,4,IF(RAW_DATA!G448=2,3,IF(RAW_DATA!G448=3,2,IF(RAW_DATA!G448=4,1,0)))))</f>
        <v>4</v>
      </c>
      <c r="P448" s="3">
        <f>IF(RAW_DATA!K448&gt;=RAW_DATA!H448,20,ROUND((RAW_DATA!K448/RAW_DATA!H448)*20,0))</f>
        <v>15</v>
      </c>
      <c r="Q448" s="3">
        <f>IF(RAW_DATA!L448="No",5,0)</f>
        <v>5</v>
      </c>
      <c r="R448" s="3">
        <f t="shared" si="39"/>
        <v>84</v>
      </c>
      <c r="S448" s="3">
        <f t="shared" si="40"/>
        <v>84</v>
      </c>
      <c r="T448" s="3" t="str">
        <f t="shared" si="41"/>
        <v>Strong</v>
      </c>
    </row>
    <row r="449" spans="1:20" x14ac:dyDescent="0.25">
      <c r="A449" s="3" t="str">
        <f>RAW_DATA!A449</f>
        <v>APP448</v>
      </c>
      <c r="B449" s="3" t="b">
        <f>AND(RAW_DATA!B449&gt;=21,RAW_DATA!B449&lt;=60)</f>
        <v>1</v>
      </c>
      <c r="C449" s="3" t="b">
        <f>RAW_DATA!C449&gt;=300000</f>
        <v>1</v>
      </c>
      <c r="D449" s="3" t="b">
        <f>RAW_DATA!F449&gt;=650</f>
        <v>1</v>
      </c>
      <c r="E449" s="3" t="b">
        <f>RAW_DATA!E449&gt;=1</f>
        <v>1</v>
      </c>
      <c r="F449" s="3" t="b">
        <f>RAW_DATA!L449="No"</f>
        <v>1</v>
      </c>
      <c r="G449" s="3" t="b">
        <f t="shared" si="36"/>
        <v>1</v>
      </c>
      <c r="H449" s="3" t="str">
        <f t="shared" si="37"/>
        <v>ELIGIBLE</v>
      </c>
      <c r="I449" s="3" t="str">
        <f t="shared" si="38"/>
        <v/>
      </c>
      <c r="K449" s="3" cm="1">
        <f t="array" ref="K4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9" s="5">
        <f>IF(RAW_DATA!C449&lt;300000,0,IF(RAW_DATA!C449&lt;600000,5,IF(RAW_DATA!C449&lt;1200000,15,IF(RAW_DATA!C449&lt;2000000,20,25))))</f>
        <v>15</v>
      </c>
      <c r="M449" s="3">
        <f>IF(RAW_DATA!E449&lt;1,0,IF(RAW_DATA!E449&lt;3,3,IF(RAW_DATA!E449&lt;5,5,IF(RAW_DATA!E449&lt;10,8,10))))</f>
        <v>8</v>
      </c>
      <c r="N449" s="3">
        <f>IF(RAW_DATA!F449&lt;650,0,IF(RAW_DATA!F449&lt;700,8,IF(RAW_DATA!F449&lt;750,15,IF(RAW_DATA!F449&lt;800,20,25))))</f>
        <v>8</v>
      </c>
      <c r="O449" s="3">
        <f>IF(RAW_DATA!G449=0,5,IF(RAW_DATA!G449=1,4,IF(RAW_DATA!G449=2,3,IF(RAW_DATA!G449=3,2,IF(RAW_DATA!G449=4,1,0)))))</f>
        <v>0</v>
      </c>
      <c r="P449" s="3">
        <f>IF(RAW_DATA!K449&gt;=RAW_DATA!H449,20,ROUND((RAW_DATA!K449/RAW_DATA!H449)*20,0))</f>
        <v>0</v>
      </c>
      <c r="Q449" s="3">
        <f>IF(RAW_DATA!L449="No",5,0)</f>
        <v>5</v>
      </c>
      <c r="R449" s="3">
        <f t="shared" si="39"/>
        <v>40</v>
      </c>
      <c r="S449" s="3">
        <f t="shared" si="40"/>
        <v>40</v>
      </c>
      <c r="T449" s="3" t="str">
        <f t="shared" si="41"/>
        <v>Weak</v>
      </c>
    </row>
    <row r="450" spans="1:20" x14ac:dyDescent="0.25">
      <c r="A450" s="3" t="str">
        <f>RAW_DATA!A450</f>
        <v>APP449</v>
      </c>
      <c r="B450" s="3" t="b">
        <f>AND(RAW_DATA!B450&gt;=21,RAW_DATA!B450&lt;=60)</f>
        <v>1</v>
      </c>
      <c r="C450" s="3" t="b">
        <f>RAW_DATA!C450&gt;=300000</f>
        <v>0</v>
      </c>
      <c r="D450" s="3" t="b">
        <f>RAW_DATA!F450&gt;=650</f>
        <v>1</v>
      </c>
      <c r="E450" s="3" t="b">
        <f>RAW_DATA!E450&gt;=1</f>
        <v>1</v>
      </c>
      <c r="F450" s="3" t="b">
        <f>RAW_DATA!L450="No"</f>
        <v>0</v>
      </c>
      <c r="G450" s="3" t="b">
        <f t="shared" si="36"/>
        <v>0</v>
      </c>
      <c r="H450" s="3" t="str">
        <f t="shared" si="37"/>
        <v>INELIGIBLE</v>
      </c>
      <c r="I450" s="3" t="str">
        <f t="shared" si="38"/>
        <v>Income, Defaulter History</v>
      </c>
      <c r="K450" s="3" cm="1">
        <f t="array" ref="K4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0" s="5">
        <f>IF(RAW_DATA!C450&lt;300000,0,IF(RAW_DATA!C450&lt;600000,5,IF(RAW_DATA!C450&lt;1200000,15,IF(RAW_DATA!C450&lt;2000000,20,25))))</f>
        <v>0</v>
      </c>
      <c r="M450" s="3">
        <f>IF(RAW_DATA!E450&lt;1,0,IF(RAW_DATA!E450&lt;3,3,IF(RAW_DATA!E450&lt;5,5,IF(RAW_DATA!E450&lt;10,8,10))))</f>
        <v>10</v>
      </c>
      <c r="N450" s="3">
        <f>IF(RAW_DATA!F450&lt;650,0,IF(RAW_DATA!F450&lt;700,8,IF(RAW_DATA!F450&lt;750,15,IF(RAW_DATA!F450&lt;800,20,25))))</f>
        <v>20</v>
      </c>
      <c r="O450" s="3">
        <f>IF(RAW_DATA!G450=0,5,IF(RAW_DATA!G450=1,4,IF(RAW_DATA!G450=2,3,IF(RAW_DATA!G450=3,2,IF(RAW_DATA!G450=4,1,0)))))</f>
        <v>4</v>
      </c>
      <c r="P450" s="3">
        <f>IF(RAW_DATA!K450&gt;=RAW_DATA!H450,20,ROUND((RAW_DATA!K450/RAW_DATA!H450)*20,0))</f>
        <v>20</v>
      </c>
      <c r="Q450" s="3">
        <f>IF(RAW_DATA!L450="No",5,0)</f>
        <v>0</v>
      </c>
      <c r="R450" s="3">
        <f t="shared" si="39"/>
        <v>62</v>
      </c>
      <c r="S450" s="3">
        <f t="shared" si="40"/>
        <v>62</v>
      </c>
      <c r="T450" s="3" t="str">
        <f t="shared" si="41"/>
        <v>Not Scored - Ineligible</v>
      </c>
    </row>
    <row r="451" spans="1:20" x14ac:dyDescent="0.25">
      <c r="A451" s="3" t="str">
        <f>RAW_DATA!A451</f>
        <v>APP450</v>
      </c>
      <c r="B451" s="3" t="b">
        <f>AND(RAW_DATA!B451&gt;=21,RAW_DATA!B451&lt;=60)</f>
        <v>1</v>
      </c>
      <c r="C451" s="3" t="b">
        <f>RAW_DATA!C451&gt;=300000</f>
        <v>1</v>
      </c>
      <c r="D451" s="3" t="b">
        <f>RAW_DATA!F451&gt;=650</f>
        <v>0</v>
      </c>
      <c r="E451" s="3" t="b">
        <f>RAW_DATA!E451&gt;=1</f>
        <v>1</v>
      </c>
      <c r="F451" s="3" t="b">
        <f>RAW_DATA!L451="No"</f>
        <v>1</v>
      </c>
      <c r="G451" s="3" t="b">
        <f t="shared" ref="G451:G501" si="42">AND(B451:F451)</f>
        <v>0</v>
      </c>
      <c r="H451" s="3" t="str">
        <f t="shared" ref="H451:H501" si="43">IF(G451,"ELIGIBLE","INELIGIBLE")</f>
        <v>INELIGIBLE</v>
      </c>
      <c r="I451" s="3" t="str">
        <f t="shared" ref="I451:I501" si="44">IF(G451,"",_xlfn.TEXTJOIN(", ",TRUE,IF(B451,"","Age"),IF(C451,"","Income"),IF(D451,"","Credit Score"),IF(E451,"","Employment"),IF(F451,"","Defaulter History")))</f>
        <v>Credit Score</v>
      </c>
      <c r="K451" s="3" cm="1">
        <f t="array" ref="K4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1" s="5">
        <f>IF(RAW_DATA!C451&lt;300000,0,IF(RAW_DATA!C451&lt;600000,5,IF(RAW_DATA!C451&lt;1200000,15,IF(RAW_DATA!C451&lt;2000000,20,25))))</f>
        <v>15</v>
      </c>
      <c r="M451" s="3">
        <f>IF(RAW_DATA!E451&lt;1,0,IF(RAW_DATA!E451&lt;3,3,IF(RAW_DATA!E451&lt;5,5,IF(RAW_DATA!E451&lt;10,8,10))))</f>
        <v>10</v>
      </c>
      <c r="N451" s="3">
        <f>IF(RAW_DATA!F451&lt;650,0,IF(RAW_DATA!F451&lt;700,8,IF(RAW_DATA!F451&lt;750,15,IF(RAW_DATA!F451&lt;800,20,25))))</f>
        <v>0</v>
      </c>
      <c r="O451" s="3">
        <f>IF(RAW_DATA!G451=0,5,IF(RAW_DATA!G451=1,4,IF(RAW_DATA!G451=2,3,IF(RAW_DATA!G451=3,2,IF(RAW_DATA!G451=4,1,0)))))</f>
        <v>0</v>
      </c>
      <c r="P451" s="3">
        <f>IF(RAW_DATA!K451&gt;=RAW_DATA!H451,20,ROUND((RAW_DATA!K451/RAW_DATA!H451)*20,0))</f>
        <v>20</v>
      </c>
      <c r="Q451" s="3">
        <f>IF(RAW_DATA!L451="No",5,0)</f>
        <v>5</v>
      </c>
      <c r="R451" s="3">
        <f t="shared" ref="R451:R501" si="45">K451+L451+M451+N451+O451+P451+Q451</f>
        <v>57</v>
      </c>
      <c r="S451" s="3">
        <f t="shared" ref="S451:S501" si="46">R451</f>
        <v>57</v>
      </c>
      <c r="T451" s="3" t="str">
        <f t="shared" ref="T451:T501" si="47">IF(H451="INELIGIBLE","Not Scored - Ineligible",IF(S451&gt;=70,"Strong",IF(S451&gt;=50,"Moderate","Weak")))</f>
        <v>Not Scored - Ineligible</v>
      </c>
    </row>
    <row r="452" spans="1:20" x14ac:dyDescent="0.25">
      <c r="A452" s="3" t="str">
        <f>RAW_DATA!A452</f>
        <v>APP451</v>
      </c>
      <c r="B452" s="3" t="b">
        <f>AND(RAW_DATA!B452&gt;=21,RAW_DATA!B452&lt;=60)</f>
        <v>1</v>
      </c>
      <c r="C452" s="3" t="b">
        <f>RAW_DATA!C452&gt;=300000</f>
        <v>1</v>
      </c>
      <c r="D452" s="3" t="b">
        <f>RAW_DATA!F452&gt;=650</f>
        <v>1</v>
      </c>
      <c r="E452" s="3" t="b">
        <f>RAW_DATA!E452&gt;=1</f>
        <v>1</v>
      </c>
      <c r="F452" s="3" t="b">
        <f>RAW_DATA!L452="No"</f>
        <v>0</v>
      </c>
      <c r="G452" s="3" t="b">
        <f t="shared" si="42"/>
        <v>0</v>
      </c>
      <c r="H452" s="3" t="str">
        <f t="shared" si="43"/>
        <v>INELIGIBLE</v>
      </c>
      <c r="I452" s="3" t="str">
        <f t="shared" si="44"/>
        <v>Defaulter History</v>
      </c>
      <c r="K452" s="3" cm="1">
        <f t="array" ref="K4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2" s="5">
        <f>IF(RAW_DATA!C452&lt;300000,0,IF(RAW_DATA!C452&lt;600000,5,IF(RAW_DATA!C452&lt;1200000,15,IF(RAW_DATA!C452&lt;2000000,20,25))))</f>
        <v>25</v>
      </c>
      <c r="M452" s="3">
        <f>IF(RAW_DATA!E452&lt;1,0,IF(RAW_DATA!E452&lt;3,3,IF(RAW_DATA!E452&lt;5,5,IF(RAW_DATA!E452&lt;10,8,10))))</f>
        <v>10</v>
      </c>
      <c r="N452" s="3">
        <f>IF(RAW_DATA!F452&lt;650,0,IF(RAW_DATA!F452&lt;700,8,IF(RAW_DATA!F452&lt;750,15,IF(RAW_DATA!F452&lt;800,20,25))))</f>
        <v>8</v>
      </c>
      <c r="O452" s="3">
        <f>IF(RAW_DATA!G452=0,5,IF(RAW_DATA!G452=1,4,IF(RAW_DATA!G452=2,3,IF(RAW_DATA!G452=3,2,IF(RAW_DATA!G452=4,1,0)))))</f>
        <v>0</v>
      </c>
      <c r="P452" s="3">
        <f>IF(RAW_DATA!K452&gt;=RAW_DATA!H452,20,ROUND((RAW_DATA!K452/RAW_DATA!H452)*20,0))</f>
        <v>20</v>
      </c>
      <c r="Q452" s="3">
        <f>IF(RAW_DATA!L452="No",5,0)</f>
        <v>0</v>
      </c>
      <c r="R452" s="3">
        <f t="shared" si="45"/>
        <v>71</v>
      </c>
      <c r="S452" s="3">
        <f t="shared" si="46"/>
        <v>71</v>
      </c>
      <c r="T452" s="3" t="str">
        <f t="shared" si="47"/>
        <v>Not Scored - Ineligible</v>
      </c>
    </row>
    <row r="453" spans="1:20" x14ac:dyDescent="0.25">
      <c r="A453" s="3" t="str">
        <f>RAW_DATA!A453</f>
        <v>APP452</v>
      </c>
      <c r="B453" s="3" t="b">
        <f>AND(RAW_DATA!B453&gt;=21,RAW_DATA!B453&lt;=60)</f>
        <v>1</v>
      </c>
      <c r="C453" s="3" t="b">
        <f>RAW_DATA!C453&gt;=300000</f>
        <v>1</v>
      </c>
      <c r="D453" s="3" t="b">
        <f>RAW_DATA!F453&gt;=650</f>
        <v>0</v>
      </c>
      <c r="E453" s="3" t="b">
        <f>RAW_DATA!E453&gt;=1</f>
        <v>1</v>
      </c>
      <c r="F453" s="3" t="b">
        <f>RAW_DATA!L453="No"</f>
        <v>0</v>
      </c>
      <c r="G453" s="3" t="b">
        <f t="shared" si="42"/>
        <v>0</v>
      </c>
      <c r="H453" s="3" t="str">
        <f t="shared" si="43"/>
        <v>INELIGIBLE</v>
      </c>
      <c r="I453" s="3" t="str">
        <f t="shared" si="44"/>
        <v>Credit Score, Defaulter History</v>
      </c>
      <c r="K453" s="3" cm="1">
        <f t="array" ref="K4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3" s="5">
        <f>IF(RAW_DATA!C453&lt;300000,0,IF(RAW_DATA!C453&lt;600000,5,IF(RAW_DATA!C453&lt;1200000,15,IF(RAW_DATA!C453&lt;2000000,20,25))))</f>
        <v>25</v>
      </c>
      <c r="M453" s="3">
        <f>IF(RAW_DATA!E453&lt;1,0,IF(RAW_DATA!E453&lt;3,3,IF(RAW_DATA!E453&lt;5,5,IF(RAW_DATA!E453&lt;10,8,10))))</f>
        <v>10</v>
      </c>
      <c r="N453" s="3">
        <f>IF(RAW_DATA!F453&lt;650,0,IF(RAW_DATA!F453&lt;700,8,IF(RAW_DATA!F453&lt;750,15,IF(RAW_DATA!F453&lt;800,20,25))))</f>
        <v>0</v>
      </c>
      <c r="O453" s="3">
        <f>IF(RAW_DATA!G453=0,5,IF(RAW_DATA!G453=1,4,IF(RAW_DATA!G453=2,3,IF(RAW_DATA!G453=3,2,IF(RAW_DATA!G453=4,1,0)))))</f>
        <v>2</v>
      </c>
      <c r="P453" s="3">
        <f>IF(RAW_DATA!K453&gt;=RAW_DATA!H453,20,ROUND((RAW_DATA!K453/RAW_DATA!H453)*20,0))</f>
        <v>20</v>
      </c>
      <c r="Q453" s="3">
        <f>IF(RAW_DATA!L453="No",5,0)</f>
        <v>0</v>
      </c>
      <c r="R453" s="3">
        <f t="shared" si="45"/>
        <v>64</v>
      </c>
      <c r="S453" s="3">
        <f t="shared" si="46"/>
        <v>64</v>
      </c>
      <c r="T453" s="3" t="str">
        <f t="shared" si="47"/>
        <v>Not Scored - Ineligible</v>
      </c>
    </row>
    <row r="454" spans="1:20" x14ac:dyDescent="0.25">
      <c r="A454" s="3" t="str">
        <f>RAW_DATA!A454</f>
        <v>APP453</v>
      </c>
      <c r="B454" s="3" t="b">
        <f>AND(RAW_DATA!B454&gt;=21,RAW_DATA!B454&lt;=60)</f>
        <v>1</v>
      </c>
      <c r="C454" s="3" t="b">
        <f>RAW_DATA!C454&gt;=300000</f>
        <v>1</v>
      </c>
      <c r="D454" s="3" t="b">
        <f>RAW_DATA!F454&gt;=650</f>
        <v>1</v>
      </c>
      <c r="E454" s="3" t="b">
        <f>RAW_DATA!E454&gt;=1</f>
        <v>1</v>
      </c>
      <c r="F454" s="3" t="b">
        <f>RAW_DATA!L454="No"</f>
        <v>1</v>
      </c>
      <c r="G454" s="3" t="b">
        <f t="shared" si="42"/>
        <v>1</v>
      </c>
      <c r="H454" s="3" t="str">
        <f t="shared" si="43"/>
        <v>ELIGIBLE</v>
      </c>
      <c r="I454" s="3" t="str">
        <f t="shared" si="44"/>
        <v/>
      </c>
      <c r="K454" s="3" cm="1">
        <f t="array" ref="K4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4" s="5">
        <f>IF(RAW_DATA!C454&lt;300000,0,IF(RAW_DATA!C454&lt;600000,5,IF(RAW_DATA!C454&lt;1200000,15,IF(RAW_DATA!C454&lt;2000000,20,25))))</f>
        <v>25</v>
      </c>
      <c r="M454" s="3">
        <f>IF(RAW_DATA!E454&lt;1,0,IF(RAW_DATA!E454&lt;3,3,IF(RAW_DATA!E454&lt;5,5,IF(RAW_DATA!E454&lt;10,8,10))))</f>
        <v>10</v>
      </c>
      <c r="N454" s="3">
        <f>IF(RAW_DATA!F454&lt;650,0,IF(RAW_DATA!F454&lt;700,8,IF(RAW_DATA!F454&lt;750,15,IF(RAW_DATA!F454&lt;800,20,25))))</f>
        <v>25</v>
      </c>
      <c r="O454" s="3">
        <f>IF(RAW_DATA!G454=0,5,IF(RAW_DATA!G454=1,4,IF(RAW_DATA!G454=2,3,IF(RAW_DATA!G454=3,2,IF(RAW_DATA!G454=4,1,0)))))</f>
        <v>1</v>
      </c>
      <c r="P454" s="3">
        <f>IF(RAW_DATA!K454&gt;=RAW_DATA!H454,20,ROUND((RAW_DATA!K454/RAW_DATA!H454)*20,0))</f>
        <v>20</v>
      </c>
      <c r="Q454" s="3">
        <f>IF(RAW_DATA!L454="No",5,0)</f>
        <v>5</v>
      </c>
      <c r="R454" s="3">
        <f t="shared" si="45"/>
        <v>93</v>
      </c>
      <c r="S454" s="3">
        <f t="shared" si="46"/>
        <v>93</v>
      </c>
      <c r="T454" s="3" t="str">
        <f t="shared" si="47"/>
        <v>Strong</v>
      </c>
    </row>
    <row r="455" spans="1:20" x14ac:dyDescent="0.25">
      <c r="A455" s="3" t="str">
        <f>RAW_DATA!A455</f>
        <v>APP454</v>
      </c>
      <c r="B455" s="3" t="b">
        <f>AND(RAW_DATA!B455&gt;=21,RAW_DATA!B455&lt;=60)</f>
        <v>1</v>
      </c>
      <c r="C455" s="3" t="b">
        <f>RAW_DATA!C455&gt;=300000</f>
        <v>1</v>
      </c>
      <c r="D455" s="3" t="b">
        <f>RAW_DATA!F455&gt;=650</f>
        <v>1</v>
      </c>
      <c r="E455" s="3" t="b">
        <f>RAW_DATA!E455&gt;=1</f>
        <v>1</v>
      </c>
      <c r="F455" s="3" t="b">
        <f>RAW_DATA!L455="No"</f>
        <v>1</v>
      </c>
      <c r="G455" s="3" t="b">
        <f t="shared" si="42"/>
        <v>1</v>
      </c>
      <c r="H455" s="3" t="str">
        <f t="shared" si="43"/>
        <v>ELIGIBLE</v>
      </c>
      <c r="I455" s="3" t="str">
        <f t="shared" si="44"/>
        <v/>
      </c>
      <c r="K455" s="3" cm="1">
        <f t="array" ref="K4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5" s="5">
        <f>IF(RAW_DATA!C455&lt;300000,0,IF(RAW_DATA!C455&lt;600000,5,IF(RAW_DATA!C455&lt;1200000,15,IF(RAW_DATA!C455&lt;2000000,20,25))))</f>
        <v>25</v>
      </c>
      <c r="M455" s="3">
        <f>IF(RAW_DATA!E455&lt;1,0,IF(RAW_DATA!E455&lt;3,3,IF(RAW_DATA!E455&lt;5,5,IF(RAW_DATA!E455&lt;10,8,10))))</f>
        <v>10</v>
      </c>
      <c r="N455" s="3">
        <f>IF(RAW_DATA!F455&lt;650,0,IF(RAW_DATA!F455&lt;700,8,IF(RAW_DATA!F455&lt;750,15,IF(RAW_DATA!F455&lt;800,20,25))))</f>
        <v>20</v>
      </c>
      <c r="O455" s="3">
        <f>IF(RAW_DATA!G455=0,5,IF(RAW_DATA!G455=1,4,IF(RAW_DATA!G455=2,3,IF(RAW_DATA!G455=3,2,IF(RAW_DATA!G455=4,1,0)))))</f>
        <v>3</v>
      </c>
      <c r="P455" s="3">
        <f>IF(RAW_DATA!K455&gt;=RAW_DATA!H455,20,ROUND((RAW_DATA!K455/RAW_DATA!H455)*20,0))</f>
        <v>20</v>
      </c>
      <c r="Q455" s="3">
        <f>IF(RAW_DATA!L455="No",5,0)</f>
        <v>5</v>
      </c>
      <c r="R455" s="3">
        <f t="shared" si="45"/>
        <v>91</v>
      </c>
      <c r="S455" s="3">
        <f t="shared" si="46"/>
        <v>91</v>
      </c>
      <c r="T455" s="3" t="str">
        <f t="shared" si="47"/>
        <v>Strong</v>
      </c>
    </row>
    <row r="456" spans="1:20" x14ac:dyDescent="0.25">
      <c r="A456" s="3" t="str">
        <f>RAW_DATA!A456</f>
        <v>APP455</v>
      </c>
      <c r="B456" s="3" t="b">
        <f>AND(RAW_DATA!B456&gt;=21,RAW_DATA!B456&lt;=60)</f>
        <v>1</v>
      </c>
      <c r="C456" s="3" t="b">
        <f>RAW_DATA!C456&gt;=300000</f>
        <v>1</v>
      </c>
      <c r="D456" s="3" t="b">
        <f>RAW_DATA!F456&gt;=650</f>
        <v>1</v>
      </c>
      <c r="E456" s="3" t="b">
        <f>RAW_DATA!E456&gt;=1</f>
        <v>1</v>
      </c>
      <c r="F456" s="3" t="b">
        <f>RAW_DATA!L456="No"</f>
        <v>1</v>
      </c>
      <c r="G456" s="3" t="b">
        <f t="shared" si="42"/>
        <v>1</v>
      </c>
      <c r="H456" s="3" t="str">
        <f t="shared" si="43"/>
        <v>ELIGIBLE</v>
      </c>
      <c r="I456" s="3" t="str">
        <f t="shared" si="44"/>
        <v/>
      </c>
      <c r="K456" s="3" cm="1">
        <f t="array" ref="K4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6" s="5">
        <f>IF(RAW_DATA!C456&lt;300000,0,IF(RAW_DATA!C456&lt;600000,5,IF(RAW_DATA!C456&lt;1200000,15,IF(RAW_DATA!C456&lt;2000000,20,25))))</f>
        <v>25</v>
      </c>
      <c r="M456" s="3">
        <f>IF(RAW_DATA!E456&lt;1,0,IF(RAW_DATA!E456&lt;3,3,IF(RAW_DATA!E456&lt;5,5,IF(RAW_DATA!E456&lt;10,8,10))))</f>
        <v>10</v>
      </c>
      <c r="N456" s="3">
        <f>IF(RAW_DATA!F456&lt;650,0,IF(RAW_DATA!F456&lt;700,8,IF(RAW_DATA!F456&lt;750,15,IF(RAW_DATA!F456&lt;800,20,25))))</f>
        <v>8</v>
      </c>
      <c r="O456" s="3">
        <f>IF(RAW_DATA!G456=0,5,IF(RAW_DATA!G456=1,4,IF(RAW_DATA!G456=2,3,IF(RAW_DATA!G456=3,2,IF(RAW_DATA!G456=4,1,0)))))</f>
        <v>0</v>
      </c>
      <c r="P456" s="3">
        <f>IF(RAW_DATA!K456&gt;=RAW_DATA!H456,20,ROUND((RAW_DATA!K456/RAW_DATA!H456)*20,0))</f>
        <v>20</v>
      </c>
      <c r="Q456" s="3">
        <f>IF(RAW_DATA!L456="No",5,0)</f>
        <v>5</v>
      </c>
      <c r="R456" s="3">
        <f t="shared" si="45"/>
        <v>75</v>
      </c>
      <c r="S456" s="3">
        <f t="shared" si="46"/>
        <v>75</v>
      </c>
      <c r="T456" s="3" t="str">
        <f t="shared" si="47"/>
        <v>Strong</v>
      </c>
    </row>
    <row r="457" spans="1:20" x14ac:dyDescent="0.25">
      <c r="A457" s="3" t="str">
        <f>RAW_DATA!A457</f>
        <v>APP456</v>
      </c>
      <c r="B457" s="3" t="b">
        <f>AND(RAW_DATA!B457&gt;=21,RAW_DATA!B457&lt;=60)</f>
        <v>1</v>
      </c>
      <c r="C457" s="3" t="b">
        <f>RAW_DATA!C457&gt;=300000</f>
        <v>1</v>
      </c>
      <c r="D457" s="3" t="b">
        <f>RAW_DATA!F457&gt;=650</f>
        <v>0</v>
      </c>
      <c r="E457" s="3" t="b">
        <f>RAW_DATA!E457&gt;=1</f>
        <v>1</v>
      </c>
      <c r="F457" s="3" t="b">
        <f>RAW_DATA!L457="No"</f>
        <v>1</v>
      </c>
      <c r="G457" s="3" t="b">
        <f t="shared" si="42"/>
        <v>0</v>
      </c>
      <c r="H457" s="3" t="str">
        <f t="shared" si="43"/>
        <v>INELIGIBLE</v>
      </c>
      <c r="I457" s="3" t="str">
        <f t="shared" si="44"/>
        <v>Credit Score</v>
      </c>
      <c r="K457" s="3" cm="1">
        <f t="array" ref="K4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57" s="5">
        <f>IF(RAW_DATA!C457&lt;300000,0,IF(RAW_DATA!C457&lt;600000,5,IF(RAW_DATA!C457&lt;1200000,15,IF(RAW_DATA!C457&lt;2000000,20,25))))</f>
        <v>20</v>
      </c>
      <c r="M457" s="3">
        <f>IF(RAW_DATA!E457&lt;1,0,IF(RAW_DATA!E457&lt;3,3,IF(RAW_DATA!E457&lt;5,5,IF(RAW_DATA!E457&lt;10,8,10))))</f>
        <v>10</v>
      </c>
      <c r="N457" s="3">
        <f>IF(RAW_DATA!F457&lt;650,0,IF(RAW_DATA!F457&lt;700,8,IF(RAW_DATA!F457&lt;750,15,IF(RAW_DATA!F457&lt;800,20,25))))</f>
        <v>0</v>
      </c>
      <c r="O457" s="3">
        <f>IF(RAW_DATA!G457=0,5,IF(RAW_DATA!G457=1,4,IF(RAW_DATA!G457=2,3,IF(RAW_DATA!G457=3,2,IF(RAW_DATA!G457=4,1,0)))))</f>
        <v>3</v>
      </c>
      <c r="P457" s="3">
        <f>IF(RAW_DATA!K457&gt;=RAW_DATA!H457,20,ROUND((RAW_DATA!K457/RAW_DATA!H457)*20,0))</f>
        <v>20</v>
      </c>
      <c r="Q457" s="3">
        <f>IF(RAW_DATA!L457="No",5,0)</f>
        <v>5</v>
      </c>
      <c r="R457" s="3">
        <f t="shared" si="45"/>
        <v>64</v>
      </c>
      <c r="S457" s="3">
        <f t="shared" si="46"/>
        <v>64</v>
      </c>
      <c r="T457" s="3" t="str">
        <f t="shared" si="47"/>
        <v>Not Scored - Ineligible</v>
      </c>
    </row>
    <row r="458" spans="1:20" x14ac:dyDescent="0.25">
      <c r="A458" s="3" t="str">
        <f>RAW_DATA!A458</f>
        <v>APP457</v>
      </c>
      <c r="B458" s="3" t="b">
        <f>AND(RAW_DATA!B458&gt;=21,RAW_DATA!B458&lt;=60)</f>
        <v>0</v>
      </c>
      <c r="C458" s="3" t="b">
        <f>RAW_DATA!C458&gt;=300000</f>
        <v>1</v>
      </c>
      <c r="D458" s="3" t="b">
        <f>RAW_DATA!F458&gt;=650</f>
        <v>0</v>
      </c>
      <c r="E458" s="3" t="b">
        <f>RAW_DATA!E458&gt;=1</f>
        <v>1</v>
      </c>
      <c r="F458" s="3" t="b">
        <f>RAW_DATA!L458="No"</f>
        <v>1</v>
      </c>
      <c r="G458" s="3" t="b">
        <f t="shared" si="42"/>
        <v>0</v>
      </c>
      <c r="H458" s="3" t="str">
        <f t="shared" si="43"/>
        <v>INELIGIBLE</v>
      </c>
      <c r="I458" s="3" t="str">
        <f t="shared" si="44"/>
        <v>Age, Credit Score</v>
      </c>
      <c r="K458" s="3" cm="1">
        <f t="array" ref="K4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58" s="5">
        <f>IF(RAW_DATA!C458&lt;300000,0,IF(RAW_DATA!C458&lt;600000,5,IF(RAW_DATA!C458&lt;1200000,15,IF(RAW_DATA!C458&lt;2000000,20,25))))</f>
        <v>25</v>
      </c>
      <c r="M458" s="3">
        <f>IF(RAW_DATA!E458&lt;1,0,IF(RAW_DATA!E458&lt;3,3,IF(RAW_DATA!E458&lt;5,5,IF(RAW_DATA!E458&lt;10,8,10))))</f>
        <v>10</v>
      </c>
      <c r="N458" s="3">
        <f>IF(RAW_DATA!F458&lt;650,0,IF(RAW_DATA!F458&lt;700,8,IF(RAW_DATA!F458&lt;750,15,IF(RAW_DATA!F458&lt;800,20,25))))</f>
        <v>0</v>
      </c>
      <c r="O458" s="3">
        <f>IF(RAW_DATA!G458=0,5,IF(RAW_DATA!G458=1,4,IF(RAW_DATA!G458=2,3,IF(RAW_DATA!G458=3,2,IF(RAW_DATA!G458=4,1,0)))))</f>
        <v>5</v>
      </c>
      <c r="P458" s="3">
        <f>IF(RAW_DATA!K458&gt;=RAW_DATA!H458,20,ROUND((RAW_DATA!K458/RAW_DATA!H458)*20,0))</f>
        <v>20</v>
      </c>
      <c r="Q458" s="3">
        <f>IF(RAW_DATA!L458="No",5,0)</f>
        <v>5</v>
      </c>
      <c r="R458" s="3">
        <f t="shared" si="45"/>
        <v>65</v>
      </c>
      <c r="S458" s="3">
        <f t="shared" si="46"/>
        <v>65</v>
      </c>
      <c r="T458" s="3" t="str">
        <f t="shared" si="47"/>
        <v>Not Scored - Ineligible</v>
      </c>
    </row>
    <row r="459" spans="1:20" x14ac:dyDescent="0.25">
      <c r="A459" s="3" t="str">
        <f>RAW_DATA!A459</f>
        <v>APP458</v>
      </c>
      <c r="B459" s="3" t="b">
        <f>AND(RAW_DATA!B459&gt;=21,RAW_DATA!B459&lt;=60)</f>
        <v>1</v>
      </c>
      <c r="C459" s="3" t="b">
        <f>RAW_DATA!C459&gt;=300000</f>
        <v>1</v>
      </c>
      <c r="D459" s="3" t="b">
        <f>RAW_DATA!F459&gt;=650</f>
        <v>1</v>
      </c>
      <c r="E459" s="3" t="b">
        <f>RAW_DATA!E459&gt;=1</f>
        <v>1</v>
      </c>
      <c r="F459" s="3" t="b">
        <f>RAW_DATA!L459="No"</f>
        <v>1</v>
      </c>
      <c r="G459" s="3" t="b">
        <f t="shared" si="42"/>
        <v>1</v>
      </c>
      <c r="H459" s="3" t="str">
        <f t="shared" si="43"/>
        <v>ELIGIBLE</v>
      </c>
      <c r="I459" s="3" t="str">
        <f t="shared" si="44"/>
        <v/>
      </c>
      <c r="K459" s="3" cm="1">
        <f t="array" ref="K4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59" s="5">
        <f>IF(RAW_DATA!C459&lt;300000,0,IF(RAW_DATA!C459&lt;600000,5,IF(RAW_DATA!C459&lt;1200000,15,IF(RAW_DATA!C459&lt;2000000,20,25))))</f>
        <v>20</v>
      </c>
      <c r="M459" s="3">
        <f>IF(RAW_DATA!E459&lt;1,0,IF(RAW_DATA!E459&lt;3,3,IF(RAW_DATA!E459&lt;5,5,IF(RAW_DATA!E459&lt;10,8,10))))</f>
        <v>10</v>
      </c>
      <c r="N459" s="3">
        <f>IF(RAW_DATA!F459&lt;650,0,IF(RAW_DATA!F459&lt;700,8,IF(RAW_DATA!F459&lt;750,15,IF(RAW_DATA!F459&lt;800,20,25))))</f>
        <v>8</v>
      </c>
      <c r="O459" s="3">
        <f>IF(RAW_DATA!G459=0,5,IF(RAW_DATA!G459=1,4,IF(RAW_DATA!G459=2,3,IF(RAW_DATA!G459=3,2,IF(RAW_DATA!G459=4,1,0)))))</f>
        <v>2</v>
      </c>
      <c r="P459" s="3">
        <f>IF(RAW_DATA!K459&gt;=RAW_DATA!H459,20,ROUND((RAW_DATA!K459/RAW_DATA!H459)*20,0))</f>
        <v>20</v>
      </c>
      <c r="Q459" s="3">
        <f>IF(RAW_DATA!L459="No",5,0)</f>
        <v>5</v>
      </c>
      <c r="R459" s="3">
        <f t="shared" si="45"/>
        <v>75</v>
      </c>
      <c r="S459" s="3">
        <f t="shared" si="46"/>
        <v>75</v>
      </c>
      <c r="T459" s="3" t="str">
        <f t="shared" si="47"/>
        <v>Strong</v>
      </c>
    </row>
    <row r="460" spans="1:20" x14ac:dyDescent="0.25">
      <c r="A460" s="3" t="str">
        <f>RAW_DATA!A460</f>
        <v>APP459</v>
      </c>
      <c r="B460" s="3" t="b">
        <f>AND(RAW_DATA!B460&gt;=21,RAW_DATA!B460&lt;=60)</f>
        <v>1</v>
      </c>
      <c r="C460" s="3" t="b">
        <f>RAW_DATA!C460&gt;=300000</f>
        <v>1</v>
      </c>
      <c r="D460" s="3" t="b">
        <f>RAW_DATA!F460&gt;=650</f>
        <v>0</v>
      </c>
      <c r="E460" s="3" t="b">
        <f>RAW_DATA!E460&gt;=1</f>
        <v>1</v>
      </c>
      <c r="F460" s="3" t="b">
        <f>RAW_DATA!L460="No"</f>
        <v>1</v>
      </c>
      <c r="G460" s="3" t="b">
        <f t="shared" si="42"/>
        <v>0</v>
      </c>
      <c r="H460" s="3" t="str">
        <f t="shared" si="43"/>
        <v>INELIGIBLE</v>
      </c>
      <c r="I460" s="3" t="str">
        <f t="shared" si="44"/>
        <v>Credit Score</v>
      </c>
      <c r="K460" s="3" cm="1">
        <f t="array" ref="K4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0" s="5">
        <f>IF(RAW_DATA!C460&lt;300000,0,IF(RAW_DATA!C460&lt;600000,5,IF(RAW_DATA!C460&lt;1200000,15,IF(RAW_DATA!C460&lt;2000000,20,25))))</f>
        <v>25</v>
      </c>
      <c r="M460" s="3">
        <f>IF(RAW_DATA!E460&lt;1,0,IF(RAW_DATA!E460&lt;3,3,IF(RAW_DATA!E460&lt;5,5,IF(RAW_DATA!E460&lt;10,8,10))))</f>
        <v>10</v>
      </c>
      <c r="N460" s="3">
        <f>IF(RAW_DATA!F460&lt;650,0,IF(RAW_DATA!F460&lt;700,8,IF(RAW_DATA!F460&lt;750,15,IF(RAW_DATA!F460&lt;800,20,25))))</f>
        <v>0</v>
      </c>
      <c r="O460" s="3">
        <f>IF(RAW_DATA!G460=0,5,IF(RAW_DATA!G460=1,4,IF(RAW_DATA!G460=2,3,IF(RAW_DATA!G460=3,2,IF(RAW_DATA!G460=4,1,0)))))</f>
        <v>3</v>
      </c>
      <c r="P460" s="3">
        <f>IF(RAW_DATA!K460&gt;=RAW_DATA!H460,20,ROUND((RAW_DATA!K460/RAW_DATA!H460)*20,0))</f>
        <v>20</v>
      </c>
      <c r="Q460" s="3">
        <f>IF(RAW_DATA!L460="No",5,0)</f>
        <v>5</v>
      </c>
      <c r="R460" s="3">
        <f t="shared" si="45"/>
        <v>70</v>
      </c>
      <c r="S460" s="3">
        <f t="shared" si="46"/>
        <v>70</v>
      </c>
      <c r="T460" s="3" t="str">
        <f t="shared" si="47"/>
        <v>Not Scored - Ineligible</v>
      </c>
    </row>
    <row r="461" spans="1:20" x14ac:dyDescent="0.25">
      <c r="A461" s="3" t="str">
        <f>RAW_DATA!A461</f>
        <v>APP460</v>
      </c>
      <c r="B461" s="3" t="b">
        <f>AND(RAW_DATA!B461&gt;=21,RAW_DATA!B461&lt;=60)</f>
        <v>1</v>
      </c>
      <c r="C461" s="3" t="b">
        <f>RAW_DATA!C461&gt;=300000</f>
        <v>0</v>
      </c>
      <c r="D461" s="3" t="b">
        <f>RAW_DATA!F461&gt;=650</f>
        <v>1</v>
      </c>
      <c r="E461" s="3" t="b">
        <f>RAW_DATA!E461&gt;=1</f>
        <v>1</v>
      </c>
      <c r="F461" s="3" t="b">
        <f>RAW_DATA!L461="No"</f>
        <v>1</v>
      </c>
      <c r="G461" s="3" t="b">
        <f t="shared" si="42"/>
        <v>0</v>
      </c>
      <c r="H461" s="3" t="str">
        <f t="shared" si="43"/>
        <v>INELIGIBLE</v>
      </c>
      <c r="I461" s="3" t="str">
        <f t="shared" si="44"/>
        <v>Income</v>
      </c>
      <c r="K461" s="3" cm="1">
        <f t="array" ref="K4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1" s="5">
        <f>IF(RAW_DATA!C461&lt;300000,0,IF(RAW_DATA!C461&lt;600000,5,IF(RAW_DATA!C461&lt;1200000,15,IF(RAW_DATA!C461&lt;2000000,20,25))))</f>
        <v>0</v>
      </c>
      <c r="M461" s="3">
        <f>IF(RAW_DATA!E461&lt;1,0,IF(RAW_DATA!E461&lt;3,3,IF(RAW_DATA!E461&lt;5,5,IF(RAW_DATA!E461&lt;10,8,10))))</f>
        <v>10</v>
      </c>
      <c r="N461" s="3">
        <f>IF(RAW_DATA!F461&lt;650,0,IF(RAW_DATA!F461&lt;700,8,IF(RAW_DATA!F461&lt;750,15,IF(RAW_DATA!F461&lt;800,20,25))))</f>
        <v>20</v>
      </c>
      <c r="O461" s="3">
        <f>IF(RAW_DATA!G461=0,5,IF(RAW_DATA!G461=1,4,IF(RAW_DATA!G461=2,3,IF(RAW_DATA!G461=3,2,IF(RAW_DATA!G461=4,1,0)))))</f>
        <v>0</v>
      </c>
      <c r="P461" s="3">
        <f>IF(RAW_DATA!K461&gt;=RAW_DATA!H461,20,ROUND((RAW_DATA!K461/RAW_DATA!H461)*20,0))</f>
        <v>20</v>
      </c>
      <c r="Q461" s="3">
        <f>IF(RAW_DATA!L461="No",5,0)</f>
        <v>5</v>
      </c>
      <c r="R461" s="3">
        <f t="shared" si="45"/>
        <v>65</v>
      </c>
      <c r="S461" s="3">
        <f t="shared" si="46"/>
        <v>65</v>
      </c>
      <c r="T461" s="3" t="str">
        <f t="shared" si="47"/>
        <v>Not Scored - Ineligible</v>
      </c>
    </row>
    <row r="462" spans="1:20" x14ac:dyDescent="0.25">
      <c r="A462" s="3" t="str">
        <f>RAW_DATA!A462</f>
        <v>APP461</v>
      </c>
      <c r="B462" s="3" t="b">
        <f>AND(RAW_DATA!B462&gt;=21,RAW_DATA!B462&lt;=60)</f>
        <v>1</v>
      </c>
      <c r="C462" s="3" t="b">
        <f>RAW_DATA!C462&gt;=300000</f>
        <v>1</v>
      </c>
      <c r="D462" s="3" t="b">
        <f>RAW_DATA!F462&gt;=650</f>
        <v>0</v>
      </c>
      <c r="E462" s="3" t="b">
        <f>RAW_DATA!E462&gt;=1</f>
        <v>1</v>
      </c>
      <c r="F462" s="3" t="b">
        <f>RAW_DATA!L462="No"</f>
        <v>1</v>
      </c>
      <c r="G462" s="3" t="b">
        <f t="shared" si="42"/>
        <v>0</v>
      </c>
      <c r="H462" s="3" t="str">
        <f t="shared" si="43"/>
        <v>INELIGIBLE</v>
      </c>
      <c r="I462" s="3" t="str">
        <f t="shared" si="44"/>
        <v>Credit Score</v>
      </c>
      <c r="K462" s="3" cm="1">
        <f t="array" ref="K4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2" s="5">
        <f>IF(RAW_DATA!C462&lt;300000,0,IF(RAW_DATA!C462&lt;600000,5,IF(RAW_DATA!C462&lt;1200000,15,IF(RAW_DATA!C462&lt;2000000,20,25))))</f>
        <v>20</v>
      </c>
      <c r="M462" s="3">
        <f>IF(RAW_DATA!E462&lt;1,0,IF(RAW_DATA!E462&lt;3,3,IF(RAW_DATA!E462&lt;5,5,IF(RAW_DATA!E462&lt;10,8,10))))</f>
        <v>3</v>
      </c>
      <c r="N462" s="3">
        <f>IF(RAW_DATA!F462&lt;650,0,IF(RAW_DATA!F462&lt;700,8,IF(RAW_DATA!F462&lt;750,15,IF(RAW_DATA!F462&lt;800,20,25))))</f>
        <v>0</v>
      </c>
      <c r="O462" s="3">
        <f>IF(RAW_DATA!G462=0,5,IF(RAW_DATA!G462=1,4,IF(RAW_DATA!G462=2,3,IF(RAW_DATA!G462=3,2,IF(RAW_DATA!G462=4,1,0)))))</f>
        <v>2</v>
      </c>
      <c r="P462" s="3">
        <f>IF(RAW_DATA!K462&gt;=RAW_DATA!H462,20,ROUND((RAW_DATA!K462/RAW_DATA!H462)*20,0))</f>
        <v>20</v>
      </c>
      <c r="Q462" s="3">
        <f>IF(RAW_DATA!L462="No",5,0)</f>
        <v>5</v>
      </c>
      <c r="R462" s="3">
        <f t="shared" si="45"/>
        <v>60</v>
      </c>
      <c r="S462" s="3">
        <f t="shared" si="46"/>
        <v>60</v>
      </c>
      <c r="T462" s="3" t="str">
        <f t="shared" si="47"/>
        <v>Not Scored - Ineligible</v>
      </c>
    </row>
    <row r="463" spans="1:20" x14ac:dyDescent="0.25">
      <c r="A463" s="3" t="str">
        <f>RAW_DATA!A463</f>
        <v>APP462</v>
      </c>
      <c r="B463" s="3" t="b">
        <f>AND(RAW_DATA!B463&gt;=21,RAW_DATA!B463&lt;=60)</f>
        <v>1</v>
      </c>
      <c r="C463" s="3" t="b">
        <f>RAW_DATA!C463&gt;=300000</f>
        <v>1</v>
      </c>
      <c r="D463" s="3" t="b">
        <f>RAW_DATA!F463&gt;=650</f>
        <v>0</v>
      </c>
      <c r="E463" s="3" t="b">
        <f>RAW_DATA!E463&gt;=1</f>
        <v>1</v>
      </c>
      <c r="F463" s="3" t="b">
        <f>RAW_DATA!L463="No"</f>
        <v>1</v>
      </c>
      <c r="G463" s="3" t="b">
        <f t="shared" si="42"/>
        <v>0</v>
      </c>
      <c r="H463" s="3" t="str">
        <f t="shared" si="43"/>
        <v>INELIGIBLE</v>
      </c>
      <c r="I463" s="3" t="str">
        <f t="shared" si="44"/>
        <v>Credit Score</v>
      </c>
      <c r="K463" s="3" cm="1">
        <f t="array" ref="K4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3" s="5">
        <f>IF(RAW_DATA!C463&lt;300000,0,IF(RAW_DATA!C463&lt;600000,5,IF(RAW_DATA!C463&lt;1200000,15,IF(RAW_DATA!C463&lt;2000000,20,25))))</f>
        <v>25</v>
      </c>
      <c r="M463" s="3">
        <f>IF(RAW_DATA!E463&lt;1,0,IF(RAW_DATA!E463&lt;3,3,IF(RAW_DATA!E463&lt;5,5,IF(RAW_DATA!E463&lt;10,8,10))))</f>
        <v>10</v>
      </c>
      <c r="N463" s="3">
        <f>IF(RAW_DATA!F463&lt;650,0,IF(RAW_DATA!F463&lt;700,8,IF(RAW_DATA!F463&lt;750,15,IF(RAW_DATA!F463&lt;800,20,25))))</f>
        <v>0</v>
      </c>
      <c r="O463" s="3">
        <f>IF(RAW_DATA!G463=0,5,IF(RAW_DATA!G463=1,4,IF(RAW_DATA!G463=2,3,IF(RAW_DATA!G463=3,2,IF(RAW_DATA!G463=4,1,0)))))</f>
        <v>3</v>
      </c>
      <c r="P463" s="3">
        <f>IF(RAW_DATA!K463&gt;=RAW_DATA!H463,20,ROUND((RAW_DATA!K463/RAW_DATA!H463)*20,0))</f>
        <v>20</v>
      </c>
      <c r="Q463" s="3">
        <f>IF(RAW_DATA!L463="No",5,0)</f>
        <v>5</v>
      </c>
      <c r="R463" s="3">
        <f t="shared" si="45"/>
        <v>70</v>
      </c>
      <c r="S463" s="3">
        <f t="shared" si="46"/>
        <v>70</v>
      </c>
      <c r="T463" s="3" t="str">
        <f t="shared" si="47"/>
        <v>Not Scored - Ineligible</v>
      </c>
    </row>
    <row r="464" spans="1:20" x14ac:dyDescent="0.25">
      <c r="A464" s="3" t="str">
        <f>RAW_DATA!A464</f>
        <v>APP463</v>
      </c>
      <c r="B464" s="3" t="b">
        <f>AND(RAW_DATA!B464&gt;=21,RAW_DATA!B464&lt;=60)</f>
        <v>1</v>
      </c>
      <c r="C464" s="3" t="b">
        <f>RAW_DATA!C464&gt;=300000</f>
        <v>1</v>
      </c>
      <c r="D464" s="3" t="b">
        <f>RAW_DATA!F464&gt;=650</f>
        <v>1</v>
      </c>
      <c r="E464" s="3" t="b">
        <f>RAW_DATA!E464&gt;=1</f>
        <v>1</v>
      </c>
      <c r="F464" s="3" t="b">
        <f>RAW_DATA!L464="No"</f>
        <v>1</v>
      </c>
      <c r="G464" s="3" t="b">
        <f t="shared" si="42"/>
        <v>1</v>
      </c>
      <c r="H464" s="3" t="str">
        <f t="shared" si="43"/>
        <v>ELIGIBLE</v>
      </c>
      <c r="I464" s="3" t="str">
        <f t="shared" si="44"/>
        <v/>
      </c>
      <c r="K464" s="3" cm="1">
        <f t="array" ref="K4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64" s="5">
        <f>IF(RAW_DATA!C464&lt;300000,0,IF(RAW_DATA!C464&lt;600000,5,IF(RAW_DATA!C464&lt;1200000,15,IF(RAW_DATA!C464&lt;2000000,20,25))))</f>
        <v>25</v>
      </c>
      <c r="M464" s="3">
        <f>IF(RAW_DATA!E464&lt;1,0,IF(RAW_DATA!E464&lt;3,3,IF(RAW_DATA!E464&lt;5,5,IF(RAW_DATA!E464&lt;10,8,10))))</f>
        <v>10</v>
      </c>
      <c r="N464" s="3">
        <f>IF(RAW_DATA!F464&lt;650,0,IF(RAW_DATA!F464&lt;700,8,IF(RAW_DATA!F464&lt;750,15,IF(RAW_DATA!F464&lt;800,20,25))))</f>
        <v>25</v>
      </c>
      <c r="O464" s="3">
        <f>IF(RAW_DATA!G464=0,5,IF(RAW_DATA!G464=1,4,IF(RAW_DATA!G464=2,3,IF(RAW_DATA!G464=3,2,IF(RAW_DATA!G464=4,1,0)))))</f>
        <v>4</v>
      </c>
      <c r="P464" s="3">
        <f>IF(RAW_DATA!K464&gt;=RAW_DATA!H464,20,ROUND((RAW_DATA!K464/RAW_DATA!H464)*20,0))</f>
        <v>20</v>
      </c>
      <c r="Q464" s="3">
        <f>IF(RAW_DATA!L464="No",5,0)</f>
        <v>5</v>
      </c>
      <c r="R464" s="3">
        <f t="shared" si="45"/>
        <v>93</v>
      </c>
      <c r="S464" s="3">
        <f t="shared" si="46"/>
        <v>93</v>
      </c>
      <c r="T464" s="3" t="str">
        <f t="shared" si="47"/>
        <v>Strong</v>
      </c>
    </row>
    <row r="465" spans="1:20" x14ac:dyDescent="0.25">
      <c r="A465" s="3" t="str">
        <f>RAW_DATA!A465</f>
        <v>APP464</v>
      </c>
      <c r="B465" s="3" t="b">
        <f>AND(RAW_DATA!B465&gt;=21,RAW_DATA!B465&lt;=60)</f>
        <v>1</v>
      </c>
      <c r="C465" s="3" t="b">
        <f>RAW_DATA!C465&gt;=300000</f>
        <v>1</v>
      </c>
      <c r="D465" s="3" t="b">
        <f>RAW_DATA!F465&gt;=650</f>
        <v>0</v>
      </c>
      <c r="E465" s="3" t="b">
        <f>RAW_DATA!E465&gt;=1</f>
        <v>1</v>
      </c>
      <c r="F465" s="3" t="b">
        <f>RAW_DATA!L465="No"</f>
        <v>1</v>
      </c>
      <c r="G465" s="3" t="b">
        <f t="shared" si="42"/>
        <v>0</v>
      </c>
      <c r="H465" s="3" t="str">
        <f t="shared" si="43"/>
        <v>INELIGIBLE</v>
      </c>
      <c r="I465" s="3" t="str">
        <f t="shared" si="44"/>
        <v>Credit Score</v>
      </c>
      <c r="K465" s="3" cm="1">
        <f t="array" ref="K4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5" s="5">
        <f>IF(RAW_DATA!C465&lt;300000,0,IF(RAW_DATA!C465&lt;600000,5,IF(RAW_DATA!C465&lt;1200000,15,IF(RAW_DATA!C465&lt;2000000,20,25))))</f>
        <v>25</v>
      </c>
      <c r="M465" s="3">
        <f>IF(RAW_DATA!E465&lt;1,0,IF(RAW_DATA!E465&lt;3,3,IF(RAW_DATA!E465&lt;5,5,IF(RAW_DATA!E465&lt;10,8,10))))</f>
        <v>10</v>
      </c>
      <c r="N465" s="3">
        <f>IF(RAW_DATA!F465&lt;650,0,IF(RAW_DATA!F465&lt;700,8,IF(RAW_DATA!F465&lt;750,15,IF(RAW_DATA!F465&lt;800,20,25))))</f>
        <v>0</v>
      </c>
      <c r="O465" s="3">
        <f>IF(RAW_DATA!G465=0,5,IF(RAW_DATA!G465=1,4,IF(RAW_DATA!G465=2,3,IF(RAW_DATA!G465=3,2,IF(RAW_DATA!G465=4,1,0)))))</f>
        <v>0</v>
      </c>
      <c r="P465" s="3">
        <f>IF(RAW_DATA!K465&gt;=RAW_DATA!H465,20,ROUND((RAW_DATA!K465/RAW_DATA!H465)*20,0))</f>
        <v>20</v>
      </c>
      <c r="Q465" s="3">
        <f>IF(RAW_DATA!L465="No",5,0)</f>
        <v>5</v>
      </c>
      <c r="R465" s="3">
        <f t="shared" si="45"/>
        <v>68</v>
      </c>
      <c r="S465" s="3">
        <f t="shared" si="46"/>
        <v>68</v>
      </c>
      <c r="T465" s="3" t="str">
        <f t="shared" si="47"/>
        <v>Not Scored - Ineligible</v>
      </c>
    </row>
    <row r="466" spans="1:20" x14ac:dyDescent="0.25">
      <c r="A466" s="3" t="str">
        <f>RAW_DATA!A466</f>
        <v>APP465</v>
      </c>
      <c r="B466" s="3" t="b">
        <f>AND(RAW_DATA!B466&gt;=21,RAW_DATA!B466&lt;=60)</f>
        <v>1</v>
      </c>
      <c r="C466" s="3" t="b">
        <f>RAW_DATA!C466&gt;=300000</f>
        <v>1</v>
      </c>
      <c r="D466" s="3" t="b">
        <f>RAW_DATA!F466&gt;=650</f>
        <v>0</v>
      </c>
      <c r="E466" s="3" t="b">
        <f>RAW_DATA!E466&gt;=1</f>
        <v>1</v>
      </c>
      <c r="F466" s="3" t="b">
        <f>RAW_DATA!L466="No"</f>
        <v>1</v>
      </c>
      <c r="G466" s="3" t="b">
        <f t="shared" si="42"/>
        <v>0</v>
      </c>
      <c r="H466" s="3" t="str">
        <f t="shared" si="43"/>
        <v>INELIGIBLE</v>
      </c>
      <c r="I466" s="3" t="str">
        <f t="shared" si="44"/>
        <v>Credit Score</v>
      </c>
      <c r="K466" s="3" cm="1">
        <f t="array" ref="K4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6" s="5">
        <f>IF(RAW_DATA!C466&lt;300000,0,IF(RAW_DATA!C466&lt;600000,5,IF(RAW_DATA!C466&lt;1200000,15,IF(RAW_DATA!C466&lt;2000000,20,25))))</f>
        <v>20</v>
      </c>
      <c r="M466" s="3">
        <f>IF(RAW_DATA!E466&lt;1,0,IF(RAW_DATA!E466&lt;3,3,IF(RAW_DATA!E466&lt;5,5,IF(RAW_DATA!E466&lt;10,8,10))))</f>
        <v>10</v>
      </c>
      <c r="N466" s="3">
        <f>IF(RAW_DATA!F466&lt;650,0,IF(RAW_DATA!F466&lt;700,8,IF(RAW_DATA!F466&lt;750,15,IF(RAW_DATA!F466&lt;800,20,25))))</f>
        <v>0</v>
      </c>
      <c r="O466" s="3">
        <f>IF(RAW_DATA!G466=0,5,IF(RAW_DATA!G466=1,4,IF(RAW_DATA!G466=2,3,IF(RAW_DATA!G466=3,2,IF(RAW_DATA!G466=4,1,0)))))</f>
        <v>5</v>
      </c>
      <c r="P466" s="3">
        <f>IF(RAW_DATA!K466&gt;=RAW_DATA!H466,20,ROUND((RAW_DATA!K466/RAW_DATA!H466)*20,0))</f>
        <v>20</v>
      </c>
      <c r="Q466" s="3">
        <f>IF(RAW_DATA!L466="No",5,0)</f>
        <v>5</v>
      </c>
      <c r="R466" s="3">
        <f t="shared" si="45"/>
        <v>68</v>
      </c>
      <c r="S466" s="3">
        <f t="shared" si="46"/>
        <v>68</v>
      </c>
      <c r="T466" s="3" t="str">
        <f t="shared" si="47"/>
        <v>Not Scored - Ineligible</v>
      </c>
    </row>
    <row r="467" spans="1:20" x14ac:dyDescent="0.25">
      <c r="A467" s="3" t="str">
        <f>RAW_DATA!A467</f>
        <v>APP466</v>
      </c>
      <c r="B467" s="3" t="b">
        <f>AND(RAW_DATA!B467&gt;=21,RAW_DATA!B467&lt;=60)</f>
        <v>1</v>
      </c>
      <c r="C467" s="3" t="b">
        <f>RAW_DATA!C467&gt;=300000</f>
        <v>1</v>
      </c>
      <c r="D467" s="3" t="b">
        <f>RAW_DATA!F467&gt;=650</f>
        <v>1</v>
      </c>
      <c r="E467" s="3" t="b">
        <f>RAW_DATA!E467&gt;=1</f>
        <v>1</v>
      </c>
      <c r="F467" s="3" t="b">
        <f>RAW_DATA!L467="No"</f>
        <v>1</v>
      </c>
      <c r="G467" s="3" t="b">
        <f t="shared" si="42"/>
        <v>1</v>
      </c>
      <c r="H467" s="3" t="str">
        <f t="shared" si="43"/>
        <v>ELIGIBLE</v>
      </c>
      <c r="I467" s="3" t="str">
        <f t="shared" si="44"/>
        <v/>
      </c>
      <c r="K467" s="3" cm="1">
        <f t="array" ref="K4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7" s="5">
        <f>IF(RAW_DATA!C467&lt;300000,0,IF(RAW_DATA!C467&lt;600000,5,IF(RAW_DATA!C467&lt;1200000,15,IF(RAW_DATA!C467&lt;2000000,20,25))))</f>
        <v>15</v>
      </c>
      <c r="M467" s="3">
        <f>IF(RAW_DATA!E467&lt;1,0,IF(RAW_DATA!E467&lt;3,3,IF(RAW_DATA!E467&lt;5,5,IF(RAW_DATA!E467&lt;10,8,10))))</f>
        <v>10</v>
      </c>
      <c r="N467" s="3">
        <f>IF(RAW_DATA!F467&lt;650,0,IF(RAW_DATA!F467&lt;700,8,IF(RAW_DATA!F467&lt;750,15,IF(RAW_DATA!F467&lt;800,20,25))))</f>
        <v>25</v>
      </c>
      <c r="O467" s="3">
        <f>IF(RAW_DATA!G467=0,5,IF(RAW_DATA!G467=1,4,IF(RAW_DATA!G467=2,3,IF(RAW_DATA!G467=3,2,IF(RAW_DATA!G467=4,1,0)))))</f>
        <v>2</v>
      </c>
      <c r="P467" s="3">
        <f>IF(RAW_DATA!K467&gt;=RAW_DATA!H467,20,ROUND((RAW_DATA!K467/RAW_DATA!H467)*20,0))</f>
        <v>12</v>
      </c>
      <c r="Q467" s="3">
        <f>IF(RAW_DATA!L467="No",5,0)</f>
        <v>5</v>
      </c>
      <c r="R467" s="3">
        <f t="shared" si="45"/>
        <v>76</v>
      </c>
      <c r="S467" s="3">
        <f t="shared" si="46"/>
        <v>76</v>
      </c>
      <c r="T467" s="3" t="str">
        <f t="shared" si="47"/>
        <v>Strong</v>
      </c>
    </row>
    <row r="468" spans="1:20" x14ac:dyDescent="0.25">
      <c r="A468" s="3" t="str">
        <f>RAW_DATA!A468</f>
        <v>APP467</v>
      </c>
      <c r="B468" s="3" t="b">
        <f>AND(RAW_DATA!B468&gt;=21,RAW_DATA!B468&lt;=60)</f>
        <v>1</v>
      </c>
      <c r="C468" s="3" t="b">
        <f>RAW_DATA!C468&gt;=300000</f>
        <v>1</v>
      </c>
      <c r="D468" s="3" t="b">
        <f>RAW_DATA!F468&gt;=650</f>
        <v>0</v>
      </c>
      <c r="E468" s="3" t="b">
        <f>RAW_DATA!E468&gt;=1</f>
        <v>1</v>
      </c>
      <c r="F468" s="3" t="b">
        <f>RAW_DATA!L468="No"</f>
        <v>0</v>
      </c>
      <c r="G468" s="3" t="b">
        <f t="shared" si="42"/>
        <v>0</v>
      </c>
      <c r="H468" s="3" t="str">
        <f t="shared" si="43"/>
        <v>INELIGIBLE</v>
      </c>
      <c r="I468" s="3" t="str">
        <f t="shared" si="44"/>
        <v>Credit Score, Defaulter History</v>
      </c>
      <c r="K468" s="3" cm="1">
        <f t="array" ref="K4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8" s="5">
        <f>IF(RAW_DATA!C468&lt;300000,0,IF(RAW_DATA!C468&lt;600000,5,IF(RAW_DATA!C468&lt;1200000,15,IF(RAW_DATA!C468&lt;2000000,20,25))))</f>
        <v>20</v>
      </c>
      <c r="M468" s="3">
        <f>IF(RAW_DATA!E468&lt;1,0,IF(RAW_DATA!E468&lt;3,3,IF(RAW_DATA!E468&lt;5,5,IF(RAW_DATA!E468&lt;10,8,10))))</f>
        <v>8</v>
      </c>
      <c r="N468" s="3">
        <f>IF(RAW_DATA!F468&lt;650,0,IF(RAW_DATA!F468&lt;700,8,IF(RAW_DATA!F468&lt;750,15,IF(RAW_DATA!F468&lt;800,20,25))))</f>
        <v>0</v>
      </c>
      <c r="O468" s="3">
        <f>IF(RAW_DATA!G468=0,5,IF(RAW_DATA!G468=1,4,IF(RAW_DATA!G468=2,3,IF(RAW_DATA!G468=3,2,IF(RAW_DATA!G468=4,1,0)))))</f>
        <v>4</v>
      </c>
      <c r="P468" s="3">
        <f>IF(RAW_DATA!K468&gt;=RAW_DATA!H468,20,ROUND((RAW_DATA!K468/RAW_DATA!H468)*20,0))</f>
        <v>8</v>
      </c>
      <c r="Q468" s="3">
        <f>IF(RAW_DATA!L468="No",5,0)</f>
        <v>0</v>
      </c>
      <c r="R468" s="3">
        <f t="shared" si="45"/>
        <v>50</v>
      </c>
      <c r="S468" s="3">
        <f t="shared" si="46"/>
        <v>50</v>
      </c>
      <c r="T468" s="3" t="str">
        <f t="shared" si="47"/>
        <v>Not Scored - Ineligible</v>
      </c>
    </row>
    <row r="469" spans="1:20" x14ac:dyDescent="0.25">
      <c r="A469" s="3" t="str">
        <f>RAW_DATA!A469</f>
        <v>APP468</v>
      </c>
      <c r="B469" s="3" t="b">
        <f>AND(RAW_DATA!B469&gt;=21,RAW_DATA!B469&lt;=60)</f>
        <v>1</v>
      </c>
      <c r="C469" s="3" t="b">
        <f>RAW_DATA!C469&gt;=300000</f>
        <v>1</v>
      </c>
      <c r="D469" s="3" t="b">
        <f>RAW_DATA!F469&gt;=650</f>
        <v>1</v>
      </c>
      <c r="E469" s="3" t="b">
        <f>RAW_DATA!E469&gt;=1</f>
        <v>1</v>
      </c>
      <c r="F469" s="3" t="b">
        <f>RAW_DATA!L469="No"</f>
        <v>1</v>
      </c>
      <c r="G469" s="3" t="b">
        <f t="shared" si="42"/>
        <v>1</v>
      </c>
      <c r="H469" s="3" t="str">
        <f t="shared" si="43"/>
        <v>ELIGIBLE</v>
      </c>
      <c r="I469" s="3" t="str">
        <f t="shared" si="44"/>
        <v/>
      </c>
      <c r="K469" s="3" cm="1">
        <f t="array" ref="K4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69" s="5">
        <f>IF(RAW_DATA!C469&lt;300000,0,IF(RAW_DATA!C469&lt;600000,5,IF(RAW_DATA!C469&lt;1200000,15,IF(RAW_DATA!C469&lt;2000000,20,25))))</f>
        <v>20</v>
      </c>
      <c r="M469" s="3">
        <f>IF(RAW_DATA!E469&lt;1,0,IF(RAW_DATA!E469&lt;3,3,IF(RAW_DATA!E469&lt;5,5,IF(RAW_DATA!E469&lt;10,8,10))))</f>
        <v>8</v>
      </c>
      <c r="N469" s="3">
        <f>IF(RAW_DATA!F469&lt;650,0,IF(RAW_DATA!F469&lt;700,8,IF(RAW_DATA!F469&lt;750,15,IF(RAW_DATA!F469&lt;800,20,25))))</f>
        <v>25</v>
      </c>
      <c r="O469" s="3">
        <f>IF(RAW_DATA!G469=0,5,IF(RAW_DATA!G469=1,4,IF(RAW_DATA!G469=2,3,IF(RAW_DATA!G469=3,2,IF(RAW_DATA!G469=4,1,0)))))</f>
        <v>4</v>
      </c>
      <c r="P469" s="3">
        <f>IF(RAW_DATA!K469&gt;=RAW_DATA!H469,20,ROUND((RAW_DATA!K469/RAW_DATA!H469)*20,0))</f>
        <v>20</v>
      </c>
      <c r="Q469" s="3">
        <f>IF(RAW_DATA!L469="No",5,0)</f>
        <v>5</v>
      </c>
      <c r="R469" s="3">
        <f t="shared" si="45"/>
        <v>88</v>
      </c>
      <c r="S469" s="3">
        <f t="shared" si="46"/>
        <v>88</v>
      </c>
      <c r="T469" s="3" t="str">
        <f t="shared" si="47"/>
        <v>Strong</v>
      </c>
    </row>
    <row r="470" spans="1:20" x14ac:dyDescent="0.25">
      <c r="A470" s="3" t="str">
        <f>RAW_DATA!A470</f>
        <v>APP469</v>
      </c>
      <c r="B470" s="3" t="b">
        <f>AND(RAW_DATA!B470&gt;=21,RAW_DATA!B470&lt;=60)</f>
        <v>1</v>
      </c>
      <c r="C470" s="3" t="b">
        <f>RAW_DATA!C470&gt;=300000</f>
        <v>1</v>
      </c>
      <c r="D470" s="3" t="b">
        <f>RAW_DATA!F470&gt;=650</f>
        <v>1</v>
      </c>
      <c r="E470" s="3" t="b">
        <f>RAW_DATA!E470&gt;=1</f>
        <v>1</v>
      </c>
      <c r="F470" s="3" t="b">
        <f>RAW_DATA!L470="No"</f>
        <v>0</v>
      </c>
      <c r="G470" s="3" t="b">
        <f t="shared" si="42"/>
        <v>0</v>
      </c>
      <c r="H470" s="3" t="str">
        <f t="shared" si="43"/>
        <v>INELIGIBLE</v>
      </c>
      <c r="I470" s="3" t="str">
        <f t="shared" si="44"/>
        <v>Defaulter History</v>
      </c>
      <c r="K470" s="3" cm="1">
        <f t="array" ref="K4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70" s="5">
        <f>IF(RAW_DATA!C470&lt;300000,0,IF(RAW_DATA!C470&lt;600000,5,IF(RAW_DATA!C470&lt;1200000,15,IF(RAW_DATA!C470&lt;2000000,20,25))))</f>
        <v>5</v>
      </c>
      <c r="M470" s="3">
        <f>IF(RAW_DATA!E470&lt;1,0,IF(RAW_DATA!E470&lt;3,3,IF(RAW_DATA!E470&lt;5,5,IF(RAW_DATA!E470&lt;10,8,10))))</f>
        <v>10</v>
      </c>
      <c r="N470" s="3">
        <f>IF(RAW_DATA!F470&lt;650,0,IF(RAW_DATA!F470&lt;700,8,IF(RAW_DATA!F470&lt;750,15,IF(RAW_DATA!F470&lt;800,20,25))))</f>
        <v>20</v>
      </c>
      <c r="O470" s="3">
        <f>IF(RAW_DATA!G470=0,5,IF(RAW_DATA!G470=1,4,IF(RAW_DATA!G470=2,3,IF(RAW_DATA!G470=3,2,IF(RAW_DATA!G470=4,1,0)))))</f>
        <v>2</v>
      </c>
      <c r="P470" s="3">
        <f>IF(RAW_DATA!K470&gt;=RAW_DATA!H470,20,ROUND((RAW_DATA!K470/RAW_DATA!H470)*20,0))</f>
        <v>20</v>
      </c>
      <c r="Q470" s="3">
        <f>IF(RAW_DATA!L470="No",5,0)</f>
        <v>0</v>
      </c>
      <c r="R470" s="3">
        <f t="shared" si="45"/>
        <v>63</v>
      </c>
      <c r="S470" s="3">
        <f t="shared" si="46"/>
        <v>63</v>
      </c>
      <c r="T470" s="3" t="str">
        <f t="shared" si="47"/>
        <v>Not Scored - Ineligible</v>
      </c>
    </row>
    <row r="471" spans="1:20" x14ac:dyDescent="0.25">
      <c r="A471" s="3" t="str">
        <f>RAW_DATA!A471</f>
        <v>APP470</v>
      </c>
      <c r="B471" s="3" t="b">
        <f>AND(RAW_DATA!B471&gt;=21,RAW_DATA!B471&lt;=60)</f>
        <v>1</v>
      </c>
      <c r="C471" s="3" t="b">
        <f>RAW_DATA!C471&gt;=300000</f>
        <v>1</v>
      </c>
      <c r="D471" s="3" t="b">
        <f>RAW_DATA!F471&gt;=650</f>
        <v>0</v>
      </c>
      <c r="E471" s="3" t="b">
        <f>RAW_DATA!E471&gt;=1</f>
        <v>1</v>
      </c>
      <c r="F471" s="3" t="b">
        <f>RAW_DATA!L471="No"</f>
        <v>1</v>
      </c>
      <c r="G471" s="3" t="b">
        <f t="shared" si="42"/>
        <v>0</v>
      </c>
      <c r="H471" s="3" t="str">
        <f t="shared" si="43"/>
        <v>INELIGIBLE</v>
      </c>
      <c r="I471" s="3" t="str">
        <f t="shared" si="44"/>
        <v>Credit Score</v>
      </c>
      <c r="K471" s="3" cm="1">
        <f t="array" ref="K4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71" s="5">
        <f>IF(RAW_DATA!C471&lt;300000,0,IF(RAW_DATA!C471&lt;600000,5,IF(RAW_DATA!C471&lt;1200000,15,IF(RAW_DATA!C471&lt;2000000,20,25))))</f>
        <v>5</v>
      </c>
      <c r="M471" s="3">
        <f>IF(RAW_DATA!E471&lt;1,0,IF(RAW_DATA!E471&lt;3,3,IF(RAW_DATA!E471&lt;5,5,IF(RAW_DATA!E471&lt;10,8,10))))</f>
        <v>10</v>
      </c>
      <c r="N471" s="3">
        <f>IF(RAW_DATA!F471&lt;650,0,IF(RAW_DATA!F471&lt;700,8,IF(RAW_DATA!F471&lt;750,15,IF(RAW_DATA!F471&lt;800,20,25))))</f>
        <v>0</v>
      </c>
      <c r="O471" s="3">
        <f>IF(RAW_DATA!G471=0,5,IF(RAW_DATA!G471=1,4,IF(RAW_DATA!G471=2,3,IF(RAW_DATA!G471=3,2,IF(RAW_DATA!G471=4,1,0)))))</f>
        <v>1</v>
      </c>
      <c r="P471" s="3">
        <f>IF(RAW_DATA!K471&gt;=RAW_DATA!H471,20,ROUND((RAW_DATA!K471/RAW_DATA!H471)*20,0))</f>
        <v>20</v>
      </c>
      <c r="Q471" s="3">
        <f>IF(RAW_DATA!L471="No",5,0)</f>
        <v>5</v>
      </c>
      <c r="R471" s="3">
        <f t="shared" si="45"/>
        <v>45</v>
      </c>
      <c r="S471" s="3">
        <f t="shared" si="46"/>
        <v>45</v>
      </c>
      <c r="T471" s="3" t="str">
        <f t="shared" si="47"/>
        <v>Not Scored - Ineligible</v>
      </c>
    </row>
    <row r="472" spans="1:20" x14ac:dyDescent="0.25">
      <c r="A472" s="3" t="str">
        <f>RAW_DATA!A472</f>
        <v>APP471</v>
      </c>
      <c r="B472" s="3" t="b">
        <f>AND(RAW_DATA!B472&gt;=21,RAW_DATA!B472&lt;=60)</f>
        <v>1</v>
      </c>
      <c r="C472" s="3" t="b">
        <f>RAW_DATA!C472&gt;=300000</f>
        <v>1</v>
      </c>
      <c r="D472" s="3" t="b">
        <f>RAW_DATA!F472&gt;=650</f>
        <v>0</v>
      </c>
      <c r="E472" s="3" t="b">
        <f>RAW_DATA!E472&gt;=1</f>
        <v>1</v>
      </c>
      <c r="F472" s="3" t="b">
        <f>RAW_DATA!L472="No"</f>
        <v>1</v>
      </c>
      <c r="G472" s="3" t="b">
        <f t="shared" si="42"/>
        <v>0</v>
      </c>
      <c r="H472" s="3" t="str">
        <f t="shared" si="43"/>
        <v>INELIGIBLE</v>
      </c>
      <c r="I472" s="3" t="str">
        <f t="shared" si="44"/>
        <v>Credit Score</v>
      </c>
      <c r="K472" s="3" cm="1">
        <f t="array" ref="K4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2" s="5">
        <f>IF(RAW_DATA!C472&lt;300000,0,IF(RAW_DATA!C472&lt;600000,5,IF(RAW_DATA!C472&lt;1200000,15,IF(RAW_DATA!C472&lt;2000000,20,25))))</f>
        <v>15</v>
      </c>
      <c r="M472" s="3">
        <f>IF(RAW_DATA!E472&lt;1,0,IF(RAW_DATA!E472&lt;3,3,IF(RAW_DATA!E472&lt;5,5,IF(RAW_DATA!E472&lt;10,8,10))))</f>
        <v>8</v>
      </c>
      <c r="N472" s="3">
        <f>IF(RAW_DATA!F472&lt;650,0,IF(RAW_DATA!F472&lt;700,8,IF(RAW_DATA!F472&lt;750,15,IF(RAW_DATA!F472&lt;800,20,25))))</f>
        <v>0</v>
      </c>
      <c r="O472" s="3">
        <f>IF(RAW_DATA!G472=0,5,IF(RAW_DATA!G472=1,4,IF(RAW_DATA!G472=2,3,IF(RAW_DATA!G472=3,2,IF(RAW_DATA!G472=4,1,0)))))</f>
        <v>2</v>
      </c>
      <c r="P472" s="3">
        <f>IF(RAW_DATA!K472&gt;=RAW_DATA!H472,20,ROUND((RAW_DATA!K472/RAW_DATA!H472)*20,0))</f>
        <v>20</v>
      </c>
      <c r="Q472" s="3">
        <f>IF(RAW_DATA!L472="No",5,0)</f>
        <v>5</v>
      </c>
      <c r="R472" s="3">
        <f t="shared" si="45"/>
        <v>57</v>
      </c>
      <c r="S472" s="3">
        <f t="shared" si="46"/>
        <v>57</v>
      </c>
      <c r="T472" s="3" t="str">
        <f t="shared" si="47"/>
        <v>Not Scored - Ineligible</v>
      </c>
    </row>
    <row r="473" spans="1:20" x14ac:dyDescent="0.25">
      <c r="A473" s="3" t="str">
        <f>RAW_DATA!A473</f>
        <v>APP472</v>
      </c>
      <c r="B473" s="3" t="b">
        <f>AND(RAW_DATA!B473&gt;=21,RAW_DATA!B473&lt;=60)</f>
        <v>1</v>
      </c>
      <c r="C473" s="3" t="b">
        <f>RAW_DATA!C473&gt;=300000</f>
        <v>1</v>
      </c>
      <c r="D473" s="3" t="b">
        <f>RAW_DATA!F473&gt;=650</f>
        <v>1</v>
      </c>
      <c r="E473" s="3" t="b">
        <f>RAW_DATA!E473&gt;=1</f>
        <v>1</v>
      </c>
      <c r="F473" s="3" t="b">
        <f>RAW_DATA!L473="No"</f>
        <v>0</v>
      </c>
      <c r="G473" s="3" t="b">
        <f t="shared" si="42"/>
        <v>0</v>
      </c>
      <c r="H473" s="3" t="str">
        <f t="shared" si="43"/>
        <v>INELIGIBLE</v>
      </c>
      <c r="I473" s="3" t="str">
        <f t="shared" si="44"/>
        <v>Defaulter History</v>
      </c>
      <c r="K473" s="3" cm="1">
        <f t="array" ref="K4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3" s="5">
        <f>IF(RAW_DATA!C473&lt;300000,0,IF(RAW_DATA!C473&lt;600000,5,IF(RAW_DATA!C473&lt;1200000,15,IF(RAW_DATA!C473&lt;2000000,20,25))))</f>
        <v>15</v>
      </c>
      <c r="M473" s="3">
        <f>IF(RAW_DATA!E473&lt;1,0,IF(RAW_DATA!E473&lt;3,3,IF(RAW_DATA!E473&lt;5,5,IF(RAW_DATA!E473&lt;10,8,10))))</f>
        <v>10</v>
      </c>
      <c r="N473" s="3">
        <f>IF(RAW_DATA!F473&lt;650,0,IF(RAW_DATA!F473&lt;700,8,IF(RAW_DATA!F473&lt;750,15,IF(RAW_DATA!F473&lt;800,20,25))))</f>
        <v>25</v>
      </c>
      <c r="O473" s="3">
        <f>IF(RAW_DATA!G473=0,5,IF(RAW_DATA!G473=1,4,IF(RAW_DATA!G473=2,3,IF(RAW_DATA!G473=3,2,IF(RAW_DATA!G473=4,1,0)))))</f>
        <v>5</v>
      </c>
      <c r="P473" s="3">
        <f>IF(RAW_DATA!K473&gt;=RAW_DATA!H473,20,ROUND((RAW_DATA!K473/RAW_DATA!H473)*20,0))</f>
        <v>5</v>
      </c>
      <c r="Q473" s="3">
        <f>IF(RAW_DATA!L473="No",5,0)</f>
        <v>0</v>
      </c>
      <c r="R473" s="3">
        <f t="shared" si="45"/>
        <v>70</v>
      </c>
      <c r="S473" s="3">
        <f t="shared" si="46"/>
        <v>70</v>
      </c>
      <c r="T473" s="3" t="str">
        <f t="shared" si="47"/>
        <v>Not Scored - Ineligible</v>
      </c>
    </row>
    <row r="474" spans="1:20" x14ac:dyDescent="0.25">
      <c r="A474" s="3" t="str">
        <f>RAW_DATA!A474</f>
        <v>APP473</v>
      </c>
      <c r="B474" s="3" t="b">
        <f>AND(RAW_DATA!B474&gt;=21,RAW_DATA!B474&lt;=60)</f>
        <v>1</v>
      </c>
      <c r="C474" s="3" t="b">
        <f>RAW_DATA!C474&gt;=300000</f>
        <v>1</v>
      </c>
      <c r="D474" s="3" t="b">
        <f>RAW_DATA!F474&gt;=650</f>
        <v>0</v>
      </c>
      <c r="E474" s="3" t="b">
        <f>RAW_DATA!E474&gt;=1</f>
        <v>1</v>
      </c>
      <c r="F474" s="3" t="b">
        <f>RAW_DATA!L474="No"</f>
        <v>0</v>
      </c>
      <c r="G474" s="3" t="b">
        <f t="shared" si="42"/>
        <v>0</v>
      </c>
      <c r="H474" s="3" t="str">
        <f t="shared" si="43"/>
        <v>INELIGIBLE</v>
      </c>
      <c r="I474" s="3" t="str">
        <f t="shared" si="44"/>
        <v>Credit Score, Defaulter History</v>
      </c>
      <c r="K474" s="3" cm="1">
        <f t="array" ref="K4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4" s="5">
        <f>IF(RAW_DATA!C474&lt;300000,0,IF(RAW_DATA!C474&lt;600000,5,IF(RAW_DATA!C474&lt;1200000,15,IF(RAW_DATA!C474&lt;2000000,20,25))))</f>
        <v>25</v>
      </c>
      <c r="M474" s="3">
        <f>IF(RAW_DATA!E474&lt;1,0,IF(RAW_DATA!E474&lt;3,3,IF(RAW_DATA!E474&lt;5,5,IF(RAW_DATA!E474&lt;10,8,10))))</f>
        <v>10</v>
      </c>
      <c r="N474" s="3">
        <f>IF(RAW_DATA!F474&lt;650,0,IF(RAW_DATA!F474&lt;700,8,IF(RAW_DATA!F474&lt;750,15,IF(RAW_DATA!F474&lt;800,20,25))))</f>
        <v>0</v>
      </c>
      <c r="O474" s="3">
        <f>IF(RAW_DATA!G474=0,5,IF(RAW_DATA!G474=1,4,IF(RAW_DATA!G474=2,3,IF(RAW_DATA!G474=3,2,IF(RAW_DATA!G474=4,1,0)))))</f>
        <v>0</v>
      </c>
      <c r="P474" s="3">
        <f>IF(RAW_DATA!K474&gt;=RAW_DATA!H474,20,ROUND((RAW_DATA!K474/RAW_DATA!H474)*20,0))</f>
        <v>20</v>
      </c>
      <c r="Q474" s="3">
        <f>IF(RAW_DATA!L474="No",5,0)</f>
        <v>0</v>
      </c>
      <c r="R474" s="3">
        <f t="shared" si="45"/>
        <v>62</v>
      </c>
      <c r="S474" s="3">
        <f t="shared" si="46"/>
        <v>62</v>
      </c>
      <c r="T474" s="3" t="str">
        <f t="shared" si="47"/>
        <v>Not Scored - Ineligible</v>
      </c>
    </row>
    <row r="475" spans="1:20" x14ac:dyDescent="0.25">
      <c r="A475" s="3" t="str">
        <f>RAW_DATA!A475</f>
        <v>APP474</v>
      </c>
      <c r="B475" s="3" t="b">
        <f>AND(RAW_DATA!B475&gt;=21,RAW_DATA!B475&lt;=60)</f>
        <v>1</v>
      </c>
      <c r="C475" s="3" t="b">
        <f>RAW_DATA!C475&gt;=300000</f>
        <v>1</v>
      </c>
      <c r="D475" s="3" t="b">
        <f>RAW_DATA!F475&gt;=650</f>
        <v>0</v>
      </c>
      <c r="E475" s="3" t="b">
        <f>RAW_DATA!E475&gt;=1</f>
        <v>1</v>
      </c>
      <c r="F475" s="3" t="b">
        <f>RAW_DATA!L475="No"</f>
        <v>1</v>
      </c>
      <c r="G475" s="3" t="b">
        <f t="shared" si="42"/>
        <v>0</v>
      </c>
      <c r="H475" s="3" t="str">
        <f t="shared" si="43"/>
        <v>INELIGIBLE</v>
      </c>
      <c r="I475" s="3" t="str">
        <f t="shared" si="44"/>
        <v>Credit Score</v>
      </c>
      <c r="K475" s="3" cm="1">
        <f t="array" ref="K4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5" s="5">
        <f>IF(RAW_DATA!C475&lt;300000,0,IF(RAW_DATA!C475&lt;600000,5,IF(RAW_DATA!C475&lt;1200000,15,IF(RAW_DATA!C475&lt;2000000,20,25))))</f>
        <v>25</v>
      </c>
      <c r="M475" s="3">
        <f>IF(RAW_DATA!E475&lt;1,0,IF(RAW_DATA!E475&lt;3,3,IF(RAW_DATA!E475&lt;5,5,IF(RAW_DATA!E475&lt;10,8,10))))</f>
        <v>10</v>
      </c>
      <c r="N475" s="3">
        <f>IF(RAW_DATA!F475&lt;650,0,IF(RAW_DATA!F475&lt;700,8,IF(RAW_DATA!F475&lt;750,15,IF(RAW_DATA!F475&lt;800,20,25))))</f>
        <v>0</v>
      </c>
      <c r="O475" s="3">
        <f>IF(RAW_DATA!G475=0,5,IF(RAW_DATA!G475=1,4,IF(RAW_DATA!G475=2,3,IF(RAW_DATA!G475=3,2,IF(RAW_DATA!G475=4,1,0)))))</f>
        <v>1</v>
      </c>
      <c r="P475" s="3">
        <f>IF(RAW_DATA!K475&gt;=RAW_DATA!H475,20,ROUND((RAW_DATA!K475/RAW_DATA!H475)*20,0))</f>
        <v>20</v>
      </c>
      <c r="Q475" s="3">
        <f>IF(RAW_DATA!L475="No",5,0)</f>
        <v>5</v>
      </c>
      <c r="R475" s="3">
        <f t="shared" si="45"/>
        <v>71</v>
      </c>
      <c r="S475" s="3">
        <f t="shared" si="46"/>
        <v>71</v>
      </c>
      <c r="T475" s="3" t="str">
        <f t="shared" si="47"/>
        <v>Not Scored - Ineligible</v>
      </c>
    </row>
    <row r="476" spans="1:20" x14ac:dyDescent="0.25">
      <c r="A476" s="3" t="str">
        <f>RAW_DATA!A476</f>
        <v>APP475</v>
      </c>
      <c r="B476" s="3" t="b">
        <f>AND(RAW_DATA!B476&gt;=21,RAW_DATA!B476&lt;=60)</f>
        <v>1</v>
      </c>
      <c r="C476" s="3" t="b">
        <f>RAW_DATA!C476&gt;=300000</f>
        <v>1</v>
      </c>
      <c r="D476" s="3" t="b">
        <f>RAW_DATA!F476&gt;=650</f>
        <v>0</v>
      </c>
      <c r="E476" s="3" t="b">
        <f>RAW_DATA!E476&gt;=1</f>
        <v>1</v>
      </c>
      <c r="F476" s="3" t="b">
        <f>RAW_DATA!L476="No"</f>
        <v>1</v>
      </c>
      <c r="G476" s="3" t="b">
        <f t="shared" si="42"/>
        <v>0</v>
      </c>
      <c r="H476" s="3" t="str">
        <f t="shared" si="43"/>
        <v>INELIGIBLE</v>
      </c>
      <c r="I476" s="3" t="str">
        <f t="shared" si="44"/>
        <v>Credit Score</v>
      </c>
      <c r="K476" s="3" cm="1">
        <f t="array" ref="K4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6" s="5">
        <f>IF(RAW_DATA!C476&lt;300000,0,IF(RAW_DATA!C476&lt;600000,5,IF(RAW_DATA!C476&lt;1200000,15,IF(RAW_DATA!C476&lt;2000000,20,25))))</f>
        <v>15</v>
      </c>
      <c r="M476" s="3">
        <f>IF(RAW_DATA!E476&lt;1,0,IF(RAW_DATA!E476&lt;3,3,IF(RAW_DATA!E476&lt;5,5,IF(RAW_DATA!E476&lt;10,8,10))))</f>
        <v>10</v>
      </c>
      <c r="N476" s="3">
        <f>IF(RAW_DATA!F476&lt;650,0,IF(RAW_DATA!F476&lt;700,8,IF(RAW_DATA!F476&lt;750,15,IF(RAW_DATA!F476&lt;800,20,25))))</f>
        <v>0</v>
      </c>
      <c r="O476" s="3">
        <f>IF(RAW_DATA!G476=0,5,IF(RAW_DATA!G476=1,4,IF(RAW_DATA!G476=2,3,IF(RAW_DATA!G476=3,2,IF(RAW_DATA!G476=4,1,0)))))</f>
        <v>5</v>
      </c>
      <c r="P476" s="3">
        <f>IF(RAW_DATA!K476&gt;=RAW_DATA!H476,20,ROUND((RAW_DATA!K476/RAW_DATA!H476)*20,0))</f>
        <v>20</v>
      </c>
      <c r="Q476" s="3">
        <f>IF(RAW_DATA!L476="No",5,0)</f>
        <v>5</v>
      </c>
      <c r="R476" s="3">
        <f t="shared" si="45"/>
        <v>63</v>
      </c>
      <c r="S476" s="3">
        <f t="shared" si="46"/>
        <v>63</v>
      </c>
      <c r="T476" s="3" t="str">
        <f t="shared" si="47"/>
        <v>Not Scored - Ineligible</v>
      </c>
    </row>
    <row r="477" spans="1:20" x14ac:dyDescent="0.25">
      <c r="A477" s="3" t="str">
        <f>RAW_DATA!A477</f>
        <v>APP476</v>
      </c>
      <c r="B477" s="3" t="b">
        <f>AND(RAW_DATA!B477&gt;=21,RAW_DATA!B477&lt;=60)</f>
        <v>1</v>
      </c>
      <c r="C477" s="3" t="b">
        <f>RAW_DATA!C477&gt;=300000</f>
        <v>1</v>
      </c>
      <c r="D477" s="3" t="b">
        <f>RAW_DATA!F477&gt;=650</f>
        <v>0</v>
      </c>
      <c r="E477" s="3" t="b">
        <f>RAW_DATA!E477&gt;=1</f>
        <v>1</v>
      </c>
      <c r="F477" s="3" t="b">
        <f>RAW_DATA!L477="No"</f>
        <v>1</v>
      </c>
      <c r="G477" s="3" t="b">
        <f t="shared" si="42"/>
        <v>0</v>
      </c>
      <c r="H477" s="3" t="str">
        <f t="shared" si="43"/>
        <v>INELIGIBLE</v>
      </c>
      <c r="I477" s="3" t="str">
        <f t="shared" si="44"/>
        <v>Credit Score</v>
      </c>
      <c r="K477" s="3" cm="1">
        <f t="array" ref="K4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7" s="5">
        <f>IF(RAW_DATA!C477&lt;300000,0,IF(RAW_DATA!C477&lt;600000,5,IF(RAW_DATA!C477&lt;1200000,15,IF(RAW_DATA!C477&lt;2000000,20,25))))</f>
        <v>25</v>
      </c>
      <c r="M477" s="3">
        <f>IF(RAW_DATA!E477&lt;1,0,IF(RAW_DATA!E477&lt;3,3,IF(RAW_DATA!E477&lt;5,5,IF(RAW_DATA!E477&lt;10,8,10))))</f>
        <v>10</v>
      </c>
      <c r="N477" s="3">
        <f>IF(RAW_DATA!F477&lt;650,0,IF(RAW_DATA!F477&lt;700,8,IF(RAW_DATA!F477&lt;750,15,IF(RAW_DATA!F477&lt;800,20,25))))</f>
        <v>0</v>
      </c>
      <c r="O477" s="3">
        <f>IF(RAW_DATA!G477=0,5,IF(RAW_DATA!G477=1,4,IF(RAW_DATA!G477=2,3,IF(RAW_DATA!G477=3,2,IF(RAW_DATA!G477=4,1,0)))))</f>
        <v>4</v>
      </c>
      <c r="P477" s="3">
        <f>IF(RAW_DATA!K477&gt;=RAW_DATA!H477,20,ROUND((RAW_DATA!K477/RAW_DATA!H477)*20,0))</f>
        <v>20</v>
      </c>
      <c r="Q477" s="3">
        <f>IF(RAW_DATA!L477="No",5,0)</f>
        <v>5</v>
      </c>
      <c r="R477" s="3">
        <f t="shared" si="45"/>
        <v>71</v>
      </c>
      <c r="S477" s="3">
        <f t="shared" si="46"/>
        <v>71</v>
      </c>
      <c r="T477" s="3" t="str">
        <f t="shared" si="47"/>
        <v>Not Scored - Ineligible</v>
      </c>
    </row>
    <row r="478" spans="1:20" x14ac:dyDescent="0.25">
      <c r="A478" s="3" t="str">
        <f>RAW_DATA!A478</f>
        <v>APP477</v>
      </c>
      <c r="B478" s="3" t="b">
        <f>AND(RAW_DATA!B478&gt;=21,RAW_DATA!B478&lt;=60)</f>
        <v>1</v>
      </c>
      <c r="C478" s="3" t="b">
        <f>RAW_DATA!C478&gt;=300000</f>
        <v>1</v>
      </c>
      <c r="D478" s="3" t="b">
        <f>RAW_DATA!F478&gt;=650</f>
        <v>1</v>
      </c>
      <c r="E478" s="3" t="b">
        <f>RAW_DATA!E478&gt;=1</f>
        <v>1</v>
      </c>
      <c r="F478" s="3" t="b">
        <f>RAW_DATA!L478="No"</f>
        <v>1</v>
      </c>
      <c r="G478" s="3" t="b">
        <f t="shared" si="42"/>
        <v>1</v>
      </c>
      <c r="H478" s="3" t="str">
        <f t="shared" si="43"/>
        <v>ELIGIBLE</v>
      </c>
      <c r="I478" s="3" t="str">
        <f t="shared" si="44"/>
        <v/>
      </c>
      <c r="K478" s="3" cm="1">
        <f t="array" ref="K4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8" s="5">
        <f>IF(RAW_DATA!C478&lt;300000,0,IF(RAW_DATA!C478&lt;600000,5,IF(RAW_DATA!C478&lt;1200000,15,IF(RAW_DATA!C478&lt;2000000,20,25))))</f>
        <v>15</v>
      </c>
      <c r="M478" s="3">
        <f>IF(RAW_DATA!E478&lt;1,0,IF(RAW_DATA!E478&lt;3,3,IF(RAW_DATA!E478&lt;5,5,IF(RAW_DATA!E478&lt;10,8,10))))</f>
        <v>10</v>
      </c>
      <c r="N478" s="3">
        <f>IF(RAW_DATA!F478&lt;650,0,IF(RAW_DATA!F478&lt;700,8,IF(RAW_DATA!F478&lt;750,15,IF(RAW_DATA!F478&lt;800,20,25))))</f>
        <v>25</v>
      </c>
      <c r="O478" s="3">
        <f>IF(RAW_DATA!G478=0,5,IF(RAW_DATA!G478=1,4,IF(RAW_DATA!G478=2,3,IF(RAW_DATA!G478=3,2,IF(RAW_DATA!G478=4,1,0)))))</f>
        <v>0</v>
      </c>
      <c r="P478" s="3">
        <f>IF(RAW_DATA!K478&gt;=RAW_DATA!H478,20,ROUND((RAW_DATA!K478/RAW_DATA!H478)*20,0))</f>
        <v>20</v>
      </c>
      <c r="Q478" s="3">
        <f>IF(RAW_DATA!L478="No",5,0)</f>
        <v>5</v>
      </c>
      <c r="R478" s="3">
        <f t="shared" si="45"/>
        <v>82</v>
      </c>
      <c r="S478" s="3">
        <f t="shared" si="46"/>
        <v>82</v>
      </c>
      <c r="T478" s="3" t="str">
        <f t="shared" si="47"/>
        <v>Strong</v>
      </c>
    </row>
    <row r="479" spans="1:20" x14ac:dyDescent="0.25">
      <c r="A479" s="3" t="str">
        <f>RAW_DATA!A479</f>
        <v>APP478</v>
      </c>
      <c r="B479" s="3" t="b">
        <f>AND(RAW_DATA!B479&gt;=21,RAW_DATA!B479&lt;=60)</f>
        <v>1</v>
      </c>
      <c r="C479" s="3" t="b">
        <f>RAW_DATA!C479&gt;=300000</f>
        <v>1</v>
      </c>
      <c r="D479" s="3" t="b">
        <f>RAW_DATA!F479&gt;=650</f>
        <v>0</v>
      </c>
      <c r="E479" s="3" t="b">
        <f>RAW_DATA!E479&gt;=1</f>
        <v>1</v>
      </c>
      <c r="F479" s="3" t="b">
        <f>RAW_DATA!L479="No"</f>
        <v>0</v>
      </c>
      <c r="G479" s="3" t="b">
        <f t="shared" si="42"/>
        <v>0</v>
      </c>
      <c r="H479" s="3" t="str">
        <f t="shared" si="43"/>
        <v>INELIGIBLE</v>
      </c>
      <c r="I479" s="3" t="str">
        <f t="shared" si="44"/>
        <v>Credit Score, Defaulter History</v>
      </c>
      <c r="K479" s="3" cm="1">
        <f t="array" ref="K4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9" s="5">
        <f>IF(RAW_DATA!C479&lt;300000,0,IF(RAW_DATA!C479&lt;600000,5,IF(RAW_DATA!C479&lt;1200000,15,IF(RAW_DATA!C479&lt;2000000,20,25))))</f>
        <v>5</v>
      </c>
      <c r="M479" s="3">
        <f>IF(RAW_DATA!E479&lt;1,0,IF(RAW_DATA!E479&lt;3,3,IF(RAW_DATA!E479&lt;5,5,IF(RAW_DATA!E479&lt;10,8,10))))</f>
        <v>10</v>
      </c>
      <c r="N479" s="3">
        <f>IF(RAW_DATA!F479&lt;650,0,IF(RAW_DATA!F479&lt;700,8,IF(RAW_DATA!F479&lt;750,15,IF(RAW_DATA!F479&lt;800,20,25))))</f>
        <v>0</v>
      </c>
      <c r="O479" s="3">
        <f>IF(RAW_DATA!G479=0,5,IF(RAW_DATA!G479=1,4,IF(RAW_DATA!G479=2,3,IF(RAW_DATA!G479=3,2,IF(RAW_DATA!G479=4,1,0)))))</f>
        <v>4</v>
      </c>
      <c r="P479" s="3">
        <f>IF(RAW_DATA!K479&gt;=RAW_DATA!H479,20,ROUND((RAW_DATA!K479/RAW_DATA!H479)*20,0))</f>
        <v>5</v>
      </c>
      <c r="Q479" s="3">
        <f>IF(RAW_DATA!L479="No",5,0)</f>
        <v>0</v>
      </c>
      <c r="R479" s="3">
        <f t="shared" si="45"/>
        <v>31</v>
      </c>
      <c r="S479" s="3">
        <f t="shared" si="46"/>
        <v>31</v>
      </c>
      <c r="T479" s="3" t="str">
        <f t="shared" si="47"/>
        <v>Not Scored - Ineligible</v>
      </c>
    </row>
    <row r="480" spans="1:20" x14ac:dyDescent="0.25">
      <c r="A480" s="3" t="str">
        <f>RAW_DATA!A480</f>
        <v>APP479</v>
      </c>
      <c r="B480" s="3" t="b">
        <f>AND(RAW_DATA!B480&gt;=21,RAW_DATA!B480&lt;=60)</f>
        <v>1</v>
      </c>
      <c r="C480" s="3" t="b">
        <f>RAW_DATA!C480&gt;=300000</f>
        <v>1</v>
      </c>
      <c r="D480" s="3" t="b">
        <f>RAW_DATA!F480&gt;=650</f>
        <v>1</v>
      </c>
      <c r="E480" s="3" t="b">
        <f>RAW_DATA!E480&gt;=1</f>
        <v>1</v>
      </c>
      <c r="F480" s="3" t="b">
        <f>RAW_DATA!L480="No"</f>
        <v>1</v>
      </c>
      <c r="G480" s="3" t="b">
        <f t="shared" si="42"/>
        <v>1</v>
      </c>
      <c r="H480" s="3" t="str">
        <f t="shared" si="43"/>
        <v>ELIGIBLE</v>
      </c>
      <c r="I480" s="3" t="str">
        <f t="shared" si="44"/>
        <v/>
      </c>
      <c r="K480" s="3" cm="1">
        <f t="array" ref="K4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0" s="5">
        <f>IF(RAW_DATA!C480&lt;300000,0,IF(RAW_DATA!C480&lt;600000,5,IF(RAW_DATA!C480&lt;1200000,15,IF(RAW_DATA!C480&lt;2000000,20,25))))</f>
        <v>20</v>
      </c>
      <c r="M480" s="3">
        <f>IF(RAW_DATA!E480&lt;1,0,IF(RAW_DATA!E480&lt;3,3,IF(RAW_DATA!E480&lt;5,5,IF(RAW_DATA!E480&lt;10,8,10))))</f>
        <v>10</v>
      </c>
      <c r="N480" s="3">
        <f>IF(RAW_DATA!F480&lt;650,0,IF(RAW_DATA!F480&lt;700,8,IF(RAW_DATA!F480&lt;750,15,IF(RAW_DATA!F480&lt;800,20,25))))</f>
        <v>25</v>
      </c>
      <c r="O480" s="3">
        <f>IF(RAW_DATA!G480=0,5,IF(RAW_DATA!G480=1,4,IF(RAW_DATA!G480=2,3,IF(RAW_DATA!G480=3,2,IF(RAW_DATA!G480=4,1,0)))))</f>
        <v>4</v>
      </c>
      <c r="P480" s="3">
        <f>IF(RAW_DATA!K480&gt;=RAW_DATA!H480,20,ROUND((RAW_DATA!K480/RAW_DATA!H480)*20,0))</f>
        <v>20</v>
      </c>
      <c r="Q480" s="3">
        <f>IF(RAW_DATA!L480="No",5,0)</f>
        <v>5</v>
      </c>
      <c r="R480" s="3">
        <f t="shared" si="45"/>
        <v>92</v>
      </c>
      <c r="S480" s="3">
        <f t="shared" si="46"/>
        <v>92</v>
      </c>
      <c r="T480" s="3" t="str">
        <f t="shared" si="47"/>
        <v>Strong</v>
      </c>
    </row>
    <row r="481" spans="1:20" x14ac:dyDescent="0.25">
      <c r="A481" s="3" t="str">
        <f>RAW_DATA!A481</f>
        <v>APP480</v>
      </c>
      <c r="B481" s="3" t="b">
        <f>AND(RAW_DATA!B481&gt;=21,RAW_DATA!B481&lt;=60)</f>
        <v>0</v>
      </c>
      <c r="C481" s="3" t="b">
        <f>RAW_DATA!C481&gt;=300000</f>
        <v>1</v>
      </c>
      <c r="D481" s="3" t="b">
        <f>RAW_DATA!F481&gt;=650</f>
        <v>0</v>
      </c>
      <c r="E481" s="3" t="b">
        <f>RAW_DATA!E481&gt;=1</f>
        <v>1</v>
      </c>
      <c r="F481" s="3" t="b">
        <f>RAW_DATA!L481="No"</f>
        <v>0</v>
      </c>
      <c r="G481" s="3" t="b">
        <f t="shared" si="42"/>
        <v>0</v>
      </c>
      <c r="H481" s="3" t="str">
        <f t="shared" si="43"/>
        <v>INELIGIBLE</v>
      </c>
      <c r="I481" s="3" t="str">
        <f t="shared" si="44"/>
        <v>Age, Credit Score, Defaulter History</v>
      </c>
      <c r="K481" s="3" cm="1">
        <f t="array" ref="K4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1" s="5">
        <f>IF(RAW_DATA!C481&lt;300000,0,IF(RAW_DATA!C481&lt;600000,5,IF(RAW_DATA!C481&lt;1200000,15,IF(RAW_DATA!C481&lt;2000000,20,25))))</f>
        <v>20</v>
      </c>
      <c r="M481" s="3">
        <f>IF(RAW_DATA!E481&lt;1,0,IF(RAW_DATA!E481&lt;3,3,IF(RAW_DATA!E481&lt;5,5,IF(RAW_DATA!E481&lt;10,8,10))))</f>
        <v>8</v>
      </c>
      <c r="N481" s="3">
        <f>IF(RAW_DATA!F481&lt;650,0,IF(RAW_DATA!F481&lt;700,8,IF(RAW_DATA!F481&lt;750,15,IF(RAW_DATA!F481&lt;800,20,25))))</f>
        <v>0</v>
      </c>
      <c r="O481" s="3">
        <f>IF(RAW_DATA!G481=0,5,IF(RAW_DATA!G481=1,4,IF(RAW_DATA!G481=2,3,IF(RAW_DATA!G481=3,2,IF(RAW_DATA!G481=4,1,0)))))</f>
        <v>1</v>
      </c>
      <c r="P481" s="3">
        <f>IF(RAW_DATA!K481&gt;=RAW_DATA!H481,20,ROUND((RAW_DATA!K481/RAW_DATA!H481)*20,0))</f>
        <v>20</v>
      </c>
      <c r="Q481" s="3">
        <f>IF(RAW_DATA!L481="No",5,0)</f>
        <v>0</v>
      </c>
      <c r="R481" s="3">
        <f t="shared" si="45"/>
        <v>49</v>
      </c>
      <c r="S481" s="3">
        <f t="shared" si="46"/>
        <v>49</v>
      </c>
      <c r="T481" s="3" t="str">
        <f t="shared" si="47"/>
        <v>Not Scored - Ineligible</v>
      </c>
    </row>
    <row r="482" spans="1:20" x14ac:dyDescent="0.25">
      <c r="A482" s="3" t="str">
        <f>RAW_DATA!A482</f>
        <v>APP481</v>
      </c>
      <c r="B482" s="3" t="b">
        <f>AND(RAW_DATA!B482&gt;=21,RAW_DATA!B482&lt;=60)</f>
        <v>0</v>
      </c>
      <c r="C482" s="3" t="b">
        <f>RAW_DATA!C482&gt;=300000</f>
        <v>1</v>
      </c>
      <c r="D482" s="3" t="b">
        <f>RAW_DATA!F482&gt;=650</f>
        <v>1</v>
      </c>
      <c r="E482" s="3" t="b">
        <f>RAW_DATA!E482&gt;=1</f>
        <v>1</v>
      </c>
      <c r="F482" s="3" t="b">
        <f>RAW_DATA!L482="No"</f>
        <v>0</v>
      </c>
      <c r="G482" s="3" t="b">
        <f t="shared" si="42"/>
        <v>0</v>
      </c>
      <c r="H482" s="3" t="str">
        <f t="shared" si="43"/>
        <v>INELIGIBLE</v>
      </c>
      <c r="I482" s="3" t="str">
        <f t="shared" si="44"/>
        <v>Age, Defaulter History</v>
      </c>
      <c r="K482" s="3" cm="1">
        <f t="array" ref="K4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2" s="5">
        <f>IF(RAW_DATA!C482&lt;300000,0,IF(RAW_DATA!C482&lt;600000,5,IF(RAW_DATA!C482&lt;1200000,15,IF(RAW_DATA!C482&lt;2000000,20,25))))</f>
        <v>15</v>
      </c>
      <c r="M482" s="3">
        <f>IF(RAW_DATA!E482&lt;1,0,IF(RAW_DATA!E482&lt;3,3,IF(RAW_DATA!E482&lt;5,5,IF(RAW_DATA!E482&lt;10,8,10))))</f>
        <v>8</v>
      </c>
      <c r="N482" s="3">
        <f>IF(RAW_DATA!F482&lt;650,0,IF(RAW_DATA!F482&lt;700,8,IF(RAW_DATA!F482&lt;750,15,IF(RAW_DATA!F482&lt;800,20,25))))</f>
        <v>20</v>
      </c>
      <c r="O482" s="3">
        <f>IF(RAW_DATA!G482=0,5,IF(RAW_DATA!G482=1,4,IF(RAW_DATA!G482=2,3,IF(RAW_DATA!G482=3,2,IF(RAW_DATA!G482=4,1,0)))))</f>
        <v>3</v>
      </c>
      <c r="P482" s="3">
        <f>IF(RAW_DATA!K482&gt;=RAW_DATA!H482,20,ROUND((RAW_DATA!K482/RAW_DATA!H482)*20,0))</f>
        <v>20</v>
      </c>
      <c r="Q482" s="3">
        <f>IF(RAW_DATA!L482="No",5,0)</f>
        <v>0</v>
      </c>
      <c r="R482" s="3">
        <f t="shared" si="45"/>
        <v>66</v>
      </c>
      <c r="S482" s="3">
        <f t="shared" si="46"/>
        <v>66</v>
      </c>
      <c r="T482" s="3" t="str">
        <f t="shared" si="47"/>
        <v>Not Scored - Ineligible</v>
      </c>
    </row>
    <row r="483" spans="1:20" x14ac:dyDescent="0.25">
      <c r="A483" s="3" t="str">
        <f>RAW_DATA!A483</f>
        <v>APP482</v>
      </c>
      <c r="B483" s="3" t="b">
        <f>AND(RAW_DATA!B483&gt;=21,RAW_DATA!B483&lt;=60)</f>
        <v>1</v>
      </c>
      <c r="C483" s="3" t="b">
        <f>RAW_DATA!C483&gt;=300000</f>
        <v>1</v>
      </c>
      <c r="D483" s="3" t="b">
        <f>RAW_DATA!F483&gt;=650</f>
        <v>0</v>
      </c>
      <c r="E483" s="3" t="b">
        <f>RAW_DATA!E483&gt;=1</f>
        <v>1</v>
      </c>
      <c r="F483" s="3" t="b">
        <f>RAW_DATA!L483="No"</f>
        <v>1</v>
      </c>
      <c r="G483" s="3" t="b">
        <f t="shared" si="42"/>
        <v>0</v>
      </c>
      <c r="H483" s="3" t="str">
        <f t="shared" si="43"/>
        <v>INELIGIBLE</v>
      </c>
      <c r="I483" s="3" t="str">
        <f t="shared" si="44"/>
        <v>Credit Score</v>
      </c>
      <c r="K483" s="3" cm="1">
        <f t="array" ref="K4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3" s="5">
        <f>IF(RAW_DATA!C483&lt;300000,0,IF(RAW_DATA!C483&lt;600000,5,IF(RAW_DATA!C483&lt;1200000,15,IF(RAW_DATA!C483&lt;2000000,20,25))))</f>
        <v>20</v>
      </c>
      <c r="M483" s="3">
        <f>IF(RAW_DATA!E483&lt;1,0,IF(RAW_DATA!E483&lt;3,3,IF(RAW_DATA!E483&lt;5,5,IF(RAW_DATA!E483&lt;10,8,10))))</f>
        <v>8</v>
      </c>
      <c r="N483" s="3">
        <f>IF(RAW_DATA!F483&lt;650,0,IF(RAW_DATA!F483&lt;700,8,IF(RAW_DATA!F483&lt;750,15,IF(RAW_DATA!F483&lt;800,20,25))))</f>
        <v>0</v>
      </c>
      <c r="O483" s="3">
        <f>IF(RAW_DATA!G483=0,5,IF(RAW_DATA!G483=1,4,IF(RAW_DATA!G483=2,3,IF(RAW_DATA!G483=3,2,IF(RAW_DATA!G483=4,1,0)))))</f>
        <v>5</v>
      </c>
      <c r="P483" s="3">
        <f>IF(RAW_DATA!K483&gt;=RAW_DATA!H483,20,ROUND((RAW_DATA!K483/RAW_DATA!H483)*20,0))</f>
        <v>20</v>
      </c>
      <c r="Q483" s="3">
        <f>IF(RAW_DATA!L483="No",5,0)</f>
        <v>5</v>
      </c>
      <c r="R483" s="3">
        <f t="shared" si="45"/>
        <v>62</v>
      </c>
      <c r="S483" s="3">
        <f t="shared" si="46"/>
        <v>62</v>
      </c>
      <c r="T483" s="3" t="str">
        <f t="shared" si="47"/>
        <v>Not Scored - Ineligible</v>
      </c>
    </row>
    <row r="484" spans="1:20" x14ac:dyDescent="0.25">
      <c r="A484" s="3" t="str">
        <f>RAW_DATA!A484</f>
        <v>APP483</v>
      </c>
      <c r="B484" s="3" t="b">
        <f>AND(RAW_DATA!B484&gt;=21,RAW_DATA!B484&lt;=60)</f>
        <v>1</v>
      </c>
      <c r="C484" s="3" t="b">
        <f>RAW_DATA!C484&gt;=300000</f>
        <v>1</v>
      </c>
      <c r="D484" s="3" t="b">
        <f>RAW_DATA!F484&gt;=650</f>
        <v>0</v>
      </c>
      <c r="E484" s="3" t="b">
        <f>RAW_DATA!E484&gt;=1</f>
        <v>1</v>
      </c>
      <c r="F484" s="3" t="b">
        <f>RAW_DATA!L484="No"</f>
        <v>1</v>
      </c>
      <c r="G484" s="3" t="b">
        <f t="shared" si="42"/>
        <v>0</v>
      </c>
      <c r="H484" s="3" t="str">
        <f t="shared" si="43"/>
        <v>INELIGIBLE</v>
      </c>
      <c r="I484" s="3" t="str">
        <f t="shared" si="44"/>
        <v>Credit Score</v>
      </c>
      <c r="K484" s="3" cm="1">
        <f t="array" ref="K4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4" s="5">
        <f>IF(RAW_DATA!C484&lt;300000,0,IF(RAW_DATA!C484&lt;600000,5,IF(RAW_DATA!C484&lt;1200000,15,IF(RAW_DATA!C484&lt;2000000,20,25))))</f>
        <v>5</v>
      </c>
      <c r="M484" s="3">
        <f>IF(RAW_DATA!E484&lt;1,0,IF(RAW_DATA!E484&lt;3,3,IF(RAW_DATA!E484&lt;5,5,IF(RAW_DATA!E484&lt;10,8,10))))</f>
        <v>3</v>
      </c>
      <c r="N484" s="3">
        <f>IF(RAW_DATA!F484&lt;650,0,IF(RAW_DATA!F484&lt;700,8,IF(RAW_DATA!F484&lt;750,15,IF(RAW_DATA!F484&lt;800,20,25))))</f>
        <v>0</v>
      </c>
      <c r="O484" s="3">
        <f>IF(RAW_DATA!G484=0,5,IF(RAW_DATA!G484=1,4,IF(RAW_DATA!G484=2,3,IF(RAW_DATA!G484=3,2,IF(RAW_DATA!G484=4,1,0)))))</f>
        <v>2</v>
      </c>
      <c r="P484" s="3">
        <f>IF(RAW_DATA!K484&gt;=RAW_DATA!H484,20,ROUND((RAW_DATA!K484/RAW_DATA!H484)*20,0))</f>
        <v>20</v>
      </c>
      <c r="Q484" s="3">
        <f>IF(RAW_DATA!L484="No",5,0)</f>
        <v>5</v>
      </c>
      <c r="R484" s="3">
        <f t="shared" si="45"/>
        <v>43</v>
      </c>
      <c r="S484" s="3">
        <f t="shared" si="46"/>
        <v>43</v>
      </c>
      <c r="T484" s="3" t="str">
        <f t="shared" si="47"/>
        <v>Not Scored - Ineligible</v>
      </c>
    </row>
    <row r="485" spans="1:20" x14ac:dyDescent="0.25">
      <c r="A485" s="3" t="str">
        <f>RAW_DATA!A485</f>
        <v>APP484</v>
      </c>
      <c r="B485" s="3" t="b">
        <f>AND(RAW_DATA!B485&gt;=21,RAW_DATA!B485&lt;=60)</f>
        <v>1</v>
      </c>
      <c r="C485" s="3" t="b">
        <f>RAW_DATA!C485&gt;=300000</f>
        <v>1</v>
      </c>
      <c r="D485" s="3" t="b">
        <f>RAW_DATA!F485&gt;=650</f>
        <v>1</v>
      </c>
      <c r="E485" s="3" t="b">
        <f>RAW_DATA!E485&gt;=1</f>
        <v>1</v>
      </c>
      <c r="F485" s="3" t="b">
        <f>RAW_DATA!L485="No"</f>
        <v>1</v>
      </c>
      <c r="G485" s="3" t="b">
        <f t="shared" si="42"/>
        <v>1</v>
      </c>
      <c r="H485" s="3" t="str">
        <f t="shared" si="43"/>
        <v>ELIGIBLE</v>
      </c>
      <c r="I485" s="3" t="str">
        <f t="shared" si="44"/>
        <v/>
      </c>
      <c r="K485" s="3" cm="1">
        <f t="array" ref="K4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85" s="5">
        <f>IF(RAW_DATA!C485&lt;300000,0,IF(RAW_DATA!C485&lt;600000,5,IF(RAW_DATA!C485&lt;1200000,15,IF(RAW_DATA!C485&lt;2000000,20,25))))</f>
        <v>5</v>
      </c>
      <c r="M485" s="3">
        <f>IF(RAW_DATA!E485&lt;1,0,IF(RAW_DATA!E485&lt;3,3,IF(RAW_DATA!E485&lt;5,5,IF(RAW_DATA!E485&lt;10,8,10))))</f>
        <v>10</v>
      </c>
      <c r="N485" s="3">
        <f>IF(RAW_DATA!F485&lt;650,0,IF(RAW_DATA!F485&lt;700,8,IF(RAW_DATA!F485&lt;750,15,IF(RAW_DATA!F485&lt;800,20,25))))</f>
        <v>15</v>
      </c>
      <c r="O485" s="3">
        <f>IF(RAW_DATA!G485=0,5,IF(RAW_DATA!G485=1,4,IF(RAW_DATA!G485=2,3,IF(RAW_DATA!G485=3,2,IF(RAW_DATA!G485=4,1,0)))))</f>
        <v>1</v>
      </c>
      <c r="P485" s="3">
        <f>IF(RAW_DATA!K485&gt;=RAW_DATA!H485,20,ROUND((RAW_DATA!K485/RAW_DATA!H485)*20,0))</f>
        <v>20</v>
      </c>
      <c r="Q485" s="3">
        <f>IF(RAW_DATA!L485="No",5,0)</f>
        <v>5</v>
      </c>
      <c r="R485" s="3">
        <f t="shared" si="45"/>
        <v>63</v>
      </c>
      <c r="S485" s="3">
        <f t="shared" si="46"/>
        <v>63</v>
      </c>
      <c r="T485" s="3" t="str">
        <f t="shared" si="47"/>
        <v>Moderate</v>
      </c>
    </row>
    <row r="486" spans="1:20" x14ac:dyDescent="0.25">
      <c r="A486" s="3" t="str">
        <f>RAW_DATA!A486</f>
        <v>APP485</v>
      </c>
      <c r="B486" s="3" t="b">
        <f>AND(RAW_DATA!B486&gt;=21,RAW_DATA!B486&lt;=60)</f>
        <v>1</v>
      </c>
      <c r="C486" s="3" t="b">
        <f>RAW_DATA!C486&gt;=300000</f>
        <v>1</v>
      </c>
      <c r="D486" s="3" t="b">
        <f>RAW_DATA!F486&gt;=650</f>
        <v>0</v>
      </c>
      <c r="E486" s="3" t="b">
        <f>RAW_DATA!E486&gt;=1</f>
        <v>1</v>
      </c>
      <c r="F486" s="3" t="b">
        <f>RAW_DATA!L486="No"</f>
        <v>1</v>
      </c>
      <c r="G486" s="3" t="b">
        <f t="shared" si="42"/>
        <v>0</v>
      </c>
      <c r="H486" s="3" t="str">
        <f t="shared" si="43"/>
        <v>INELIGIBLE</v>
      </c>
      <c r="I486" s="3" t="str">
        <f t="shared" si="44"/>
        <v>Credit Score</v>
      </c>
      <c r="K486" s="3" cm="1">
        <f t="array" ref="K4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86" s="5">
        <f>IF(RAW_DATA!C486&lt;300000,0,IF(RAW_DATA!C486&lt;600000,5,IF(RAW_DATA!C486&lt;1200000,15,IF(RAW_DATA!C486&lt;2000000,20,25))))</f>
        <v>15</v>
      </c>
      <c r="M486" s="3">
        <f>IF(RAW_DATA!E486&lt;1,0,IF(RAW_DATA!E486&lt;3,3,IF(RAW_DATA!E486&lt;5,5,IF(RAW_DATA!E486&lt;10,8,10))))</f>
        <v>10</v>
      </c>
      <c r="N486" s="3">
        <f>IF(RAW_DATA!F486&lt;650,0,IF(RAW_DATA!F486&lt;700,8,IF(RAW_DATA!F486&lt;750,15,IF(RAW_DATA!F486&lt;800,20,25))))</f>
        <v>0</v>
      </c>
      <c r="O486" s="3">
        <f>IF(RAW_DATA!G486=0,5,IF(RAW_DATA!G486=1,4,IF(RAW_DATA!G486=2,3,IF(RAW_DATA!G486=3,2,IF(RAW_DATA!G486=4,1,0)))))</f>
        <v>0</v>
      </c>
      <c r="P486" s="3">
        <f>IF(RAW_DATA!K486&gt;=RAW_DATA!H486,20,ROUND((RAW_DATA!K486/RAW_DATA!H486)*20,0))</f>
        <v>20</v>
      </c>
      <c r="Q486" s="3">
        <f>IF(RAW_DATA!L486="No",5,0)</f>
        <v>5</v>
      </c>
      <c r="R486" s="3">
        <f t="shared" si="45"/>
        <v>56</v>
      </c>
      <c r="S486" s="3">
        <f t="shared" si="46"/>
        <v>56</v>
      </c>
      <c r="T486" s="3" t="str">
        <f t="shared" si="47"/>
        <v>Not Scored - Ineligible</v>
      </c>
    </row>
    <row r="487" spans="1:20" x14ac:dyDescent="0.25">
      <c r="A487" s="3" t="str">
        <f>RAW_DATA!A487</f>
        <v>APP486</v>
      </c>
      <c r="B487" s="3" t="b">
        <f>AND(RAW_DATA!B487&gt;=21,RAW_DATA!B487&lt;=60)</f>
        <v>1</v>
      </c>
      <c r="C487" s="3" t="b">
        <f>RAW_DATA!C487&gt;=300000</f>
        <v>1</v>
      </c>
      <c r="D487" s="3" t="b">
        <f>RAW_DATA!F487&gt;=650</f>
        <v>0</v>
      </c>
      <c r="E487" s="3" t="b">
        <f>RAW_DATA!E487&gt;=1</f>
        <v>1</v>
      </c>
      <c r="F487" s="3" t="b">
        <f>RAW_DATA!L487="No"</f>
        <v>0</v>
      </c>
      <c r="G487" s="3" t="b">
        <f t="shared" si="42"/>
        <v>0</v>
      </c>
      <c r="H487" s="3" t="str">
        <f t="shared" si="43"/>
        <v>INELIGIBLE</v>
      </c>
      <c r="I487" s="3" t="str">
        <f t="shared" si="44"/>
        <v>Credit Score, Defaulter History</v>
      </c>
      <c r="K487" s="3" cm="1">
        <f t="array" ref="K4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7" s="5">
        <f>IF(RAW_DATA!C487&lt;300000,0,IF(RAW_DATA!C487&lt;600000,5,IF(RAW_DATA!C487&lt;1200000,15,IF(RAW_DATA!C487&lt;2000000,20,25))))</f>
        <v>15</v>
      </c>
      <c r="M487" s="3">
        <f>IF(RAW_DATA!E487&lt;1,0,IF(RAW_DATA!E487&lt;3,3,IF(RAW_DATA!E487&lt;5,5,IF(RAW_DATA!E487&lt;10,8,10))))</f>
        <v>10</v>
      </c>
      <c r="N487" s="3">
        <f>IF(RAW_DATA!F487&lt;650,0,IF(RAW_DATA!F487&lt;700,8,IF(RAW_DATA!F487&lt;750,15,IF(RAW_DATA!F487&lt;800,20,25))))</f>
        <v>0</v>
      </c>
      <c r="O487" s="3">
        <f>IF(RAW_DATA!G487=0,5,IF(RAW_DATA!G487=1,4,IF(RAW_DATA!G487=2,3,IF(RAW_DATA!G487=3,2,IF(RAW_DATA!G487=4,1,0)))))</f>
        <v>5</v>
      </c>
      <c r="P487" s="3">
        <f>IF(RAW_DATA!K487&gt;=RAW_DATA!H487,20,ROUND((RAW_DATA!K487/RAW_DATA!H487)*20,0))</f>
        <v>20</v>
      </c>
      <c r="Q487" s="3">
        <f>IF(RAW_DATA!L487="No",5,0)</f>
        <v>0</v>
      </c>
      <c r="R487" s="3">
        <f t="shared" si="45"/>
        <v>54</v>
      </c>
      <c r="S487" s="3">
        <f t="shared" si="46"/>
        <v>54</v>
      </c>
      <c r="T487" s="3" t="str">
        <f t="shared" si="47"/>
        <v>Not Scored - Ineligible</v>
      </c>
    </row>
    <row r="488" spans="1:20" x14ac:dyDescent="0.25">
      <c r="A488" s="3" t="str">
        <f>RAW_DATA!A488</f>
        <v>APP487</v>
      </c>
      <c r="B488" s="3" t="b">
        <f>AND(RAW_DATA!B488&gt;=21,RAW_DATA!B488&lt;=60)</f>
        <v>1</v>
      </c>
      <c r="C488" s="3" t="b">
        <f>RAW_DATA!C488&gt;=300000</f>
        <v>0</v>
      </c>
      <c r="D488" s="3" t="b">
        <f>RAW_DATA!F488&gt;=650</f>
        <v>0</v>
      </c>
      <c r="E488" s="3" t="b">
        <f>RAW_DATA!E488&gt;=1</f>
        <v>1</v>
      </c>
      <c r="F488" s="3" t="b">
        <f>RAW_DATA!L488="No"</f>
        <v>1</v>
      </c>
      <c r="G488" s="3" t="b">
        <f t="shared" si="42"/>
        <v>0</v>
      </c>
      <c r="H488" s="3" t="str">
        <f t="shared" si="43"/>
        <v>INELIGIBLE</v>
      </c>
      <c r="I488" s="3" t="str">
        <f t="shared" si="44"/>
        <v>Income, Credit Score</v>
      </c>
      <c r="K488" s="3" cm="1">
        <f t="array" ref="K4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88" s="5">
        <f>IF(RAW_DATA!C488&lt;300000,0,IF(RAW_DATA!C488&lt;600000,5,IF(RAW_DATA!C488&lt;1200000,15,IF(RAW_DATA!C488&lt;2000000,20,25))))</f>
        <v>0</v>
      </c>
      <c r="M488" s="3">
        <f>IF(RAW_DATA!E488&lt;1,0,IF(RAW_DATA!E488&lt;3,3,IF(RAW_DATA!E488&lt;5,5,IF(RAW_DATA!E488&lt;10,8,10))))</f>
        <v>10</v>
      </c>
      <c r="N488" s="3">
        <f>IF(RAW_DATA!F488&lt;650,0,IF(RAW_DATA!F488&lt;700,8,IF(RAW_DATA!F488&lt;750,15,IF(RAW_DATA!F488&lt;800,20,25))))</f>
        <v>0</v>
      </c>
      <c r="O488" s="3">
        <f>IF(RAW_DATA!G488=0,5,IF(RAW_DATA!G488=1,4,IF(RAW_DATA!G488=2,3,IF(RAW_DATA!G488=3,2,IF(RAW_DATA!G488=4,1,0)))))</f>
        <v>1</v>
      </c>
      <c r="P488" s="3">
        <f>IF(RAW_DATA!K488&gt;=RAW_DATA!H488,20,ROUND((RAW_DATA!K488/RAW_DATA!H488)*20,0))</f>
        <v>17</v>
      </c>
      <c r="Q488" s="3">
        <f>IF(RAW_DATA!L488="No",5,0)</f>
        <v>5</v>
      </c>
      <c r="R488" s="3">
        <f t="shared" si="45"/>
        <v>43</v>
      </c>
      <c r="S488" s="3">
        <f t="shared" si="46"/>
        <v>43</v>
      </c>
      <c r="T488" s="3" t="str">
        <f t="shared" si="47"/>
        <v>Not Scored - Ineligible</v>
      </c>
    </row>
    <row r="489" spans="1:20" x14ac:dyDescent="0.25">
      <c r="A489" s="3" t="str">
        <f>RAW_DATA!A489</f>
        <v>APP488</v>
      </c>
      <c r="B489" s="3" t="b">
        <f>AND(RAW_DATA!B489&gt;=21,RAW_DATA!B489&lt;=60)</f>
        <v>1</v>
      </c>
      <c r="C489" s="3" t="b">
        <f>RAW_DATA!C489&gt;=300000</f>
        <v>1</v>
      </c>
      <c r="D489" s="3" t="b">
        <f>RAW_DATA!F489&gt;=650</f>
        <v>0</v>
      </c>
      <c r="E489" s="3" t="b">
        <f>RAW_DATA!E489&gt;=1</f>
        <v>1</v>
      </c>
      <c r="F489" s="3" t="b">
        <f>RAW_DATA!L489="No"</f>
        <v>1</v>
      </c>
      <c r="G489" s="3" t="b">
        <f t="shared" si="42"/>
        <v>0</v>
      </c>
      <c r="H489" s="3" t="str">
        <f t="shared" si="43"/>
        <v>INELIGIBLE</v>
      </c>
      <c r="I489" s="3" t="str">
        <f t="shared" si="44"/>
        <v>Credit Score</v>
      </c>
      <c r="K489" s="3" cm="1">
        <f t="array" ref="K4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9" s="5">
        <f>IF(RAW_DATA!C489&lt;300000,0,IF(RAW_DATA!C489&lt;600000,5,IF(RAW_DATA!C489&lt;1200000,15,IF(RAW_DATA!C489&lt;2000000,20,25))))</f>
        <v>5</v>
      </c>
      <c r="M489" s="3">
        <f>IF(RAW_DATA!E489&lt;1,0,IF(RAW_DATA!E489&lt;3,3,IF(RAW_DATA!E489&lt;5,5,IF(RAW_DATA!E489&lt;10,8,10))))</f>
        <v>10</v>
      </c>
      <c r="N489" s="3">
        <f>IF(RAW_DATA!F489&lt;650,0,IF(RAW_DATA!F489&lt;700,8,IF(RAW_DATA!F489&lt;750,15,IF(RAW_DATA!F489&lt;800,20,25))))</f>
        <v>0</v>
      </c>
      <c r="O489" s="3">
        <f>IF(RAW_DATA!G489=0,5,IF(RAW_DATA!G489=1,4,IF(RAW_DATA!G489=2,3,IF(RAW_DATA!G489=3,2,IF(RAW_DATA!G489=4,1,0)))))</f>
        <v>2</v>
      </c>
      <c r="P489" s="3">
        <f>IF(RAW_DATA!K489&gt;=RAW_DATA!H489,20,ROUND((RAW_DATA!K489/RAW_DATA!H489)*20,0))</f>
        <v>20</v>
      </c>
      <c r="Q489" s="3">
        <f>IF(RAW_DATA!L489="No",5,0)</f>
        <v>5</v>
      </c>
      <c r="R489" s="3">
        <f t="shared" si="45"/>
        <v>50</v>
      </c>
      <c r="S489" s="3">
        <f t="shared" si="46"/>
        <v>50</v>
      </c>
      <c r="T489" s="3" t="str">
        <f t="shared" si="47"/>
        <v>Not Scored - Ineligible</v>
      </c>
    </row>
    <row r="490" spans="1:20" x14ac:dyDescent="0.25">
      <c r="A490" s="3" t="str">
        <f>RAW_DATA!A490</f>
        <v>APP489</v>
      </c>
      <c r="B490" s="3" t="b">
        <f>AND(RAW_DATA!B490&gt;=21,RAW_DATA!B490&lt;=60)</f>
        <v>1</v>
      </c>
      <c r="C490" s="3" t="b">
        <f>RAW_DATA!C490&gt;=300000</f>
        <v>1</v>
      </c>
      <c r="D490" s="3" t="b">
        <f>RAW_DATA!F490&gt;=650</f>
        <v>1</v>
      </c>
      <c r="E490" s="3" t="b">
        <f>RAW_DATA!E490&gt;=1</f>
        <v>1</v>
      </c>
      <c r="F490" s="3" t="b">
        <f>RAW_DATA!L490="No"</f>
        <v>0</v>
      </c>
      <c r="G490" s="3" t="b">
        <f t="shared" si="42"/>
        <v>0</v>
      </c>
      <c r="H490" s="3" t="str">
        <f t="shared" si="43"/>
        <v>INELIGIBLE</v>
      </c>
      <c r="I490" s="3" t="str">
        <f t="shared" si="44"/>
        <v>Defaulter History</v>
      </c>
      <c r="K490" s="3" cm="1">
        <f t="array" ref="K4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0" s="5">
        <f>IF(RAW_DATA!C490&lt;300000,0,IF(RAW_DATA!C490&lt;600000,5,IF(RAW_DATA!C490&lt;1200000,15,IF(RAW_DATA!C490&lt;2000000,20,25))))</f>
        <v>5</v>
      </c>
      <c r="M490" s="3">
        <f>IF(RAW_DATA!E490&lt;1,0,IF(RAW_DATA!E490&lt;3,3,IF(RAW_DATA!E490&lt;5,5,IF(RAW_DATA!E490&lt;10,8,10))))</f>
        <v>10</v>
      </c>
      <c r="N490" s="3">
        <f>IF(RAW_DATA!F490&lt;650,0,IF(RAW_DATA!F490&lt;700,8,IF(RAW_DATA!F490&lt;750,15,IF(RAW_DATA!F490&lt;800,20,25))))</f>
        <v>8</v>
      </c>
      <c r="O490" s="3">
        <f>IF(RAW_DATA!G490=0,5,IF(RAW_DATA!G490=1,4,IF(RAW_DATA!G490=2,3,IF(RAW_DATA!G490=3,2,IF(RAW_DATA!G490=4,1,0)))))</f>
        <v>4</v>
      </c>
      <c r="P490" s="3">
        <f>IF(RAW_DATA!K490&gt;=RAW_DATA!H490,20,ROUND((RAW_DATA!K490/RAW_DATA!H490)*20,0))</f>
        <v>20</v>
      </c>
      <c r="Q490" s="3">
        <f>IF(RAW_DATA!L490="No",5,0)</f>
        <v>0</v>
      </c>
      <c r="R490" s="3">
        <f t="shared" si="45"/>
        <v>57</v>
      </c>
      <c r="S490" s="3">
        <f t="shared" si="46"/>
        <v>57</v>
      </c>
      <c r="T490" s="3" t="str">
        <f t="shared" si="47"/>
        <v>Not Scored - Ineligible</v>
      </c>
    </row>
    <row r="491" spans="1:20" x14ac:dyDescent="0.25">
      <c r="A491" s="3" t="str">
        <f>RAW_DATA!A491</f>
        <v>APP490</v>
      </c>
      <c r="B491" s="3" t="b">
        <f>AND(RAW_DATA!B491&gt;=21,RAW_DATA!B491&lt;=60)</f>
        <v>1</v>
      </c>
      <c r="C491" s="3" t="b">
        <f>RAW_DATA!C491&gt;=300000</f>
        <v>1</v>
      </c>
      <c r="D491" s="3" t="b">
        <f>RAW_DATA!F491&gt;=650</f>
        <v>0</v>
      </c>
      <c r="E491" s="3" t="b">
        <f>RAW_DATA!E491&gt;=1</f>
        <v>1</v>
      </c>
      <c r="F491" s="3" t="b">
        <f>RAW_DATA!L491="No"</f>
        <v>0</v>
      </c>
      <c r="G491" s="3" t="b">
        <f t="shared" si="42"/>
        <v>0</v>
      </c>
      <c r="H491" s="3" t="str">
        <f t="shared" si="43"/>
        <v>INELIGIBLE</v>
      </c>
      <c r="I491" s="3" t="str">
        <f t="shared" si="44"/>
        <v>Credit Score, Defaulter History</v>
      </c>
      <c r="K491" s="3" cm="1">
        <f t="array" ref="K4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1" s="5">
        <f>IF(RAW_DATA!C491&lt;300000,0,IF(RAW_DATA!C491&lt;600000,5,IF(RAW_DATA!C491&lt;1200000,15,IF(RAW_DATA!C491&lt;2000000,20,25))))</f>
        <v>5</v>
      </c>
      <c r="M491" s="3">
        <f>IF(RAW_DATA!E491&lt;1,0,IF(RAW_DATA!E491&lt;3,3,IF(RAW_DATA!E491&lt;5,5,IF(RAW_DATA!E491&lt;10,8,10))))</f>
        <v>10</v>
      </c>
      <c r="N491" s="3">
        <f>IF(RAW_DATA!F491&lt;650,0,IF(RAW_DATA!F491&lt;700,8,IF(RAW_DATA!F491&lt;750,15,IF(RAW_DATA!F491&lt;800,20,25))))</f>
        <v>0</v>
      </c>
      <c r="O491" s="3">
        <f>IF(RAW_DATA!G491=0,5,IF(RAW_DATA!G491=1,4,IF(RAW_DATA!G491=2,3,IF(RAW_DATA!G491=3,2,IF(RAW_DATA!G491=4,1,0)))))</f>
        <v>4</v>
      </c>
      <c r="P491" s="3">
        <f>IF(RAW_DATA!K491&gt;=RAW_DATA!H491,20,ROUND((RAW_DATA!K491/RAW_DATA!H491)*20,0))</f>
        <v>20</v>
      </c>
      <c r="Q491" s="3">
        <f>IF(RAW_DATA!L491="No",5,0)</f>
        <v>0</v>
      </c>
      <c r="R491" s="3">
        <f t="shared" si="45"/>
        <v>46</v>
      </c>
      <c r="S491" s="3">
        <f t="shared" si="46"/>
        <v>46</v>
      </c>
      <c r="T491" s="3" t="str">
        <f t="shared" si="47"/>
        <v>Not Scored - Ineligible</v>
      </c>
    </row>
    <row r="492" spans="1:20" x14ac:dyDescent="0.25">
      <c r="A492" s="3" t="str">
        <f>RAW_DATA!A492</f>
        <v>APP491</v>
      </c>
      <c r="B492" s="3" t="b">
        <f>AND(RAW_DATA!B492&gt;=21,RAW_DATA!B492&lt;=60)</f>
        <v>1</v>
      </c>
      <c r="C492" s="3" t="b">
        <f>RAW_DATA!C492&gt;=300000</f>
        <v>1</v>
      </c>
      <c r="D492" s="3" t="b">
        <f>RAW_DATA!F492&gt;=650</f>
        <v>0</v>
      </c>
      <c r="E492" s="3" t="b">
        <f>RAW_DATA!E492&gt;=1</f>
        <v>1</v>
      </c>
      <c r="F492" s="3" t="b">
        <f>RAW_DATA!L492="No"</f>
        <v>1</v>
      </c>
      <c r="G492" s="3" t="b">
        <f t="shared" si="42"/>
        <v>0</v>
      </c>
      <c r="H492" s="3" t="str">
        <f t="shared" si="43"/>
        <v>INELIGIBLE</v>
      </c>
      <c r="I492" s="3" t="str">
        <f t="shared" si="44"/>
        <v>Credit Score</v>
      </c>
      <c r="K492" s="3" cm="1">
        <f t="array" ref="K4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2" s="5">
        <f>IF(RAW_DATA!C492&lt;300000,0,IF(RAW_DATA!C492&lt;600000,5,IF(RAW_DATA!C492&lt;1200000,15,IF(RAW_DATA!C492&lt;2000000,20,25))))</f>
        <v>25</v>
      </c>
      <c r="M492" s="3">
        <f>IF(RAW_DATA!E492&lt;1,0,IF(RAW_DATA!E492&lt;3,3,IF(RAW_DATA!E492&lt;5,5,IF(RAW_DATA!E492&lt;10,8,10))))</f>
        <v>10</v>
      </c>
      <c r="N492" s="3">
        <f>IF(RAW_DATA!F492&lt;650,0,IF(RAW_DATA!F492&lt;700,8,IF(RAW_DATA!F492&lt;750,15,IF(RAW_DATA!F492&lt;800,20,25))))</f>
        <v>0</v>
      </c>
      <c r="O492" s="3">
        <f>IF(RAW_DATA!G492=0,5,IF(RAW_DATA!G492=1,4,IF(RAW_DATA!G492=2,3,IF(RAW_DATA!G492=3,2,IF(RAW_DATA!G492=4,1,0)))))</f>
        <v>0</v>
      </c>
      <c r="P492" s="3">
        <f>IF(RAW_DATA!K492&gt;=RAW_DATA!H492,20,ROUND((RAW_DATA!K492/RAW_DATA!H492)*20,0))</f>
        <v>3</v>
      </c>
      <c r="Q492" s="3">
        <f>IF(RAW_DATA!L492="No",5,0)</f>
        <v>5</v>
      </c>
      <c r="R492" s="3">
        <f t="shared" si="45"/>
        <v>51</v>
      </c>
      <c r="S492" s="3">
        <f t="shared" si="46"/>
        <v>51</v>
      </c>
      <c r="T492" s="3" t="str">
        <f t="shared" si="47"/>
        <v>Not Scored - Ineligible</v>
      </c>
    </row>
    <row r="493" spans="1:20" x14ac:dyDescent="0.25">
      <c r="A493" s="3" t="str">
        <f>RAW_DATA!A493</f>
        <v>APP492</v>
      </c>
      <c r="B493" s="3" t="b">
        <f>AND(RAW_DATA!B493&gt;=21,RAW_DATA!B493&lt;=60)</f>
        <v>1</v>
      </c>
      <c r="C493" s="3" t="b">
        <f>RAW_DATA!C493&gt;=300000</f>
        <v>1</v>
      </c>
      <c r="D493" s="3" t="b">
        <f>RAW_DATA!F493&gt;=650</f>
        <v>0</v>
      </c>
      <c r="E493" s="3" t="b">
        <f>RAW_DATA!E493&gt;=1</f>
        <v>1</v>
      </c>
      <c r="F493" s="3" t="b">
        <f>RAW_DATA!L493="No"</f>
        <v>1</v>
      </c>
      <c r="G493" s="3" t="b">
        <f t="shared" si="42"/>
        <v>0</v>
      </c>
      <c r="H493" s="3" t="str">
        <f t="shared" si="43"/>
        <v>INELIGIBLE</v>
      </c>
      <c r="I493" s="3" t="str">
        <f t="shared" si="44"/>
        <v>Credit Score</v>
      </c>
      <c r="K493" s="3" cm="1">
        <f t="array" ref="K4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3" s="5">
        <f>IF(RAW_DATA!C493&lt;300000,0,IF(RAW_DATA!C493&lt;600000,5,IF(RAW_DATA!C493&lt;1200000,15,IF(RAW_DATA!C493&lt;2000000,20,25))))</f>
        <v>25</v>
      </c>
      <c r="M493" s="3">
        <f>IF(RAW_DATA!E493&lt;1,0,IF(RAW_DATA!E493&lt;3,3,IF(RAW_DATA!E493&lt;5,5,IF(RAW_DATA!E493&lt;10,8,10))))</f>
        <v>3</v>
      </c>
      <c r="N493" s="3">
        <f>IF(RAW_DATA!F493&lt;650,0,IF(RAW_DATA!F493&lt;700,8,IF(RAW_DATA!F493&lt;750,15,IF(RAW_DATA!F493&lt;800,20,25))))</f>
        <v>0</v>
      </c>
      <c r="O493" s="3">
        <f>IF(RAW_DATA!G493=0,5,IF(RAW_DATA!G493=1,4,IF(RAW_DATA!G493=2,3,IF(RAW_DATA!G493=3,2,IF(RAW_DATA!G493=4,1,0)))))</f>
        <v>5</v>
      </c>
      <c r="P493" s="3">
        <f>IF(RAW_DATA!K493&gt;=RAW_DATA!H493,20,ROUND((RAW_DATA!K493/RAW_DATA!H493)*20,0))</f>
        <v>20</v>
      </c>
      <c r="Q493" s="3">
        <f>IF(RAW_DATA!L493="No",5,0)</f>
        <v>5</v>
      </c>
      <c r="R493" s="3">
        <f t="shared" si="45"/>
        <v>66</v>
      </c>
      <c r="S493" s="3">
        <f t="shared" si="46"/>
        <v>66</v>
      </c>
      <c r="T493" s="3" t="str">
        <f t="shared" si="47"/>
        <v>Not Scored - Ineligible</v>
      </c>
    </row>
    <row r="494" spans="1:20" x14ac:dyDescent="0.25">
      <c r="A494" s="3" t="str">
        <f>RAW_DATA!A494</f>
        <v>APP493</v>
      </c>
      <c r="B494" s="3" t="b">
        <f>AND(RAW_DATA!B494&gt;=21,RAW_DATA!B494&lt;=60)</f>
        <v>1</v>
      </c>
      <c r="C494" s="3" t="b">
        <f>RAW_DATA!C494&gt;=300000</f>
        <v>1</v>
      </c>
      <c r="D494" s="3" t="b">
        <f>RAW_DATA!F494&gt;=650</f>
        <v>1</v>
      </c>
      <c r="E494" s="3" t="b">
        <f>RAW_DATA!E494&gt;=1</f>
        <v>1</v>
      </c>
      <c r="F494" s="3" t="b">
        <f>RAW_DATA!L494="No"</f>
        <v>1</v>
      </c>
      <c r="G494" s="3" t="b">
        <f t="shared" si="42"/>
        <v>1</v>
      </c>
      <c r="H494" s="3" t="str">
        <f t="shared" si="43"/>
        <v>ELIGIBLE</v>
      </c>
      <c r="I494" s="3" t="str">
        <f t="shared" si="44"/>
        <v/>
      </c>
      <c r="K494" s="3" cm="1">
        <f t="array" ref="K4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4" s="5">
        <f>IF(RAW_DATA!C494&lt;300000,0,IF(RAW_DATA!C494&lt;600000,5,IF(RAW_DATA!C494&lt;1200000,15,IF(RAW_DATA!C494&lt;2000000,20,25))))</f>
        <v>25</v>
      </c>
      <c r="M494" s="3">
        <f>IF(RAW_DATA!E494&lt;1,0,IF(RAW_DATA!E494&lt;3,3,IF(RAW_DATA!E494&lt;5,5,IF(RAW_DATA!E494&lt;10,8,10))))</f>
        <v>8</v>
      </c>
      <c r="N494" s="3">
        <f>IF(RAW_DATA!F494&lt;650,0,IF(RAW_DATA!F494&lt;700,8,IF(RAW_DATA!F494&lt;750,15,IF(RAW_DATA!F494&lt;800,20,25))))</f>
        <v>20</v>
      </c>
      <c r="O494" s="3">
        <f>IF(RAW_DATA!G494=0,5,IF(RAW_DATA!G494=1,4,IF(RAW_DATA!G494=2,3,IF(RAW_DATA!G494=3,2,IF(RAW_DATA!G494=4,1,0)))))</f>
        <v>5</v>
      </c>
      <c r="P494" s="3">
        <f>IF(RAW_DATA!K494&gt;=RAW_DATA!H494,20,ROUND((RAW_DATA!K494/RAW_DATA!H494)*20,0))</f>
        <v>20</v>
      </c>
      <c r="Q494" s="3">
        <f>IF(RAW_DATA!L494="No",5,0)</f>
        <v>5</v>
      </c>
      <c r="R494" s="3">
        <f t="shared" si="45"/>
        <v>90</v>
      </c>
      <c r="S494" s="3">
        <f t="shared" si="46"/>
        <v>90</v>
      </c>
      <c r="T494" s="3" t="str">
        <f t="shared" si="47"/>
        <v>Strong</v>
      </c>
    </row>
    <row r="495" spans="1:20" x14ac:dyDescent="0.25">
      <c r="A495" s="3" t="str">
        <f>RAW_DATA!A495</f>
        <v>APP494</v>
      </c>
      <c r="B495" s="3" t="b">
        <f>AND(RAW_DATA!B495&gt;=21,RAW_DATA!B495&lt;=60)</f>
        <v>1</v>
      </c>
      <c r="C495" s="3" t="b">
        <f>RAW_DATA!C495&gt;=300000</f>
        <v>1</v>
      </c>
      <c r="D495" s="3" t="b">
        <f>RAW_DATA!F495&gt;=650</f>
        <v>0</v>
      </c>
      <c r="E495" s="3" t="b">
        <f>RAW_DATA!E495&gt;=1</f>
        <v>1</v>
      </c>
      <c r="F495" s="3" t="b">
        <f>RAW_DATA!L495="No"</f>
        <v>1</v>
      </c>
      <c r="G495" s="3" t="b">
        <f t="shared" si="42"/>
        <v>0</v>
      </c>
      <c r="H495" s="3" t="str">
        <f t="shared" si="43"/>
        <v>INELIGIBLE</v>
      </c>
      <c r="I495" s="3" t="str">
        <f t="shared" si="44"/>
        <v>Credit Score</v>
      </c>
      <c r="K495" s="3" cm="1">
        <f t="array" ref="K4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5" s="5">
        <f>IF(RAW_DATA!C495&lt;300000,0,IF(RAW_DATA!C495&lt;600000,5,IF(RAW_DATA!C495&lt;1200000,15,IF(RAW_DATA!C495&lt;2000000,20,25))))</f>
        <v>15</v>
      </c>
      <c r="M495" s="3">
        <f>IF(RAW_DATA!E495&lt;1,0,IF(RAW_DATA!E495&lt;3,3,IF(RAW_DATA!E495&lt;5,5,IF(RAW_DATA!E495&lt;10,8,10))))</f>
        <v>10</v>
      </c>
      <c r="N495" s="3">
        <f>IF(RAW_DATA!F495&lt;650,0,IF(RAW_DATA!F495&lt;700,8,IF(RAW_DATA!F495&lt;750,15,IF(RAW_DATA!F495&lt;800,20,25))))</f>
        <v>0</v>
      </c>
      <c r="O495" s="3">
        <f>IF(RAW_DATA!G495=0,5,IF(RAW_DATA!G495=1,4,IF(RAW_DATA!G495=2,3,IF(RAW_DATA!G495=3,2,IF(RAW_DATA!G495=4,1,0)))))</f>
        <v>3</v>
      </c>
      <c r="P495" s="3">
        <f>IF(RAW_DATA!K495&gt;=RAW_DATA!H495,20,ROUND((RAW_DATA!K495/RAW_DATA!H495)*20,0))</f>
        <v>20</v>
      </c>
      <c r="Q495" s="3">
        <f>IF(RAW_DATA!L495="No",5,0)</f>
        <v>5</v>
      </c>
      <c r="R495" s="3">
        <f t="shared" si="45"/>
        <v>63</v>
      </c>
      <c r="S495" s="3">
        <f t="shared" si="46"/>
        <v>63</v>
      </c>
      <c r="T495" s="3" t="str">
        <f t="shared" si="47"/>
        <v>Not Scored - Ineligible</v>
      </c>
    </row>
    <row r="496" spans="1:20" x14ac:dyDescent="0.25">
      <c r="A496" s="3" t="str">
        <f>RAW_DATA!A496</f>
        <v>APP495</v>
      </c>
      <c r="B496" s="3" t="b">
        <f>AND(RAW_DATA!B496&gt;=21,RAW_DATA!B496&lt;=60)</f>
        <v>1</v>
      </c>
      <c r="C496" s="3" t="b">
        <f>RAW_DATA!C496&gt;=300000</f>
        <v>1</v>
      </c>
      <c r="D496" s="3" t="b">
        <f>RAW_DATA!F496&gt;=650</f>
        <v>1</v>
      </c>
      <c r="E496" s="3" t="b">
        <f>RAW_DATA!E496&gt;=1</f>
        <v>1</v>
      </c>
      <c r="F496" s="3" t="b">
        <f>RAW_DATA!L496="No"</f>
        <v>1</v>
      </c>
      <c r="G496" s="3" t="b">
        <f t="shared" si="42"/>
        <v>1</v>
      </c>
      <c r="H496" s="3" t="str">
        <f t="shared" si="43"/>
        <v>ELIGIBLE</v>
      </c>
      <c r="I496" s="3" t="str">
        <f t="shared" si="44"/>
        <v/>
      </c>
      <c r="K496" s="3" cm="1">
        <f t="array" ref="K4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6" s="5">
        <f>IF(RAW_DATA!C496&lt;300000,0,IF(RAW_DATA!C496&lt;600000,5,IF(RAW_DATA!C496&lt;1200000,15,IF(RAW_DATA!C496&lt;2000000,20,25))))</f>
        <v>5</v>
      </c>
      <c r="M496" s="3">
        <f>IF(RAW_DATA!E496&lt;1,0,IF(RAW_DATA!E496&lt;3,3,IF(RAW_DATA!E496&lt;5,5,IF(RAW_DATA!E496&lt;10,8,10))))</f>
        <v>5</v>
      </c>
      <c r="N496" s="3">
        <f>IF(RAW_DATA!F496&lt;650,0,IF(RAW_DATA!F496&lt;700,8,IF(RAW_DATA!F496&lt;750,15,IF(RAW_DATA!F496&lt;800,20,25))))</f>
        <v>25</v>
      </c>
      <c r="O496" s="3">
        <f>IF(RAW_DATA!G496=0,5,IF(RAW_DATA!G496=1,4,IF(RAW_DATA!G496=2,3,IF(RAW_DATA!G496=3,2,IF(RAW_DATA!G496=4,1,0)))))</f>
        <v>1</v>
      </c>
      <c r="P496" s="3">
        <f>IF(RAW_DATA!K496&gt;=RAW_DATA!H496,20,ROUND((RAW_DATA!K496/RAW_DATA!H496)*20,0))</f>
        <v>12</v>
      </c>
      <c r="Q496" s="3">
        <f>IF(RAW_DATA!L496="No",5,0)</f>
        <v>5</v>
      </c>
      <c r="R496" s="3">
        <f t="shared" si="45"/>
        <v>57</v>
      </c>
      <c r="S496" s="3">
        <f t="shared" si="46"/>
        <v>57</v>
      </c>
      <c r="T496" s="3" t="str">
        <f t="shared" si="47"/>
        <v>Moderate</v>
      </c>
    </row>
    <row r="497" spans="1:20" x14ac:dyDescent="0.25">
      <c r="A497" s="3" t="str">
        <f>RAW_DATA!A497</f>
        <v>APP496</v>
      </c>
      <c r="B497" s="3" t="b">
        <f>AND(RAW_DATA!B497&gt;=21,RAW_DATA!B497&lt;=60)</f>
        <v>1</v>
      </c>
      <c r="C497" s="3" t="b">
        <f>RAW_DATA!C497&gt;=300000</f>
        <v>1</v>
      </c>
      <c r="D497" s="3" t="b">
        <f>RAW_DATA!F497&gt;=650</f>
        <v>1</v>
      </c>
      <c r="E497" s="3" t="b">
        <f>RAW_DATA!E497&gt;=1</f>
        <v>1</v>
      </c>
      <c r="F497" s="3" t="b">
        <f>RAW_DATA!L497="No"</f>
        <v>1</v>
      </c>
      <c r="G497" s="3" t="b">
        <f t="shared" si="42"/>
        <v>1</v>
      </c>
      <c r="H497" s="3" t="str">
        <f t="shared" si="43"/>
        <v>ELIGIBLE</v>
      </c>
      <c r="I497" s="3" t="str">
        <f t="shared" si="44"/>
        <v/>
      </c>
      <c r="K497" s="3" cm="1">
        <f t="array" ref="K4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7" s="5">
        <f>IF(RAW_DATA!C497&lt;300000,0,IF(RAW_DATA!C497&lt;600000,5,IF(RAW_DATA!C497&lt;1200000,15,IF(RAW_DATA!C497&lt;2000000,20,25))))</f>
        <v>20</v>
      </c>
      <c r="M497" s="3">
        <f>IF(RAW_DATA!E497&lt;1,0,IF(RAW_DATA!E497&lt;3,3,IF(RAW_DATA!E497&lt;5,5,IF(RAW_DATA!E497&lt;10,8,10))))</f>
        <v>10</v>
      </c>
      <c r="N497" s="3">
        <f>IF(RAW_DATA!F497&lt;650,0,IF(RAW_DATA!F497&lt;700,8,IF(RAW_DATA!F497&lt;750,15,IF(RAW_DATA!F497&lt;800,20,25))))</f>
        <v>15</v>
      </c>
      <c r="O497" s="3">
        <f>IF(RAW_DATA!G497=0,5,IF(RAW_DATA!G497=1,4,IF(RAW_DATA!G497=2,3,IF(RAW_DATA!G497=3,2,IF(RAW_DATA!G497=4,1,0)))))</f>
        <v>0</v>
      </c>
      <c r="P497" s="3">
        <f>IF(RAW_DATA!K497&gt;=RAW_DATA!H497,20,ROUND((RAW_DATA!K497/RAW_DATA!H497)*20,0))</f>
        <v>16</v>
      </c>
      <c r="Q497" s="3">
        <f>IF(RAW_DATA!L497="No",5,0)</f>
        <v>5</v>
      </c>
      <c r="R497" s="3">
        <f t="shared" si="45"/>
        <v>74</v>
      </c>
      <c r="S497" s="3">
        <f t="shared" si="46"/>
        <v>74</v>
      </c>
      <c r="T497" s="3" t="str">
        <f t="shared" si="47"/>
        <v>Strong</v>
      </c>
    </row>
    <row r="498" spans="1:20" x14ac:dyDescent="0.25">
      <c r="A498" s="3" t="str">
        <f>RAW_DATA!A498</f>
        <v>APP497</v>
      </c>
      <c r="B498" s="3" t="b">
        <f>AND(RAW_DATA!B498&gt;=21,RAW_DATA!B498&lt;=60)</f>
        <v>1</v>
      </c>
      <c r="C498" s="3" t="b">
        <f>RAW_DATA!C498&gt;=300000</f>
        <v>1</v>
      </c>
      <c r="D498" s="3" t="b">
        <f>RAW_DATA!F498&gt;=650</f>
        <v>1</v>
      </c>
      <c r="E498" s="3" t="b">
        <f>RAW_DATA!E498&gt;=1</f>
        <v>1</v>
      </c>
      <c r="F498" s="3" t="b">
        <f>RAW_DATA!L498="No"</f>
        <v>1</v>
      </c>
      <c r="G498" s="3" t="b">
        <f t="shared" si="42"/>
        <v>1</v>
      </c>
      <c r="H498" s="3" t="str">
        <f t="shared" si="43"/>
        <v>ELIGIBLE</v>
      </c>
      <c r="I498" s="3" t="str">
        <f t="shared" si="44"/>
        <v/>
      </c>
      <c r="K498" s="3" cm="1">
        <f t="array" ref="K4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8" s="5">
        <f>IF(RAW_DATA!C498&lt;300000,0,IF(RAW_DATA!C498&lt;600000,5,IF(RAW_DATA!C498&lt;1200000,15,IF(RAW_DATA!C498&lt;2000000,20,25))))</f>
        <v>15</v>
      </c>
      <c r="M498" s="3">
        <f>IF(RAW_DATA!E498&lt;1,0,IF(RAW_DATA!E498&lt;3,3,IF(RAW_DATA!E498&lt;5,5,IF(RAW_DATA!E498&lt;10,8,10))))</f>
        <v>5</v>
      </c>
      <c r="N498" s="3">
        <f>IF(RAW_DATA!F498&lt;650,0,IF(RAW_DATA!F498&lt;700,8,IF(RAW_DATA!F498&lt;750,15,IF(RAW_DATA!F498&lt;800,20,25))))</f>
        <v>25</v>
      </c>
      <c r="O498" s="3">
        <f>IF(RAW_DATA!G498=0,5,IF(RAW_DATA!G498=1,4,IF(RAW_DATA!G498=2,3,IF(RAW_DATA!G498=3,2,IF(RAW_DATA!G498=4,1,0)))))</f>
        <v>3</v>
      </c>
      <c r="P498" s="3">
        <f>IF(RAW_DATA!K498&gt;=RAW_DATA!H498,20,ROUND((RAW_DATA!K498/RAW_DATA!H498)*20,0))</f>
        <v>16</v>
      </c>
      <c r="Q498" s="3">
        <f>IF(RAW_DATA!L498="No",5,0)</f>
        <v>5</v>
      </c>
      <c r="R498" s="3">
        <f t="shared" si="45"/>
        <v>76</v>
      </c>
      <c r="S498" s="3">
        <f t="shared" si="46"/>
        <v>76</v>
      </c>
      <c r="T498" s="3" t="str">
        <f t="shared" si="47"/>
        <v>Strong</v>
      </c>
    </row>
    <row r="499" spans="1:20" x14ac:dyDescent="0.25">
      <c r="A499" s="3" t="str">
        <f>RAW_DATA!A499</f>
        <v>APP498</v>
      </c>
      <c r="B499" s="3" t="b">
        <f>AND(RAW_DATA!B499&gt;=21,RAW_DATA!B499&lt;=60)</f>
        <v>1</v>
      </c>
      <c r="C499" s="3" t="b">
        <f>RAW_DATA!C499&gt;=300000</f>
        <v>1</v>
      </c>
      <c r="D499" s="3" t="b">
        <f>RAW_DATA!F499&gt;=650</f>
        <v>0</v>
      </c>
      <c r="E499" s="3" t="b">
        <f>RAW_DATA!E499&gt;=1</f>
        <v>1</v>
      </c>
      <c r="F499" s="3" t="b">
        <f>RAW_DATA!L499="No"</f>
        <v>1</v>
      </c>
      <c r="G499" s="3" t="b">
        <f t="shared" si="42"/>
        <v>0</v>
      </c>
      <c r="H499" s="3" t="str">
        <f t="shared" si="43"/>
        <v>INELIGIBLE</v>
      </c>
      <c r="I499" s="3" t="str">
        <f t="shared" si="44"/>
        <v>Credit Score</v>
      </c>
      <c r="K499" s="3" cm="1">
        <f t="array" ref="K4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9" s="5">
        <f>IF(RAW_DATA!C499&lt;300000,0,IF(RAW_DATA!C499&lt;600000,5,IF(RAW_DATA!C499&lt;1200000,15,IF(RAW_DATA!C499&lt;2000000,20,25))))</f>
        <v>25</v>
      </c>
      <c r="M499" s="3">
        <f>IF(RAW_DATA!E499&lt;1,0,IF(RAW_DATA!E499&lt;3,3,IF(RAW_DATA!E499&lt;5,5,IF(RAW_DATA!E499&lt;10,8,10))))</f>
        <v>10</v>
      </c>
      <c r="N499" s="3">
        <f>IF(RAW_DATA!F499&lt;650,0,IF(RAW_DATA!F499&lt;700,8,IF(RAW_DATA!F499&lt;750,15,IF(RAW_DATA!F499&lt;800,20,25))))</f>
        <v>0</v>
      </c>
      <c r="O499" s="3">
        <f>IF(RAW_DATA!G499=0,5,IF(RAW_DATA!G499=1,4,IF(RAW_DATA!G499=2,3,IF(RAW_DATA!G499=3,2,IF(RAW_DATA!G499=4,1,0)))))</f>
        <v>3</v>
      </c>
      <c r="P499" s="3">
        <f>IF(RAW_DATA!K499&gt;=RAW_DATA!H499,20,ROUND((RAW_DATA!K499/RAW_DATA!H499)*20,0))</f>
        <v>20</v>
      </c>
      <c r="Q499" s="3">
        <f>IF(RAW_DATA!L499="No",5,0)</f>
        <v>5</v>
      </c>
      <c r="R499" s="3">
        <f t="shared" si="45"/>
        <v>67</v>
      </c>
      <c r="S499" s="3">
        <f t="shared" si="46"/>
        <v>67</v>
      </c>
      <c r="T499" s="3" t="str">
        <f t="shared" si="47"/>
        <v>Not Scored - Ineligible</v>
      </c>
    </row>
    <row r="500" spans="1:20" x14ac:dyDescent="0.25">
      <c r="A500" s="3" t="str">
        <f>RAW_DATA!A500</f>
        <v>APP499</v>
      </c>
      <c r="B500" s="3" t="b">
        <f>AND(RAW_DATA!B500&gt;=21,RAW_DATA!B500&lt;=60)</f>
        <v>1</v>
      </c>
      <c r="C500" s="3" t="b">
        <f>RAW_DATA!C500&gt;=300000</f>
        <v>1</v>
      </c>
      <c r="D500" s="3" t="b">
        <f>RAW_DATA!F500&gt;=650</f>
        <v>1</v>
      </c>
      <c r="E500" s="3" t="b">
        <f>RAW_DATA!E500&gt;=1</f>
        <v>1</v>
      </c>
      <c r="F500" s="3" t="b">
        <f>RAW_DATA!L500="No"</f>
        <v>1</v>
      </c>
      <c r="G500" s="3" t="b">
        <f t="shared" si="42"/>
        <v>1</v>
      </c>
      <c r="H500" s="3" t="str">
        <f t="shared" si="43"/>
        <v>ELIGIBLE</v>
      </c>
      <c r="I500" s="3" t="str">
        <f t="shared" si="44"/>
        <v/>
      </c>
      <c r="K500" s="3" cm="1">
        <f t="array" ref="K5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0" s="5">
        <f>IF(RAW_DATA!C500&lt;300000,0,IF(RAW_DATA!C500&lt;600000,5,IF(RAW_DATA!C500&lt;1200000,15,IF(RAW_DATA!C500&lt;2000000,20,25))))</f>
        <v>25</v>
      </c>
      <c r="M500" s="3">
        <f>IF(RAW_DATA!E500&lt;1,0,IF(RAW_DATA!E500&lt;3,3,IF(RAW_DATA!E500&lt;5,5,IF(RAW_DATA!E500&lt;10,8,10))))</f>
        <v>10</v>
      </c>
      <c r="N500" s="3">
        <f>IF(RAW_DATA!F500&lt;650,0,IF(RAW_DATA!F500&lt;700,8,IF(RAW_DATA!F500&lt;750,15,IF(RAW_DATA!F500&lt;800,20,25))))</f>
        <v>20</v>
      </c>
      <c r="O500" s="3">
        <f>IF(RAW_DATA!G500=0,5,IF(RAW_DATA!G500=1,4,IF(RAW_DATA!G500=2,3,IF(RAW_DATA!G500=3,2,IF(RAW_DATA!G500=4,1,0)))))</f>
        <v>0</v>
      </c>
      <c r="P500" s="3">
        <f>IF(RAW_DATA!K500&gt;=RAW_DATA!H500,20,ROUND((RAW_DATA!K500/RAW_DATA!H500)*20,0))</f>
        <v>20</v>
      </c>
      <c r="Q500" s="3">
        <f>IF(RAW_DATA!L500="No",5,0)</f>
        <v>5</v>
      </c>
      <c r="R500" s="3">
        <f t="shared" si="45"/>
        <v>90</v>
      </c>
      <c r="S500" s="3">
        <f t="shared" si="46"/>
        <v>90</v>
      </c>
      <c r="T500" s="3" t="str">
        <f t="shared" si="47"/>
        <v>Strong</v>
      </c>
    </row>
    <row r="501" spans="1:20" x14ac:dyDescent="0.25">
      <c r="A501" s="3" t="str">
        <f>RAW_DATA!A501</f>
        <v>APP500</v>
      </c>
      <c r="B501" s="3" t="b">
        <f>AND(RAW_DATA!B501&gt;=21,RAW_DATA!B501&lt;=60)</f>
        <v>1</v>
      </c>
      <c r="C501" s="3" t="b">
        <f>RAW_DATA!C501&gt;=300000</f>
        <v>1</v>
      </c>
      <c r="D501" s="3" t="b">
        <f>RAW_DATA!F501&gt;=650</f>
        <v>0</v>
      </c>
      <c r="E501" s="3" t="b">
        <f>RAW_DATA!E501&gt;=1</f>
        <v>1</v>
      </c>
      <c r="F501" s="3" t="b">
        <f>RAW_DATA!L501="No"</f>
        <v>1</v>
      </c>
      <c r="G501" s="3" t="b">
        <f t="shared" si="42"/>
        <v>0</v>
      </c>
      <c r="H501" s="3" t="str">
        <f t="shared" si="43"/>
        <v>INELIGIBLE</v>
      </c>
      <c r="I501" s="3" t="str">
        <f t="shared" si="44"/>
        <v>Credit Score</v>
      </c>
      <c r="K501" s="3" cm="1">
        <f t="array" ref="K5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1" s="5">
        <f>IF(RAW_DATA!C501&lt;300000,0,IF(RAW_DATA!C501&lt;600000,5,IF(RAW_DATA!C501&lt;1200000,15,IF(RAW_DATA!C501&lt;2000000,20,25))))</f>
        <v>25</v>
      </c>
      <c r="M501" s="3">
        <f>IF(RAW_DATA!E501&lt;1,0,IF(RAW_DATA!E501&lt;3,3,IF(RAW_DATA!E501&lt;5,5,IF(RAW_DATA!E501&lt;10,8,10))))</f>
        <v>10</v>
      </c>
      <c r="N501" s="3">
        <f>IF(RAW_DATA!F501&lt;650,0,IF(RAW_DATA!F501&lt;700,8,IF(RAW_DATA!F501&lt;750,15,IF(RAW_DATA!F501&lt;800,20,25))))</f>
        <v>0</v>
      </c>
      <c r="O501" s="3">
        <f>IF(RAW_DATA!G501=0,5,IF(RAW_DATA!G501=1,4,IF(RAW_DATA!G501=2,3,IF(RAW_DATA!G501=3,2,IF(RAW_DATA!G501=4,1,0)))))</f>
        <v>4</v>
      </c>
      <c r="P501" s="3">
        <f>IF(RAW_DATA!K501&gt;=RAW_DATA!H501,20,ROUND((RAW_DATA!K501/RAW_DATA!H501)*20,0))</f>
        <v>20</v>
      </c>
      <c r="Q501" s="3">
        <f>IF(RAW_DATA!L501="No",5,0)</f>
        <v>5</v>
      </c>
      <c r="R501" s="3">
        <f t="shared" si="45"/>
        <v>74</v>
      </c>
      <c r="S501" s="3">
        <f t="shared" si="46"/>
        <v>74</v>
      </c>
      <c r="T501" s="3" t="str">
        <f t="shared" si="47"/>
        <v>Not Scored - Ineligible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9BF32-D968-4A3B-9D4B-32583CB88269}">
  <sheetPr>
    <tabColor theme="9" tint="-0.249977111117893"/>
  </sheetPr>
  <dimension ref="A1:F501"/>
  <sheetViews>
    <sheetView tabSelected="1" topLeftCell="D1" workbookViewId="0">
      <selection activeCell="H21" sqref="H21"/>
    </sheetView>
  </sheetViews>
  <sheetFormatPr defaultColWidth="24.42578125" defaultRowHeight="15" x14ac:dyDescent="0.25"/>
  <sheetData>
    <row r="1" spans="1:6" ht="24.95" customHeight="1" x14ac:dyDescent="0.25">
      <c r="A1" s="1" t="s">
        <v>0</v>
      </c>
      <c r="B1" s="1" t="s">
        <v>35</v>
      </c>
      <c r="C1" s="1" t="s">
        <v>32</v>
      </c>
      <c r="D1" s="1" t="s">
        <v>36</v>
      </c>
      <c r="E1" s="1" t="s">
        <v>37</v>
      </c>
      <c r="F1" s="1" t="s">
        <v>38</v>
      </c>
    </row>
    <row r="2" spans="1:6" x14ac:dyDescent="0.25">
      <c r="A2" t="str">
        <f>SCORING_ENGINE!A2</f>
        <v>APP001</v>
      </c>
      <c r="B2" t="str">
        <f>SCORING_ENGINE!H2</f>
        <v>INELIGIBLE</v>
      </c>
      <c r="C2">
        <f>SCORING_ENGINE!S2</f>
        <v>55</v>
      </c>
      <c r="D2" t="str" cm="1">
        <f t="array" ref="D2">CLASSIFY_CREDIT(B2,C2)</f>
        <v>Reject</v>
      </c>
      <c r="E2" t="str">
        <f>IF(B2="INELIGIBLE","N/A",IF(C2&gt;=70,"High",IF(C2&gt;=50,"Medium","Low")))</f>
        <v>N/A</v>
      </c>
      <c r="F2" t="str">
        <f>D2</f>
        <v>Reject</v>
      </c>
    </row>
    <row r="3" spans="1:6" x14ac:dyDescent="0.25">
      <c r="A3" t="str">
        <f>SCORING_ENGINE!A3</f>
        <v>APP002</v>
      </c>
      <c r="B3" t="str">
        <f>SCORING_ENGINE!H3</f>
        <v>INELIGIBLE</v>
      </c>
      <c r="C3">
        <f>SCORING_ENGINE!S3</f>
        <v>66</v>
      </c>
      <c r="D3" t="str" cm="1">
        <f t="array" ref="D3">CLASSIFY_CREDIT(B3,C3)</f>
        <v>Reject</v>
      </c>
      <c r="E3" t="str">
        <f t="shared" ref="E3:E66" si="0">IF(B3="INELIGIBLE","N/A",IF(C3&gt;=70,"High",IF(C3&gt;=50,"Medium","Low")))</f>
        <v>N/A</v>
      </c>
      <c r="F3" t="str">
        <f t="shared" ref="F3:F66" si="1">D3</f>
        <v>Reject</v>
      </c>
    </row>
    <row r="4" spans="1:6" x14ac:dyDescent="0.25">
      <c r="A4" t="str">
        <f>SCORING_ENGINE!A4</f>
        <v>APP003</v>
      </c>
      <c r="B4" t="str">
        <f>SCORING_ENGINE!H4</f>
        <v>INELIGIBLE</v>
      </c>
      <c r="C4">
        <f>SCORING_ENGINE!S4</f>
        <v>52</v>
      </c>
      <c r="D4" t="str" cm="1">
        <f t="array" ref="D4">CLASSIFY_CREDIT(B4,C4)</f>
        <v>Reject</v>
      </c>
      <c r="E4" t="str">
        <f t="shared" si="0"/>
        <v>N/A</v>
      </c>
      <c r="F4" t="str">
        <f t="shared" si="1"/>
        <v>Reject</v>
      </c>
    </row>
    <row r="5" spans="1:6" x14ac:dyDescent="0.25">
      <c r="A5" t="str">
        <f>SCORING_ENGINE!A5</f>
        <v>APP004</v>
      </c>
      <c r="B5" t="str">
        <f>SCORING_ENGINE!H5</f>
        <v>ELIGIBLE</v>
      </c>
      <c r="C5">
        <f>SCORING_ENGINE!S5</f>
        <v>91</v>
      </c>
      <c r="D5" t="str" cm="1">
        <f t="array" ref="D5">CLASSIFY_CREDIT(B5,C5)</f>
        <v>Approve</v>
      </c>
      <c r="E5" t="str">
        <f t="shared" si="0"/>
        <v>High</v>
      </c>
      <c r="F5" t="str">
        <f t="shared" si="1"/>
        <v>Approve</v>
      </c>
    </row>
    <row r="6" spans="1:6" x14ac:dyDescent="0.25">
      <c r="A6" t="str">
        <f>SCORING_ENGINE!A6</f>
        <v>APP005</v>
      </c>
      <c r="B6" t="str">
        <f>SCORING_ENGINE!H6</f>
        <v>ELIGIBLE</v>
      </c>
      <c r="C6">
        <f>SCORING_ENGINE!S6</f>
        <v>88</v>
      </c>
      <c r="D6" t="str" cm="1">
        <f t="array" ref="D6">CLASSIFY_CREDIT(B6,C6)</f>
        <v>Approve</v>
      </c>
      <c r="E6" t="str">
        <f t="shared" si="0"/>
        <v>High</v>
      </c>
      <c r="F6" t="str">
        <f t="shared" si="1"/>
        <v>Approve</v>
      </c>
    </row>
    <row r="7" spans="1:6" x14ac:dyDescent="0.25">
      <c r="A7" t="str">
        <f>SCORING_ENGINE!A7</f>
        <v>APP006</v>
      </c>
      <c r="B7" t="str">
        <f>SCORING_ENGINE!H7</f>
        <v>INELIGIBLE</v>
      </c>
      <c r="C7">
        <f>SCORING_ENGINE!S7</f>
        <v>64</v>
      </c>
      <c r="D7" t="str" cm="1">
        <f t="array" ref="D7">CLASSIFY_CREDIT(B7,C7)</f>
        <v>Reject</v>
      </c>
      <c r="E7" t="str">
        <f>IF(B7="INELIGIBLE","N/A",IF(C7&gt;=70,"High",IF(C7&gt;=50,"Medium","Low")))</f>
        <v>N/A</v>
      </c>
      <c r="F7" t="str">
        <f t="shared" si="1"/>
        <v>Reject</v>
      </c>
    </row>
    <row r="8" spans="1:6" x14ac:dyDescent="0.25">
      <c r="A8" t="str">
        <f>SCORING_ENGINE!A8</f>
        <v>APP007</v>
      </c>
      <c r="B8" t="str">
        <f>SCORING_ENGINE!H8</f>
        <v>ELIGIBLE</v>
      </c>
      <c r="C8">
        <f>SCORING_ENGINE!S8</f>
        <v>81</v>
      </c>
      <c r="D8" t="str" cm="1">
        <f t="array" ref="D8">CLASSIFY_CREDIT(B8,C8)</f>
        <v>Approve</v>
      </c>
      <c r="E8" t="str">
        <f t="shared" si="0"/>
        <v>High</v>
      </c>
      <c r="F8" t="str">
        <f t="shared" si="1"/>
        <v>Approve</v>
      </c>
    </row>
    <row r="9" spans="1:6" x14ac:dyDescent="0.25">
      <c r="A9" t="str">
        <f>SCORING_ENGINE!A9</f>
        <v>APP008</v>
      </c>
      <c r="B9" t="str">
        <f>SCORING_ENGINE!H9</f>
        <v>INELIGIBLE</v>
      </c>
      <c r="C9">
        <f>SCORING_ENGINE!S9</f>
        <v>55</v>
      </c>
      <c r="D9" t="str" cm="1">
        <f t="array" ref="D9">CLASSIFY_CREDIT(B9,C9)</f>
        <v>Reject</v>
      </c>
      <c r="E9" t="str">
        <f t="shared" si="0"/>
        <v>N/A</v>
      </c>
      <c r="F9" t="str">
        <f t="shared" si="1"/>
        <v>Reject</v>
      </c>
    </row>
    <row r="10" spans="1:6" x14ac:dyDescent="0.25">
      <c r="A10" t="str">
        <f>SCORING_ENGINE!A10</f>
        <v>APP009</v>
      </c>
      <c r="B10" t="str">
        <f>SCORING_ENGINE!H10</f>
        <v>INELIGIBLE</v>
      </c>
      <c r="C10">
        <f>SCORING_ENGINE!S10</f>
        <v>74</v>
      </c>
      <c r="D10" t="str" cm="1">
        <f t="array" ref="D10">CLASSIFY_CREDIT(B10,C10)</f>
        <v>Reject</v>
      </c>
      <c r="E10" t="str">
        <f t="shared" si="0"/>
        <v>N/A</v>
      </c>
      <c r="F10" t="str">
        <f t="shared" si="1"/>
        <v>Reject</v>
      </c>
    </row>
    <row r="11" spans="1:6" x14ac:dyDescent="0.25">
      <c r="A11" t="str">
        <f>SCORING_ENGINE!A11</f>
        <v>APP010</v>
      </c>
      <c r="B11" t="str">
        <f>SCORING_ENGINE!H11</f>
        <v>INELIGIBLE</v>
      </c>
      <c r="C11">
        <f>SCORING_ENGINE!S11</f>
        <v>57</v>
      </c>
      <c r="D11" t="str" cm="1">
        <f t="array" ref="D11">CLASSIFY_CREDIT(B11,C11)</f>
        <v>Reject</v>
      </c>
      <c r="E11" t="str">
        <f t="shared" si="0"/>
        <v>N/A</v>
      </c>
      <c r="F11" t="str">
        <f t="shared" si="1"/>
        <v>Reject</v>
      </c>
    </row>
    <row r="12" spans="1:6" x14ac:dyDescent="0.25">
      <c r="A12" t="str">
        <f>SCORING_ENGINE!A12</f>
        <v>APP011</v>
      </c>
      <c r="B12" t="str">
        <f>SCORING_ENGINE!H12</f>
        <v>INELIGIBLE</v>
      </c>
      <c r="C12">
        <f>SCORING_ENGINE!S12</f>
        <v>65</v>
      </c>
      <c r="D12" t="str" cm="1">
        <f t="array" ref="D12">CLASSIFY_CREDIT(B12,C12)</f>
        <v>Reject</v>
      </c>
      <c r="E12" t="str">
        <f t="shared" si="0"/>
        <v>N/A</v>
      </c>
      <c r="F12" t="str">
        <f t="shared" si="1"/>
        <v>Reject</v>
      </c>
    </row>
    <row r="13" spans="1:6" x14ac:dyDescent="0.25">
      <c r="A13" t="str">
        <f>SCORING_ENGINE!A13</f>
        <v>APP012</v>
      </c>
      <c r="B13" t="str">
        <f>SCORING_ENGINE!H13</f>
        <v>ELIGIBLE</v>
      </c>
      <c r="C13">
        <f>SCORING_ENGINE!S13</f>
        <v>75</v>
      </c>
      <c r="D13" t="str" cm="1">
        <f t="array" ref="D13">CLASSIFY_CREDIT(B13,C13)</f>
        <v>Approve</v>
      </c>
      <c r="E13" t="str">
        <f t="shared" si="0"/>
        <v>High</v>
      </c>
      <c r="F13" t="str">
        <f t="shared" si="1"/>
        <v>Approve</v>
      </c>
    </row>
    <row r="14" spans="1:6" x14ac:dyDescent="0.25">
      <c r="A14" t="str">
        <f>SCORING_ENGINE!A14</f>
        <v>APP013</v>
      </c>
      <c r="B14" t="str">
        <f>SCORING_ENGINE!H14</f>
        <v>ELIGIBLE</v>
      </c>
      <c r="C14">
        <f>SCORING_ENGINE!S14</f>
        <v>68</v>
      </c>
      <c r="D14" t="str" cm="1">
        <f t="array" ref="D14">CLASSIFY_CREDIT(B14,C14)</f>
        <v>Review</v>
      </c>
      <c r="E14" t="str">
        <f t="shared" si="0"/>
        <v>Medium</v>
      </c>
      <c r="F14" t="str">
        <f t="shared" si="1"/>
        <v>Review</v>
      </c>
    </row>
    <row r="15" spans="1:6" x14ac:dyDescent="0.25">
      <c r="A15" t="str">
        <f>SCORING_ENGINE!A15</f>
        <v>APP014</v>
      </c>
      <c r="B15" t="str">
        <f>SCORING_ENGINE!H15</f>
        <v>INELIGIBLE</v>
      </c>
      <c r="C15">
        <f>SCORING_ENGINE!S15</f>
        <v>71</v>
      </c>
      <c r="D15" t="str" cm="1">
        <f t="array" ref="D15">CLASSIFY_CREDIT(B15,C15)</f>
        <v>Reject</v>
      </c>
      <c r="E15" t="str">
        <f t="shared" si="0"/>
        <v>N/A</v>
      </c>
      <c r="F15" t="str">
        <f t="shared" si="1"/>
        <v>Reject</v>
      </c>
    </row>
    <row r="16" spans="1:6" x14ac:dyDescent="0.25">
      <c r="A16" t="str">
        <f>SCORING_ENGINE!A16</f>
        <v>APP015</v>
      </c>
      <c r="B16" t="str">
        <f>SCORING_ENGINE!H16</f>
        <v>INELIGIBLE</v>
      </c>
      <c r="C16">
        <f>SCORING_ENGINE!S16</f>
        <v>67</v>
      </c>
      <c r="D16" t="str" cm="1">
        <f t="array" ref="D16">CLASSIFY_CREDIT(B16,C16)</f>
        <v>Reject</v>
      </c>
      <c r="E16" t="str">
        <f t="shared" si="0"/>
        <v>N/A</v>
      </c>
      <c r="F16" t="str">
        <f t="shared" si="1"/>
        <v>Reject</v>
      </c>
    </row>
    <row r="17" spans="1:6" x14ac:dyDescent="0.25">
      <c r="A17" t="str">
        <f>SCORING_ENGINE!A17</f>
        <v>APP016</v>
      </c>
      <c r="B17" t="str">
        <f>SCORING_ENGINE!H17</f>
        <v>INELIGIBLE</v>
      </c>
      <c r="C17">
        <f>SCORING_ENGINE!S17</f>
        <v>59</v>
      </c>
      <c r="D17" t="str" cm="1">
        <f t="array" ref="D17">CLASSIFY_CREDIT(B17,C17)</f>
        <v>Reject</v>
      </c>
      <c r="E17" t="str">
        <f t="shared" si="0"/>
        <v>N/A</v>
      </c>
      <c r="F17" t="str">
        <f t="shared" si="1"/>
        <v>Reject</v>
      </c>
    </row>
    <row r="18" spans="1:6" x14ac:dyDescent="0.25">
      <c r="A18" t="str">
        <f>SCORING_ENGINE!A18</f>
        <v>APP017</v>
      </c>
      <c r="B18" t="str">
        <f>SCORING_ENGINE!H18</f>
        <v>INELIGIBLE</v>
      </c>
      <c r="C18">
        <f>SCORING_ENGINE!S18</f>
        <v>71</v>
      </c>
      <c r="D18" t="str" cm="1">
        <f t="array" ref="D18">CLASSIFY_CREDIT(B18,C18)</f>
        <v>Reject</v>
      </c>
      <c r="E18" t="str">
        <f t="shared" si="0"/>
        <v>N/A</v>
      </c>
      <c r="F18" t="str">
        <f t="shared" si="1"/>
        <v>Reject</v>
      </c>
    </row>
    <row r="19" spans="1:6" x14ac:dyDescent="0.25">
      <c r="A19" t="str">
        <f>SCORING_ENGINE!A19</f>
        <v>APP018</v>
      </c>
      <c r="B19" t="str">
        <f>SCORING_ENGINE!H19</f>
        <v>INELIGIBLE</v>
      </c>
      <c r="C19">
        <f>SCORING_ENGINE!S19</f>
        <v>63</v>
      </c>
      <c r="D19" t="str" cm="1">
        <f t="array" ref="D19">CLASSIFY_CREDIT(B19,C19)</f>
        <v>Reject</v>
      </c>
      <c r="E19" t="str">
        <f t="shared" si="0"/>
        <v>N/A</v>
      </c>
      <c r="F19" t="str">
        <f t="shared" si="1"/>
        <v>Reject</v>
      </c>
    </row>
    <row r="20" spans="1:6" x14ac:dyDescent="0.25">
      <c r="A20" t="str">
        <f>SCORING_ENGINE!A20</f>
        <v>APP019</v>
      </c>
      <c r="B20" t="str">
        <f>SCORING_ENGINE!H20</f>
        <v>INELIGIBLE</v>
      </c>
      <c r="C20">
        <f>SCORING_ENGINE!S20</f>
        <v>55</v>
      </c>
      <c r="D20" t="str" cm="1">
        <f t="array" ref="D20">CLASSIFY_CREDIT(B20,C20)</f>
        <v>Reject</v>
      </c>
      <c r="E20" t="str">
        <f t="shared" si="0"/>
        <v>N/A</v>
      </c>
      <c r="F20" t="str">
        <f t="shared" si="1"/>
        <v>Reject</v>
      </c>
    </row>
    <row r="21" spans="1:6" x14ac:dyDescent="0.25">
      <c r="A21" t="str">
        <f>SCORING_ENGINE!A21</f>
        <v>APP020</v>
      </c>
      <c r="B21" t="str">
        <f>SCORING_ENGINE!H21</f>
        <v>ELIGIBLE</v>
      </c>
      <c r="C21">
        <f>SCORING_ENGINE!S21</f>
        <v>67</v>
      </c>
      <c r="D21" t="str" cm="1">
        <f t="array" ref="D21">CLASSIFY_CREDIT(B21,C21)</f>
        <v>Review</v>
      </c>
      <c r="E21" t="str">
        <f t="shared" si="0"/>
        <v>Medium</v>
      </c>
      <c r="F21" t="str">
        <f t="shared" si="1"/>
        <v>Review</v>
      </c>
    </row>
    <row r="22" spans="1:6" x14ac:dyDescent="0.25">
      <c r="A22" t="str">
        <f>SCORING_ENGINE!A22</f>
        <v>APP021</v>
      </c>
      <c r="B22" t="str">
        <f>SCORING_ENGINE!H22</f>
        <v>INELIGIBLE</v>
      </c>
      <c r="C22">
        <f>SCORING_ENGINE!S22</f>
        <v>49</v>
      </c>
      <c r="D22" t="str" cm="1">
        <f t="array" ref="D22">CLASSIFY_CREDIT(B22,C22)</f>
        <v>Reject</v>
      </c>
      <c r="E22" t="str">
        <f t="shared" si="0"/>
        <v>N/A</v>
      </c>
      <c r="F22" t="str">
        <f t="shared" si="1"/>
        <v>Reject</v>
      </c>
    </row>
    <row r="23" spans="1:6" x14ac:dyDescent="0.25">
      <c r="A23" t="str">
        <f>SCORING_ENGINE!A23</f>
        <v>APP022</v>
      </c>
      <c r="B23" t="str">
        <f>SCORING_ENGINE!H23</f>
        <v>INELIGIBLE</v>
      </c>
      <c r="C23">
        <f>SCORING_ENGINE!S23</f>
        <v>68</v>
      </c>
      <c r="D23" t="str" cm="1">
        <f t="array" ref="D23">CLASSIFY_CREDIT(B23,C23)</f>
        <v>Reject</v>
      </c>
      <c r="E23" t="str">
        <f t="shared" si="0"/>
        <v>N/A</v>
      </c>
      <c r="F23" t="str">
        <f t="shared" si="1"/>
        <v>Reject</v>
      </c>
    </row>
    <row r="24" spans="1:6" x14ac:dyDescent="0.25">
      <c r="A24" t="str">
        <f>SCORING_ENGINE!A24</f>
        <v>APP023</v>
      </c>
      <c r="B24" t="str">
        <f>SCORING_ENGINE!H24</f>
        <v>INELIGIBLE</v>
      </c>
      <c r="C24">
        <f>SCORING_ENGINE!S24</f>
        <v>58</v>
      </c>
      <c r="D24" t="str" cm="1">
        <f t="array" ref="D24">CLASSIFY_CREDIT(B24,C24)</f>
        <v>Reject</v>
      </c>
      <c r="E24" t="str">
        <f t="shared" si="0"/>
        <v>N/A</v>
      </c>
      <c r="F24" t="str">
        <f t="shared" si="1"/>
        <v>Reject</v>
      </c>
    </row>
    <row r="25" spans="1:6" x14ac:dyDescent="0.25">
      <c r="A25" t="str">
        <f>SCORING_ENGINE!A25</f>
        <v>APP024</v>
      </c>
      <c r="B25" t="str">
        <f>SCORING_ENGINE!H25</f>
        <v>INELIGIBLE</v>
      </c>
      <c r="C25">
        <f>SCORING_ENGINE!S25</f>
        <v>54</v>
      </c>
      <c r="D25" t="str" cm="1">
        <f t="array" ref="D25">CLASSIFY_CREDIT(B25,C25)</f>
        <v>Reject</v>
      </c>
      <c r="E25" t="str">
        <f t="shared" si="0"/>
        <v>N/A</v>
      </c>
      <c r="F25" t="str">
        <f t="shared" si="1"/>
        <v>Reject</v>
      </c>
    </row>
    <row r="26" spans="1:6" x14ac:dyDescent="0.25">
      <c r="A26" t="str">
        <f>SCORING_ENGINE!A26</f>
        <v>APP025</v>
      </c>
      <c r="B26" t="str">
        <f>SCORING_ENGINE!H26</f>
        <v>INELIGIBLE</v>
      </c>
      <c r="C26">
        <f>SCORING_ENGINE!S26</f>
        <v>81</v>
      </c>
      <c r="D26" t="str" cm="1">
        <f t="array" ref="D26">CLASSIFY_CREDIT(B26,C26)</f>
        <v>Reject</v>
      </c>
      <c r="E26" t="str">
        <f t="shared" si="0"/>
        <v>N/A</v>
      </c>
      <c r="F26" t="str">
        <f t="shared" si="1"/>
        <v>Reject</v>
      </c>
    </row>
    <row r="27" spans="1:6" x14ac:dyDescent="0.25">
      <c r="A27" t="str">
        <f>SCORING_ENGINE!A27</f>
        <v>APP026</v>
      </c>
      <c r="B27" t="str">
        <f>SCORING_ENGINE!H27</f>
        <v>INELIGIBLE</v>
      </c>
      <c r="C27">
        <f>SCORING_ENGINE!S27</f>
        <v>70</v>
      </c>
      <c r="D27" t="str" cm="1">
        <f t="array" ref="D27">CLASSIFY_CREDIT(B27,C27)</f>
        <v>Reject</v>
      </c>
      <c r="E27" t="str">
        <f t="shared" si="0"/>
        <v>N/A</v>
      </c>
      <c r="F27" t="str">
        <f t="shared" si="1"/>
        <v>Reject</v>
      </c>
    </row>
    <row r="28" spans="1:6" x14ac:dyDescent="0.25">
      <c r="A28" t="str">
        <f>SCORING_ENGINE!A28</f>
        <v>APP027</v>
      </c>
      <c r="B28" t="str">
        <f>SCORING_ENGINE!H28</f>
        <v>INELIGIBLE</v>
      </c>
      <c r="C28">
        <f>SCORING_ENGINE!S28</f>
        <v>53</v>
      </c>
      <c r="D28" t="str" cm="1">
        <f t="array" ref="D28">CLASSIFY_CREDIT(B28,C28)</f>
        <v>Reject</v>
      </c>
      <c r="E28" t="str">
        <f t="shared" si="0"/>
        <v>N/A</v>
      </c>
      <c r="F28" t="str">
        <f t="shared" si="1"/>
        <v>Reject</v>
      </c>
    </row>
    <row r="29" spans="1:6" x14ac:dyDescent="0.25">
      <c r="A29" t="str">
        <f>SCORING_ENGINE!A29</f>
        <v>APP028</v>
      </c>
      <c r="B29" t="str">
        <f>SCORING_ENGINE!H29</f>
        <v>INELIGIBLE</v>
      </c>
      <c r="C29">
        <f>SCORING_ENGINE!S29</f>
        <v>58</v>
      </c>
      <c r="D29" t="str" cm="1">
        <f t="array" ref="D29">CLASSIFY_CREDIT(B29,C29)</f>
        <v>Reject</v>
      </c>
      <c r="E29" t="str">
        <f t="shared" si="0"/>
        <v>N/A</v>
      </c>
      <c r="F29" t="str">
        <f t="shared" si="1"/>
        <v>Reject</v>
      </c>
    </row>
    <row r="30" spans="1:6" x14ac:dyDescent="0.25">
      <c r="A30" t="str">
        <f>SCORING_ENGINE!A30</f>
        <v>APP029</v>
      </c>
      <c r="B30" t="str">
        <f>SCORING_ENGINE!H30</f>
        <v>INELIGIBLE</v>
      </c>
      <c r="C30">
        <f>SCORING_ENGINE!S30</f>
        <v>61</v>
      </c>
      <c r="D30" t="str" cm="1">
        <f t="array" ref="D30">CLASSIFY_CREDIT(B30,C30)</f>
        <v>Reject</v>
      </c>
      <c r="E30" t="str">
        <f t="shared" si="0"/>
        <v>N/A</v>
      </c>
      <c r="F30" t="str">
        <f t="shared" si="1"/>
        <v>Reject</v>
      </c>
    </row>
    <row r="31" spans="1:6" x14ac:dyDescent="0.25">
      <c r="A31" t="str">
        <f>SCORING_ENGINE!A31</f>
        <v>APP030</v>
      </c>
      <c r="B31" t="str">
        <f>SCORING_ENGINE!H31</f>
        <v>INELIGIBLE</v>
      </c>
      <c r="C31">
        <f>SCORING_ENGINE!S31</f>
        <v>44</v>
      </c>
      <c r="D31" t="str" cm="1">
        <f t="array" ref="D31">CLASSIFY_CREDIT(B31,C31)</f>
        <v>Reject</v>
      </c>
      <c r="E31" t="str">
        <f t="shared" si="0"/>
        <v>N/A</v>
      </c>
      <c r="F31" t="str">
        <f t="shared" si="1"/>
        <v>Reject</v>
      </c>
    </row>
    <row r="32" spans="1:6" x14ac:dyDescent="0.25">
      <c r="A32" t="str">
        <f>SCORING_ENGINE!A32</f>
        <v>APP031</v>
      </c>
      <c r="B32" t="str">
        <f>SCORING_ENGINE!H32</f>
        <v>ELIGIBLE</v>
      </c>
      <c r="C32">
        <f>SCORING_ENGINE!S32</f>
        <v>82</v>
      </c>
      <c r="D32" t="str" cm="1">
        <f t="array" ref="D32">CLASSIFY_CREDIT(B32,C32)</f>
        <v>Approve</v>
      </c>
      <c r="E32" t="str">
        <f t="shared" si="0"/>
        <v>High</v>
      </c>
      <c r="F32" t="str">
        <f t="shared" si="1"/>
        <v>Approve</v>
      </c>
    </row>
    <row r="33" spans="1:6" x14ac:dyDescent="0.25">
      <c r="A33" t="str">
        <f>SCORING_ENGINE!A33</f>
        <v>APP032</v>
      </c>
      <c r="B33" t="str">
        <f>SCORING_ENGINE!H33</f>
        <v>INELIGIBLE</v>
      </c>
      <c r="C33">
        <f>SCORING_ENGINE!S33</f>
        <v>50</v>
      </c>
      <c r="D33" t="str" cm="1">
        <f t="array" ref="D33">CLASSIFY_CREDIT(B33,C33)</f>
        <v>Reject</v>
      </c>
      <c r="E33" t="str">
        <f t="shared" si="0"/>
        <v>N/A</v>
      </c>
      <c r="F33" t="str">
        <f t="shared" si="1"/>
        <v>Reject</v>
      </c>
    </row>
    <row r="34" spans="1:6" x14ac:dyDescent="0.25">
      <c r="A34" t="str">
        <f>SCORING_ENGINE!A34</f>
        <v>APP033</v>
      </c>
      <c r="B34" t="str">
        <f>SCORING_ENGINE!H34</f>
        <v>INELIGIBLE</v>
      </c>
      <c r="C34">
        <f>SCORING_ENGINE!S34</f>
        <v>25</v>
      </c>
      <c r="D34" t="str" cm="1">
        <f t="array" ref="D34">CLASSIFY_CREDIT(B34,C34)</f>
        <v>Reject</v>
      </c>
      <c r="E34" t="str">
        <f t="shared" si="0"/>
        <v>N/A</v>
      </c>
      <c r="F34" t="str">
        <f t="shared" si="1"/>
        <v>Reject</v>
      </c>
    </row>
    <row r="35" spans="1:6" x14ac:dyDescent="0.25">
      <c r="A35" t="str">
        <f>SCORING_ENGINE!A35</f>
        <v>APP034</v>
      </c>
      <c r="B35" t="str">
        <f>SCORING_ENGINE!H35</f>
        <v>INELIGIBLE</v>
      </c>
      <c r="C35">
        <f>SCORING_ENGINE!S35</f>
        <v>62</v>
      </c>
      <c r="D35" t="str" cm="1">
        <f t="array" ref="D35">CLASSIFY_CREDIT(B35,C35)</f>
        <v>Reject</v>
      </c>
      <c r="E35" t="str">
        <f t="shared" si="0"/>
        <v>N/A</v>
      </c>
      <c r="F35" t="str">
        <f t="shared" si="1"/>
        <v>Reject</v>
      </c>
    </row>
    <row r="36" spans="1:6" x14ac:dyDescent="0.25">
      <c r="A36" t="str">
        <f>SCORING_ENGINE!A36</f>
        <v>APP035</v>
      </c>
      <c r="B36" t="str">
        <f>SCORING_ENGINE!H36</f>
        <v>INELIGIBLE</v>
      </c>
      <c r="C36">
        <f>SCORING_ENGINE!S36</f>
        <v>77</v>
      </c>
      <c r="D36" t="str" cm="1">
        <f t="array" ref="D36">CLASSIFY_CREDIT(B36,C36)</f>
        <v>Reject</v>
      </c>
      <c r="E36" t="str">
        <f t="shared" si="0"/>
        <v>N/A</v>
      </c>
      <c r="F36" t="str">
        <f t="shared" si="1"/>
        <v>Reject</v>
      </c>
    </row>
    <row r="37" spans="1:6" x14ac:dyDescent="0.25">
      <c r="A37" t="str">
        <f>SCORING_ENGINE!A37</f>
        <v>APP036</v>
      </c>
      <c r="B37" t="str">
        <f>SCORING_ENGINE!H37</f>
        <v>INELIGIBLE</v>
      </c>
      <c r="C37">
        <f>SCORING_ENGINE!S37</f>
        <v>56</v>
      </c>
      <c r="D37" t="str" cm="1">
        <f t="array" ref="D37">CLASSIFY_CREDIT(B37,C37)</f>
        <v>Reject</v>
      </c>
      <c r="E37" t="str">
        <f t="shared" si="0"/>
        <v>N/A</v>
      </c>
      <c r="F37" t="str">
        <f t="shared" si="1"/>
        <v>Reject</v>
      </c>
    </row>
    <row r="38" spans="1:6" x14ac:dyDescent="0.25">
      <c r="A38" t="str">
        <f>SCORING_ENGINE!A38</f>
        <v>APP037</v>
      </c>
      <c r="B38" t="str">
        <f>SCORING_ENGINE!H38</f>
        <v>INELIGIBLE</v>
      </c>
      <c r="C38">
        <f>SCORING_ENGINE!S38</f>
        <v>70</v>
      </c>
      <c r="D38" t="str" cm="1">
        <f t="array" ref="D38">CLASSIFY_CREDIT(B38,C38)</f>
        <v>Reject</v>
      </c>
      <c r="E38" t="str">
        <f t="shared" si="0"/>
        <v>N/A</v>
      </c>
      <c r="F38" t="str">
        <f t="shared" si="1"/>
        <v>Reject</v>
      </c>
    </row>
    <row r="39" spans="1:6" x14ac:dyDescent="0.25">
      <c r="A39" t="str">
        <f>SCORING_ENGINE!A39</f>
        <v>APP038</v>
      </c>
      <c r="B39" t="str">
        <f>SCORING_ENGINE!H39</f>
        <v>INELIGIBLE</v>
      </c>
      <c r="C39">
        <f>SCORING_ENGINE!S39</f>
        <v>63</v>
      </c>
      <c r="D39" t="str" cm="1">
        <f t="array" ref="D39">CLASSIFY_CREDIT(B39,C39)</f>
        <v>Reject</v>
      </c>
      <c r="E39" t="str">
        <f t="shared" si="0"/>
        <v>N/A</v>
      </c>
      <c r="F39" t="str">
        <f t="shared" si="1"/>
        <v>Reject</v>
      </c>
    </row>
    <row r="40" spans="1:6" x14ac:dyDescent="0.25">
      <c r="A40" t="str">
        <f>SCORING_ENGINE!A40</f>
        <v>APP039</v>
      </c>
      <c r="B40" t="str">
        <f>SCORING_ENGINE!H40</f>
        <v>INELIGIBLE</v>
      </c>
      <c r="C40">
        <f>SCORING_ENGINE!S40</f>
        <v>45</v>
      </c>
      <c r="D40" t="str" cm="1">
        <f t="array" ref="D40">CLASSIFY_CREDIT(B40,C40)</f>
        <v>Reject</v>
      </c>
      <c r="E40" t="str">
        <f t="shared" si="0"/>
        <v>N/A</v>
      </c>
      <c r="F40" t="str">
        <f t="shared" si="1"/>
        <v>Reject</v>
      </c>
    </row>
    <row r="41" spans="1:6" x14ac:dyDescent="0.25">
      <c r="A41" t="str">
        <f>SCORING_ENGINE!A41</f>
        <v>APP040</v>
      </c>
      <c r="B41" t="str">
        <f>SCORING_ENGINE!H41</f>
        <v>ELIGIBLE</v>
      </c>
      <c r="C41">
        <f>SCORING_ENGINE!S41</f>
        <v>87</v>
      </c>
      <c r="D41" t="str" cm="1">
        <f t="array" ref="D41">CLASSIFY_CREDIT(B41,C41)</f>
        <v>Approve</v>
      </c>
      <c r="E41" t="str">
        <f t="shared" si="0"/>
        <v>High</v>
      </c>
      <c r="F41" t="str">
        <f t="shared" si="1"/>
        <v>Approve</v>
      </c>
    </row>
    <row r="42" spans="1:6" x14ac:dyDescent="0.25">
      <c r="A42" t="str">
        <f>SCORING_ENGINE!A42</f>
        <v>APP041</v>
      </c>
      <c r="B42" t="str">
        <f>SCORING_ENGINE!H42</f>
        <v>INELIGIBLE</v>
      </c>
      <c r="C42">
        <f>SCORING_ENGINE!S42</f>
        <v>27</v>
      </c>
      <c r="D42" t="str" cm="1">
        <f t="array" ref="D42">CLASSIFY_CREDIT(B42,C42)</f>
        <v>Reject</v>
      </c>
      <c r="E42" t="str">
        <f t="shared" si="0"/>
        <v>N/A</v>
      </c>
      <c r="F42" t="str">
        <f t="shared" si="1"/>
        <v>Reject</v>
      </c>
    </row>
    <row r="43" spans="1:6" x14ac:dyDescent="0.25">
      <c r="A43" t="str">
        <f>SCORING_ENGINE!A43</f>
        <v>APP042</v>
      </c>
      <c r="B43" t="str">
        <f>SCORING_ENGINE!H43</f>
        <v>INELIGIBLE</v>
      </c>
      <c r="C43">
        <f>SCORING_ENGINE!S43</f>
        <v>43</v>
      </c>
      <c r="D43" t="str" cm="1">
        <f t="array" ref="D43">CLASSIFY_CREDIT(B43,C43)</f>
        <v>Reject</v>
      </c>
      <c r="E43" t="str">
        <f t="shared" si="0"/>
        <v>N/A</v>
      </c>
      <c r="F43" t="str">
        <f t="shared" si="1"/>
        <v>Reject</v>
      </c>
    </row>
    <row r="44" spans="1:6" x14ac:dyDescent="0.25">
      <c r="A44" t="str">
        <f>SCORING_ENGINE!A44</f>
        <v>APP043</v>
      </c>
      <c r="B44" t="str">
        <f>SCORING_ENGINE!H44</f>
        <v>ELIGIBLE</v>
      </c>
      <c r="C44">
        <f>SCORING_ENGINE!S44</f>
        <v>72</v>
      </c>
      <c r="D44" t="str" cm="1">
        <f t="array" ref="D44">CLASSIFY_CREDIT(B44,C44)</f>
        <v>Approve</v>
      </c>
      <c r="E44" t="str">
        <f t="shared" si="0"/>
        <v>High</v>
      </c>
      <c r="F44" t="str">
        <f t="shared" si="1"/>
        <v>Approve</v>
      </c>
    </row>
    <row r="45" spans="1:6" x14ac:dyDescent="0.25">
      <c r="A45" t="str">
        <f>SCORING_ENGINE!A45</f>
        <v>APP044</v>
      </c>
      <c r="B45" t="str">
        <f>SCORING_ENGINE!H45</f>
        <v>INELIGIBLE</v>
      </c>
      <c r="C45">
        <f>SCORING_ENGINE!S45</f>
        <v>69</v>
      </c>
      <c r="D45" t="str" cm="1">
        <f t="array" ref="D45">CLASSIFY_CREDIT(B45,C45)</f>
        <v>Reject</v>
      </c>
      <c r="E45" t="str">
        <f t="shared" si="0"/>
        <v>N/A</v>
      </c>
      <c r="F45" t="str">
        <f t="shared" si="1"/>
        <v>Reject</v>
      </c>
    </row>
    <row r="46" spans="1:6" x14ac:dyDescent="0.25">
      <c r="A46" t="str">
        <f>SCORING_ENGINE!A46</f>
        <v>APP045</v>
      </c>
      <c r="B46" t="str">
        <f>SCORING_ENGINE!H46</f>
        <v>INELIGIBLE</v>
      </c>
      <c r="C46">
        <f>SCORING_ENGINE!S46</f>
        <v>66</v>
      </c>
      <c r="D46" t="str" cm="1">
        <f t="array" ref="D46">CLASSIFY_CREDIT(B46,C46)</f>
        <v>Reject</v>
      </c>
      <c r="E46" t="str">
        <f t="shared" si="0"/>
        <v>N/A</v>
      </c>
      <c r="F46" t="str">
        <f t="shared" si="1"/>
        <v>Reject</v>
      </c>
    </row>
    <row r="47" spans="1:6" x14ac:dyDescent="0.25">
      <c r="A47" t="str">
        <f>SCORING_ENGINE!A47</f>
        <v>APP046</v>
      </c>
      <c r="B47" t="str">
        <f>SCORING_ENGINE!H47</f>
        <v>INELIGIBLE</v>
      </c>
      <c r="C47">
        <f>SCORING_ENGINE!S47</f>
        <v>57</v>
      </c>
      <c r="D47" t="str" cm="1">
        <f t="array" ref="D47">CLASSIFY_CREDIT(B47,C47)</f>
        <v>Reject</v>
      </c>
      <c r="E47" t="str">
        <f t="shared" si="0"/>
        <v>N/A</v>
      </c>
      <c r="F47" t="str">
        <f t="shared" si="1"/>
        <v>Reject</v>
      </c>
    </row>
    <row r="48" spans="1:6" x14ac:dyDescent="0.25">
      <c r="A48" t="str">
        <f>SCORING_ENGINE!A48</f>
        <v>APP047</v>
      </c>
      <c r="B48" t="str">
        <f>SCORING_ENGINE!H48</f>
        <v>ELIGIBLE</v>
      </c>
      <c r="C48">
        <f>SCORING_ENGINE!S48</f>
        <v>87</v>
      </c>
      <c r="D48" t="str" cm="1">
        <f t="array" ref="D48">CLASSIFY_CREDIT(B48,C48)</f>
        <v>Approve</v>
      </c>
      <c r="E48" t="str">
        <f t="shared" si="0"/>
        <v>High</v>
      </c>
      <c r="F48" t="str">
        <f t="shared" si="1"/>
        <v>Approve</v>
      </c>
    </row>
    <row r="49" spans="1:6" x14ac:dyDescent="0.25">
      <c r="A49" t="str">
        <f>SCORING_ENGINE!A49</f>
        <v>APP048</v>
      </c>
      <c r="B49" t="str">
        <f>SCORING_ENGINE!H49</f>
        <v>INELIGIBLE</v>
      </c>
      <c r="C49">
        <f>SCORING_ENGINE!S49</f>
        <v>55</v>
      </c>
      <c r="D49" t="str" cm="1">
        <f t="array" ref="D49">CLASSIFY_CREDIT(B49,C49)</f>
        <v>Reject</v>
      </c>
      <c r="E49" t="str">
        <f t="shared" si="0"/>
        <v>N/A</v>
      </c>
      <c r="F49" t="str">
        <f t="shared" si="1"/>
        <v>Reject</v>
      </c>
    </row>
    <row r="50" spans="1:6" x14ac:dyDescent="0.25">
      <c r="A50" t="str">
        <f>SCORING_ENGINE!A50</f>
        <v>APP049</v>
      </c>
      <c r="B50" t="str">
        <f>SCORING_ENGINE!H50</f>
        <v>ELIGIBLE</v>
      </c>
      <c r="C50">
        <f>SCORING_ENGINE!S50</f>
        <v>88</v>
      </c>
      <c r="D50" t="str" cm="1">
        <f t="array" ref="D50">CLASSIFY_CREDIT(B50,C50)</f>
        <v>Approve</v>
      </c>
      <c r="E50" t="str">
        <f t="shared" si="0"/>
        <v>High</v>
      </c>
      <c r="F50" t="str">
        <f t="shared" si="1"/>
        <v>Approve</v>
      </c>
    </row>
    <row r="51" spans="1:6" x14ac:dyDescent="0.25">
      <c r="A51" t="str">
        <f>SCORING_ENGINE!A51</f>
        <v>APP050</v>
      </c>
      <c r="B51" t="str">
        <f>SCORING_ENGINE!H51</f>
        <v>INELIGIBLE</v>
      </c>
      <c r="C51">
        <f>SCORING_ENGINE!S51</f>
        <v>55</v>
      </c>
      <c r="D51" t="str" cm="1">
        <f t="array" ref="D51">CLASSIFY_CREDIT(B51,C51)</f>
        <v>Reject</v>
      </c>
      <c r="E51" t="str">
        <f t="shared" si="0"/>
        <v>N/A</v>
      </c>
      <c r="F51" t="str">
        <f t="shared" si="1"/>
        <v>Reject</v>
      </c>
    </row>
    <row r="52" spans="1:6" x14ac:dyDescent="0.25">
      <c r="A52" t="str">
        <f>SCORING_ENGINE!A52</f>
        <v>APP051</v>
      </c>
      <c r="B52" t="str">
        <f>SCORING_ENGINE!H52</f>
        <v>ELIGIBLE</v>
      </c>
      <c r="C52">
        <f>SCORING_ENGINE!S52</f>
        <v>85</v>
      </c>
      <c r="D52" t="str" cm="1">
        <f t="array" ref="D52">CLASSIFY_CREDIT(B52,C52)</f>
        <v>Approve</v>
      </c>
      <c r="E52" t="str">
        <f t="shared" si="0"/>
        <v>High</v>
      </c>
      <c r="F52" t="str">
        <f t="shared" si="1"/>
        <v>Approve</v>
      </c>
    </row>
    <row r="53" spans="1:6" x14ac:dyDescent="0.25">
      <c r="A53" t="str">
        <f>SCORING_ENGINE!A53</f>
        <v>APP052</v>
      </c>
      <c r="B53" t="str">
        <f>SCORING_ENGINE!H53</f>
        <v>INELIGIBLE</v>
      </c>
      <c r="C53">
        <f>SCORING_ENGINE!S53</f>
        <v>57</v>
      </c>
      <c r="D53" t="str" cm="1">
        <f t="array" ref="D53">CLASSIFY_CREDIT(B53,C53)</f>
        <v>Reject</v>
      </c>
      <c r="E53" t="str">
        <f t="shared" si="0"/>
        <v>N/A</v>
      </c>
      <c r="F53" t="str">
        <f t="shared" si="1"/>
        <v>Reject</v>
      </c>
    </row>
    <row r="54" spans="1:6" x14ac:dyDescent="0.25">
      <c r="A54" t="str">
        <f>SCORING_ENGINE!A54</f>
        <v>APP053</v>
      </c>
      <c r="B54" t="str">
        <f>SCORING_ENGINE!H54</f>
        <v>INELIGIBLE</v>
      </c>
      <c r="C54">
        <f>SCORING_ENGINE!S54</f>
        <v>40</v>
      </c>
      <c r="D54" t="str" cm="1">
        <f t="array" ref="D54">CLASSIFY_CREDIT(B54,C54)</f>
        <v>Reject</v>
      </c>
      <c r="E54" t="str">
        <f t="shared" si="0"/>
        <v>N/A</v>
      </c>
      <c r="F54" t="str">
        <f t="shared" si="1"/>
        <v>Reject</v>
      </c>
    </row>
    <row r="55" spans="1:6" x14ac:dyDescent="0.25">
      <c r="A55" t="str">
        <f>SCORING_ENGINE!A55</f>
        <v>APP054</v>
      </c>
      <c r="B55" t="str">
        <f>SCORING_ENGINE!H55</f>
        <v>INELIGIBLE</v>
      </c>
      <c r="C55">
        <f>SCORING_ENGINE!S55</f>
        <v>63</v>
      </c>
      <c r="D55" t="str" cm="1">
        <f t="array" ref="D55">CLASSIFY_CREDIT(B55,C55)</f>
        <v>Reject</v>
      </c>
      <c r="E55" t="str">
        <f t="shared" si="0"/>
        <v>N/A</v>
      </c>
      <c r="F55" t="str">
        <f t="shared" si="1"/>
        <v>Reject</v>
      </c>
    </row>
    <row r="56" spans="1:6" x14ac:dyDescent="0.25">
      <c r="A56" t="str">
        <f>SCORING_ENGINE!A56</f>
        <v>APP055</v>
      </c>
      <c r="B56" t="str">
        <f>SCORING_ENGINE!H56</f>
        <v>INELIGIBLE</v>
      </c>
      <c r="C56">
        <f>SCORING_ENGINE!S56</f>
        <v>77</v>
      </c>
      <c r="D56" t="str" cm="1">
        <f t="array" ref="D56">CLASSIFY_CREDIT(B56,C56)</f>
        <v>Reject</v>
      </c>
      <c r="E56" t="str">
        <f t="shared" si="0"/>
        <v>N/A</v>
      </c>
      <c r="F56" t="str">
        <f t="shared" si="1"/>
        <v>Reject</v>
      </c>
    </row>
    <row r="57" spans="1:6" x14ac:dyDescent="0.25">
      <c r="A57" t="str">
        <f>SCORING_ENGINE!A57</f>
        <v>APP056</v>
      </c>
      <c r="B57" t="str">
        <f>SCORING_ENGINE!H57</f>
        <v>ELIGIBLE</v>
      </c>
      <c r="C57">
        <f>SCORING_ENGINE!S57</f>
        <v>96</v>
      </c>
      <c r="D57" t="str" cm="1">
        <f t="array" ref="D57">CLASSIFY_CREDIT(B57,C57)</f>
        <v>Approve</v>
      </c>
      <c r="E57" t="str">
        <f t="shared" si="0"/>
        <v>High</v>
      </c>
      <c r="F57" t="str">
        <f t="shared" si="1"/>
        <v>Approve</v>
      </c>
    </row>
    <row r="58" spans="1:6" x14ac:dyDescent="0.25">
      <c r="A58" t="str">
        <f>SCORING_ENGINE!A58</f>
        <v>APP057</v>
      </c>
      <c r="B58" t="str">
        <f>SCORING_ENGINE!H58</f>
        <v>INELIGIBLE</v>
      </c>
      <c r="C58">
        <f>SCORING_ENGINE!S58</f>
        <v>88</v>
      </c>
      <c r="D58" t="str" cm="1">
        <f t="array" ref="D58">CLASSIFY_CREDIT(B58,C58)</f>
        <v>Reject</v>
      </c>
      <c r="E58" t="str">
        <f t="shared" si="0"/>
        <v>N/A</v>
      </c>
      <c r="F58" t="str">
        <f t="shared" si="1"/>
        <v>Reject</v>
      </c>
    </row>
    <row r="59" spans="1:6" x14ac:dyDescent="0.25">
      <c r="A59" t="str">
        <f>SCORING_ENGINE!A59</f>
        <v>APP058</v>
      </c>
      <c r="B59" t="str">
        <f>SCORING_ENGINE!H59</f>
        <v>INELIGIBLE</v>
      </c>
      <c r="C59">
        <f>SCORING_ENGINE!S59</f>
        <v>68</v>
      </c>
      <c r="D59" t="str" cm="1">
        <f t="array" ref="D59">CLASSIFY_CREDIT(B59,C59)</f>
        <v>Reject</v>
      </c>
      <c r="E59" t="str">
        <f t="shared" si="0"/>
        <v>N/A</v>
      </c>
      <c r="F59" t="str">
        <f t="shared" si="1"/>
        <v>Reject</v>
      </c>
    </row>
    <row r="60" spans="1:6" x14ac:dyDescent="0.25">
      <c r="A60" t="str">
        <f>SCORING_ENGINE!A60</f>
        <v>APP059</v>
      </c>
      <c r="B60" t="str">
        <f>SCORING_ENGINE!H60</f>
        <v>INELIGIBLE</v>
      </c>
      <c r="C60">
        <f>SCORING_ENGINE!S60</f>
        <v>58</v>
      </c>
      <c r="D60" t="str" cm="1">
        <f t="array" ref="D60">CLASSIFY_CREDIT(B60,C60)</f>
        <v>Reject</v>
      </c>
      <c r="E60" t="str">
        <f t="shared" si="0"/>
        <v>N/A</v>
      </c>
      <c r="F60" t="str">
        <f t="shared" si="1"/>
        <v>Reject</v>
      </c>
    </row>
    <row r="61" spans="1:6" x14ac:dyDescent="0.25">
      <c r="A61" t="str">
        <f>SCORING_ENGINE!A61</f>
        <v>APP060</v>
      </c>
      <c r="B61" t="str">
        <f>SCORING_ENGINE!H61</f>
        <v>ELIGIBLE</v>
      </c>
      <c r="C61">
        <f>SCORING_ENGINE!S61</f>
        <v>89</v>
      </c>
      <c r="D61" t="str" cm="1">
        <f t="array" ref="D61">CLASSIFY_CREDIT(B61,C61)</f>
        <v>Approve</v>
      </c>
      <c r="E61" t="str">
        <f t="shared" si="0"/>
        <v>High</v>
      </c>
      <c r="F61" t="str">
        <f t="shared" si="1"/>
        <v>Approve</v>
      </c>
    </row>
    <row r="62" spans="1:6" x14ac:dyDescent="0.25">
      <c r="A62" t="str">
        <f>SCORING_ENGINE!A62</f>
        <v>APP061</v>
      </c>
      <c r="B62" t="str">
        <f>SCORING_ENGINE!H62</f>
        <v>INELIGIBLE</v>
      </c>
      <c r="C62">
        <f>SCORING_ENGINE!S62</f>
        <v>47</v>
      </c>
      <c r="D62" t="str" cm="1">
        <f t="array" ref="D62">CLASSIFY_CREDIT(B62,C62)</f>
        <v>Reject</v>
      </c>
      <c r="E62" t="str">
        <f t="shared" si="0"/>
        <v>N/A</v>
      </c>
      <c r="F62" t="str">
        <f t="shared" si="1"/>
        <v>Reject</v>
      </c>
    </row>
    <row r="63" spans="1:6" x14ac:dyDescent="0.25">
      <c r="A63" t="str">
        <f>SCORING_ENGINE!A63</f>
        <v>APP062</v>
      </c>
      <c r="B63" t="str">
        <f>SCORING_ENGINE!H63</f>
        <v>INELIGIBLE</v>
      </c>
      <c r="C63">
        <f>SCORING_ENGINE!S63</f>
        <v>68</v>
      </c>
      <c r="D63" t="str" cm="1">
        <f t="array" ref="D63">CLASSIFY_CREDIT(B63,C63)</f>
        <v>Reject</v>
      </c>
      <c r="E63" t="str">
        <f t="shared" si="0"/>
        <v>N/A</v>
      </c>
      <c r="F63" t="str">
        <f t="shared" si="1"/>
        <v>Reject</v>
      </c>
    </row>
    <row r="64" spans="1:6" x14ac:dyDescent="0.25">
      <c r="A64" t="str">
        <f>SCORING_ENGINE!A64</f>
        <v>APP063</v>
      </c>
      <c r="B64" t="str">
        <f>SCORING_ENGINE!H64</f>
        <v>INELIGIBLE</v>
      </c>
      <c r="C64">
        <f>SCORING_ENGINE!S64</f>
        <v>62</v>
      </c>
      <c r="D64" t="str" cm="1">
        <f t="array" ref="D64">CLASSIFY_CREDIT(B64,C64)</f>
        <v>Reject</v>
      </c>
      <c r="E64" t="str">
        <f t="shared" si="0"/>
        <v>N/A</v>
      </c>
      <c r="F64" t="str">
        <f t="shared" si="1"/>
        <v>Reject</v>
      </c>
    </row>
    <row r="65" spans="1:6" x14ac:dyDescent="0.25">
      <c r="A65" t="str">
        <f>SCORING_ENGINE!A65</f>
        <v>APP064</v>
      </c>
      <c r="B65" t="str">
        <f>SCORING_ENGINE!H65</f>
        <v>ELIGIBLE</v>
      </c>
      <c r="C65">
        <f>SCORING_ENGINE!S65</f>
        <v>88</v>
      </c>
      <c r="D65" t="str" cm="1">
        <f t="array" ref="D65">CLASSIFY_CREDIT(B65,C65)</f>
        <v>Approve</v>
      </c>
      <c r="E65" t="str">
        <f t="shared" si="0"/>
        <v>High</v>
      </c>
      <c r="F65" t="str">
        <f t="shared" si="1"/>
        <v>Approve</v>
      </c>
    </row>
    <row r="66" spans="1:6" x14ac:dyDescent="0.25">
      <c r="A66" t="str">
        <f>SCORING_ENGINE!A66</f>
        <v>APP065</v>
      </c>
      <c r="B66" t="str">
        <f>SCORING_ENGINE!H66</f>
        <v>ELIGIBLE</v>
      </c>
      <c r="C66">
        <f>SCORING_ENGINE!S66</f>
        <v>79</v>
      </c>
      <c r="D66" t="str" cm="1">
        <f t="array" ref="D66">CLASSIFY_CREDIT(B66,C66)</f>
        <v>Approve</v>
      </c>
      <c r="E66" t="str">
        <f t="shared" si="0"/>
        <v>High</v>
      </c>
      <c r="F66" t="str">
        <f t="shared" si="1"/>
        <v>Approve</v>
      </c>
    </row>
    <row r="67" spans="1:6" x14ac:dyDescent="0.25">
      <c r="A67" t="str">
        <f>SCORING_ENGINE!A67</f>
        <v>APP066</v>
      </c>
      <c r="B67" t="str">
        <f>SCORING_ENGINE!H67</f>
        <v>INELIGIBLE</v>
      </c>
      <c r="C67">
        <f>SCORING_ENGINE!S67</f>
        <v>63</v>
      </c>
      <c r="D67" t="str" cm="1">
        <f t="array" ref="D67">CLASSIFY_CREDIT(B67,C67)</f>
        <v>Reject</v>
      </c>
      <c r="E67" t="str">
        <f t="shared" ref="E67:E130" si="2">IF(B67="INELIGIBLE","N/A",IF(C67&gt;=70,"High",IF(C67&gt;=50,"Medium","Low")))</f>
        <v>N/A</v>
      </c>
      <c r="F67" t="str">
        <f t="shared" ref="F67:F130" si="3">D67</f>
        <v>Reject</v>
      </c>
    </row>
    <row r="68" spans="1:6" x14ac:dyDescent="0.25">
      <c r="A68" t="str">
        <f>SCORING_ENGINE!A68</f>
        <v>APP067</v>
      </c>
      <c r="B68" t="str">
        <f>SCORING_ENGINE!H68</f>
        <v>INELIGIBLE</v>
      </c>
      <c r="C68">
        <f>SCORING_ENGINE!S68</f>
        <v>54</v>
      </c>
      <c r="D68" t="str" cm="1">
        <f t="array" ref="D68">CLASSIFY_CREDIT(B68,C68)</f>
        <v>Reject</v>
      </c>
      <c r="E68" t="str">
        <f t="shared" si="2"/>
        <v>N/A</v>
      </c>
      <c r="F68" t="str">
        <f t="shared" si="3"/>
        <v>Reject</v>
      </c>
    </row>
    <row r="69" spans="1:6" x14ac:dyDescent="0.25">
      <c r="A69" t="str">
        <f>SCORING_ENGINE!A69</f>
        <v>APP068</v>
      </c>
      <c r="B69" t="str">
        <f>SCORING_ENGINE!H69</f>
        <v>INELIGIBLE</v>
      </c>
      <c r="C69">
        <f>SCORING_ENGINE!S69</f>
        <v>65</v>
      </c>
      <c r="D69" t="str" cm="1">
        <f t="array" ref="D69">CLASSIFY_CREDIT(B69,C69)</f>
        <v>Reject</v>
      </c>
      <c r="E69" t="str">
        <f t="shared" si="2"/>
        <v>N/A</v>
      </c>
      <c r="F69" t="str">
        <f t="shared" si="3"/>
        <v>Reject</v>
      </c>
    </row>
    <row r="70" spans="1:6" x14ac:dyDescent="0.25">
      <c r="A70" t="str">
        <f>SCORING_ENGINE!A70</f>
        <v>APP069</v>
      </c>
      <c r="B70" t="str">
        <f>SCORING_ENGINE!H70</f>
        <v>INELIGIBLE</v>
      </c>
      <c r="C70">
        <f>SCORING_ENGINE!S70</f>
        <v>57</v>
      </c>
      <c r="D70" t="str" cm="1">
        <f t="array" ref="D70">CLASSIFY_CREDIT(B70,C70)</f>
        <v>Reject</v>
      </c>
      <c r="E70" t="str">
        <f t="shared" si="2"/>
        <v>N/A</v>
      </c>
      <c r="F70" t="str">
        <f t="shared" si="3"/>
        <v>Reject</v>
      </c>
    </row>
    <row r="71" spans="1:6" x14ac:dyDescent="0.25">
      <c r="A71" t="str">
        <f>SCORING_ENGINE!A71</f>
        <v>APP070</v>
      </c>
      <c r="B71" t="str">
        <f>SCORING_ENGINE!H71</f>
        <v>ELIGIBLE</v>
      </c>
      <c r="C71">
        <f>SCORING_ENGINE!S71</f>
        <v>77</v>
      </c>
      <c r="D71" t="str" cm="1">
        <f t="array" ref="D71">CLASSIFY_CREDIT(B71,C71)</f>
        <v>Approve</v>
      </c>
      <c r="E71" t="str">
        <f t="shared" si="2"/>
        <v>High</v>
      </c>
      <c r="F71" t="str">
        <f t="shared" si="3"/>
        <v>Approve</v>
      </c>
    </row>
    <row r="72" spans="1:6" x14ac:dyDescent="0.25">
      <c r="A72" t="str">
        <f>SCORING_ENGINE!A72</f>
        <v>APP071</v>
      </c>
      <c r="B72" t="str">
        <f>SCORING_ENGINE!H72</f>
        <v>INELIGIBLE</v>
      </c>
      <c r="C72">
        <f>SCORING_ENGINE!S72</f>
        <v>56</v>
      </c>
      <c r="D72" t="str" cm="1">
        <f t="array" ref="D72">CLASSIFY_CREDIT(B72,C72)</f>
        <v>Reject</v>
      </c>
      <c r="E72" t="str">
        <f t="shared" si="2"/>
        <v>N/A</v>
      </c>
      <c r="F72" t="str">
        <f t="shared" si="3"/>
        <v>Reject</v>
      </c>
    </row>
    <row r="73" spans="1:6" x14ac:dyDescent="0.25">
      <c r="A73" t="str">
        <f>SCORING_ENGINE!A73</f>
        <v>APP072</v>
      </c>
      <c r="B73" t="str">
        <f>SCORING_ENGINE!H73</f>
        <v>ELIGIBLE</v>
      </c>
      <c r="C73">
        <f>SCORING_ENGINE!S73</f>
        <v>71</v>
      </c>
      <c r="D73" t="str" cm="1">
        <f t="array" ref="D73">CLASSIFY_CREDIT(B73,C73)</f>
        <v>Approve</v>
      </c>
      <c r="E73" t="str">
        <f t="shared" si="2"/>
        <v>High</v>
      </c>
      <c r="F73" t="str">
        <f t="shared" si="3"/>
        <v>Approve</v>
      </c>
    </row>
    <row r="74" spans="1:6" x14ac:dyDescent="0.25">
      <c r="A74" t="str">
        <f>SCORING_ENGINE!A74</f>
        <v>APP073</v>
      </c>
      <c r="B74" t="str">
        <f>SCORING_ENGINE!H74</f>
        <v>INELIGIBLE</v>
      </c>
      <c r="C74">
        <f>SCORING_ENGINE!S74</f>
        <v>46</v>
      </c>
      <c r="D74" t="str" cm="1">
        <f t="array" ref="D74">CLASSIFY_CREDIT(B74,C74)</f>
        <v>Reject</v>
      </c>
      <c r="E74" t="str">
        <f t="shared" si="2"/>
        <v>N/A</v>
      </c>
      <c r="F74" t="str">
        <f t="shared" si="3"/>
        <v>Reject</v>
      </c>
    </row>
    <row r="75" spans="1:6" x14ac:dyDescent="0.25">
      <c r="A75" t="str">
        <f>SCORING_ENGINE!A75</f>
        <v>APP074</v>
      </c>
      <c r="B75" t="str">
        <f>SCORING_ENGINE!H75</f>
        <v>INELIGIBLE</v>
      </c>
      <c r="C75">
        <f>SCORING_ENGINE!S75</f>
        <v>58</v>
      </c>
      <c r="D75" t="str" cm="1">
        <f t="array" ref="D75">CLASSIFY_CREDIT(B75,C75)</f>
        <v>Reject</v>
      </c>
      <c r="E75" t="str">
        <f t="shared" si="2"/>
        <v>N/A</v>
      </c>
      <c r="F75" t="str">
        <f t="shared" si="3"/>
        <v>Reject</v>
      </c>
    </row>
    <row r="76" spans="1:6" x14ac:dyDescent="0.25">
      <c r="A76" t="str">
        <f>SCORING_ENGINE!A76</f>
        <v>APP075</v>
      </c>
      <c r="B76" t="str">
        <f>SCORING_ENGINE!H76</f>
        <v>INELIGIBLE</v>
      </c>
      <c r="C76">
        <f>SCORING_ENGINE!S76</f>
        <v>60</v>
      </c>
      <c r="D76" t="str" cm="1">
        <f t="array" ref="D76">CLASSIFY_CREDIT(B76,C76)</f>
        <v>Reject</v>
      </c>
      <c r="E76" t="str">
        <f t="shared" si="2"/>
        <v>N/A</v>
      </c>
      <c r="F76" t="str">
        <f t="shared" si="3"/>
        <v>Reject</v>
      </c>
    </row>
    <row r="77" spans="1:6" x14ac:dyDescent="0.25">
      <c r="A77" t="str">
        <f>SCORING_ENGINE!A77</f>
        <v>APP076</v>
      </c>
      <c r="B77" t="str">
        <f>SCORING_ENGINE!H77</f>
        <v>ELIGIBLE</v>
      </c>
      <c r="C77">
        <f>SCORING_ENGINE!S77</f>
        <v>68</v>
      </c>
      <c r="D77" t="str" cm="1">
        <f t="array" ref="D77">CLASSIFY_CREDIT(B77,C77)</f>
        <v>Review</v>
      </c>
      <c r="E77" t="str">
        <f t="shared" si="2"/>
        <v>Medium</v>
      </c>
      <c r="F77" t="str">
        <f t="shared" si="3"/>
        <v>Review</v>
      </c>
    </row>
    <row r="78" spans="1:6" x14ac:dyDescent="0.25">
      <c r="A78" t="str">
        <f>SCORING_ENGINE!A78</f>
        <v>APP077</v>
      </c>
      <c r="B78" t="str">
        <f>SCORING_ENGINE!H78</f>
        <v>ELIGIBLE</v>
      </c>
      <c r="C78">
        <f>SCORING_ENGINE!S78</f>
        <v>99</v>
      </c>
      <c r="D78" t="str" cm="1">
        <f t="array" ref="D78">CLASSIFY_CREDIT(B78,C78)</f>
        <v>Approve</v>
      </c>
      <c r="E78" t="str">
        <f t="shared" si="2"/>
        <v>High</v>
      </c>
      <c r="F78" t="str">
        <f t="shared" si="3"/>
        <v>Approve</v>
      </c>
    </row>
    <row r="79" spans="1:6" x14ac:dyDescent="0.25">
      <c r="A79" t="str">
        <f>SCORING_ENGINE!A79</f>
        <v>APP078</v>
      </c>
      <c r="B79" t="str">
        <f>SCORING_ENGINE!H79</f>
        <v>INELIGIBLE</v>
      </c>
      <c r="C79">
        <f>SCORING_ENGINE!S79</f>
        <v>45</v>
      </c>
      <c r="D79" t="str" cm="1">
        <f t="array" ref="D79">CLASSIFY_CREDIT(B79,C79)</f>
        <v>Reject</v>
      </c>
      <c r="E79" t="str">
        <f t="shared" si="2"/>
        <v>N/A</v>
      </c>
      <c r="F79" t="str">
        <f t="shared" si="3"/>
        <v>Reject</v>
      </c>
    </row>
    <row r="80" spans="1:6" x14ac:dyDescent="0.25">
      <c r="A80" t="str">
        <f>SCORING_ENGINE!A80</f>
        <v>APP079</v>
      </c>
      <c r="B80" t="str">
        <f>SCORING_ENGINE!H80</f>
        <v>ELIGIBLE</v>
      </c>
      <c r="C80">
        <f>SCORING_ENGINE!S80</f>
        <v>80</v>
      </c>
      <c r="D80" t="str" cm="1">
        <f t="array" ref="D80">CLASSIFY_CREDIT(B80,C80)</f>
        <v>Approve</v>
      </c>
      <c r="E80" t="str">
        <f t="shared" si="2"/>
        <v>High</v>
      </c>
      <c r="F80" t="str">
        <f t="shared" si="3"/>
        <v>Approve</v>
      </c>
    </row>
    <row r="81" spans="1:6" x14ac:dyDescent="0.25">
      <c r="A81" t="str">
        <f>SCORING_ENGINE!A81</f>
        <v>APP080</v>
      </c>
      <c r="B81" t="str">
        <f>SCORING_ENGINE!H81</f>
        <v>ELIGIBLE</v>
      </c>
      <c r="C81">
        <f>SCORING_ENGINE!S81</f>
        <v>91</v>
      </c>
      <c r="D81" t="str" cm="1">
        <f t="array" ref="D81">CLASSIFY_CREDIT(B81,C81)</f>
        <v>Approve</v>
      </c>
      <c r="E81" t="str">
        <f t="shared" si="2"/>
        <v>High</v>
      </c>
      <c r="F81" t="str">
        <f t="shared" si="3"/>
        <v>Approve</v>
      </c>
    </row>
    <row r="82" spans="1:6" x14ac:dyDescent="0.25">
      <c r="A82" t="str">
        <f>SCORING_ENGINE!A82</f>
        <v>APP081</v>
      </c>
      <c r="B82" t="str">
        <f>SCORING_ENGINE!H82</f>
        <v>INELIGIBLE</v>
      </c>
      <c r="C82">
        <f>SCORING_ENGINE!S82</f>
        <v>77</v>
      </c>
      <c r="D82" t="str" cm="1">
        <f t="array" ref="D82">CLASSIFY_CREDIT(B82,C82)</f>
        <v>Reject</v>
      </c>
      <c r="E82" t="str">
        <f t="shared" si="2"/>
        <v>N/A</v>
      </c>
      <c r="F82" t="str">
        <f t="shared" si="3"/>
        <v>Reject</v>
      </c>
    </row>
    <row r="83" spans="1:6" x14ac:dyDescent="0.25">
      <c r="A83" t="str">
        <f>SCORING_ENGINE!A83</f>
        <v>APP082</v>
      </c>
      <c r="B83" t="str">
        <f>SCORING_ENGINE!H83</f>
        <v>INELIGIBLE</v>
      </c>
      <c r="C83">
        <f>SCORING_ENGINE!S83</f>
        <v>61</v>
      </c>
      <c r="D83" t="str" cm="1">
        <f t="array" ref="D83">CLASSIFY_CREDIT(B83,C83)</f>
        <v>Reject</v>
      </c>
      <c r="E83" t="str">
        <f t="shared" si="2"/>
        <v>N/A</v>
      </c>
      <c r="F83" t="str">
        <f t="shared" si="3"/>
        <v>Reject</v>
      </c>
    </row>
    <row r="84" spans="1:6" x14ac:dyDescent="0.25">
      <c r="A84" t="str">
        <f>SCORING_ENGINE!A84</f>
        <v>APP083</v>
      </c>
      <c r="B84" t="str">
        <f>SCORING_ENGINE!H84</f>
        <v>INELIGIBLE</v>
      </c>
      <c r="C84">
        <f>SCORING_ENGINE!S84</f>
        <v>68</v>
      </c>
      <c r="D84" t="str" cm="1">
        <f t="array" ref="D84">CLASSIFY_CREDIT(B84,C84)</f>
        <v>Reject</v>
      </c>
      <c r="E84" t="str">
        <f t="shared" si="2"/>
        <v>N/A</v>
      </c>
      <c r="F84" t="str">
        <f t="shared" si="3"/>
        <v>Reject</v>
      </c>
    </row>
    <row r="85" spans="1:6" x14ac:dyDescent="0.25">
      <c r="A85" t="str">
        <f>SCORING_ENGINE!A85</f>
        <v>APP084</v>
      </c>
      <c r="B85" t="str">
        <f>SCORING_ENGINE!H85</f>
        <v>INELIGIBLE</v>
      </c>
      <c r="C85">
        <f>SCORING_ENGINE!S85</f>
        <v>52</v>
      </c>
      <c r="D85" t="str" cm="1">
        <f t="array" ref="D85">CLASSIFY_CREDIT(B85,C85)</f>
        <v>Reject</v>
      </c>
      <c r="E85" t="str">
        <f t="shared" si="2"/>
        <v>N/A</v>
      </c>
      <c r="F85" t="str">
        <f t="shared" si="3"/>
        <v>Reject</v>
      </c>
    </row>
    <row r="86" spans="1:6" x14ac:dyDescent="0.25">
      <c r="A86" t="str">
        <f>SCORING_ENGINE!A86</f>
        <v>APP085</v>
      </c>
      <c r="B86" t="str">
        <f>SCORING_ENGINE!H86</f>
        <v>INELIGIBLE</v>
      </c>
      <c r="C86">
        <f>SCORING_ENGINE!S86</f>
        <v>42</v>
      </c>
      <c r="D86" t="str" cm="1">
        <f t="array" ref="D86">CLASSIFY_CREDIT(B86,C86)</f>
        <v>Reject</v>
      </c>
      <c r="E86" t="str">
        <f t="shared" si="2"/>
        <v>N/A</v>
      </c>
      <c r="F86" t="str">
        <f t="shared" si="3"/>
        <v>Reject</v>
      </c>
    </row>
    <row r="87" spans="1:6" x14ac:dyDescent="0.25">
      <c r="A87" t="str">
        <f>SCORING_ENGINE!A87</f>
        <v>APP086</v>
      </c>
      <c r="B87" t="str">
        <f>SCORING_ENGINE!H87</f>
        <v>ELIGIBLE</v>
      </c>
      <c r="C87">
        <f>SCORING_ENGINE!S87</f>
        <v>96</v>
      </c>
      <c r="D87" t="str" cm="1">
        <f t="array" ref="D87">CLASSIFY_CREDIT(B87,C87)</f>
        <v>Approve</v>
      </c>
      <c r="E87" t="str">
        <f t="shared" si="2"/>
        <v>High</v>
      </c>
      <c r="F87" t="str">
        <f t="shared" si="3"/>
        <v>Approve</v>
      </c>
    </row>
    <row r="88" spans="1:6" x14ac:dyDescent="0.25">
      <c r="A88" t="str">
        <f>SCORING_ENGINE!A88</f>
        <v>APP087</v>
      </c>
      <c r="B88" t="str">
        <f>SCORING_ENGINE!H88</f>
        <v>INELIGIBLE</v>
      </c>
      <c r="C88">
        <f>SCORING_ENGINE!S88</f>
        <v>56</v>
      </c>
      <c r="D88" t="str" cm="1">
        <f t="array" ref="D88">CLASSIFY_CREDIT(B88,C88)</f>
        <v>Reject</v>
      </c>
      <c r="E88" t="str">
        <f t="shared" si="2"/>
        <v>N/A</v>
      </c>
      <c r="F88" t="str">
        <f t="shared" si="3"/>
        <v>Reject</v>
      </c>
    </row>
    <row r="89" spans="1:6" x14ac:dyDescent="0.25">
      <c r="A89" t="str">
        <f>SCORING_ENGINE!A89</f>
        <v>APP088</v>
      </c>
      <c r="B89" t="str">
        <f>SCORING_ENGINE!H89</f>
        <v>INELIGIBLE</v>
      </c>
      <c r="C89">
        <f>SCORING_ENGINE!S89</f>
        <v>41</v>
      </c>
      <c r="D89" t="str" cm="1">
        <f t="array" ref="D89">CLASSIFY_CREDIT(B89,C89)</f>
        <v>Reject</v>
      </c>
      <c r="E89" t="str">
        <f t="shared" si="2"/>
        <v>N/A</v>
      </c>
      <c r="F89" t="str">
        <f t="shared" si="3"/>
        <v>Reject</v>
      </c>
    </row>
    <row r="90" spans="1:6" x14ac:dyDescent="0.25">
      <c r="A90" t="str">
        <f>SCORING_ENGINE!A90</f>
        <v>APP089</v>
      </c>
      <c r="B90" t="str">
        <f>SCORING_ENGINE!H90</f>
        <v>INELIGIBLE</v>
      </c>
      <c r="C90">
        <f>SCORING_ENGINE!S90</f>
        <v>60</v>
      </c>
      <c r="D90" t="str" cm="1">
        <f t="array" ref="D90">CLASSIFY_CREDIT(B90,C90)</f>
        <v>Reject</v>
      </c>
      <c r="E90" t="str">
        <f t="shared" si="2"/>
        <v>N/A</v>
      </c>
      <c r="F90" t="str">
        <f t="shared" si="3"/>
        <v>Reject</v>
      </c>
    </row>
    <row r="91" spans="1:6" x14ac:dyDescent="0.25">
      <c r="A91" t="str">
        <f>SCORING_ENGINE!A91</f>
        <v>APP090</v>
      </c>
      <c r="B91" t="str">
        <f>SCORING_ENGINE!H91</f>
        <v>INELIGIBLE</v>
      </c>
      <c r="C91">
        <f>SCORING_ENGINE!S91</f>
        <v>71</v>
      </c>
      <c r="D91" t="str" cm="1">
        <f t="array" ref="D91">CLASSIFY_CREDIT(B91,C91)</f>
        <v>Reject</v>
      </c>
      <c r="E91" t="str">
        <f t="shared" si="2"/>
        <v>N/A</v>
      </c>
      <c r="F91" t="str">
        <f t="shared" si="3"/>
        <v>Reject</v>
      </c>
    </row>
    <row r="92" spans="1:6" x14ac:dyDescent="0.25">
      <c r="A92" t="str">
        <f>SCORING_ENGINE!A92</f>
        <v>APP091</v>
      </c>
      <c r="B92" t="str">
        <f>SCORING_ENGINE!H92</f>
        <v>INELIGIBLE</v>
      </c>
      <c r="C92">
        <f>SCORING_ENGINE!S92</f>
        <v>53</v>
      </c>
      <c r="D92" t="str" cm="1">
        <f t="array" ref="D92">CLASSIFY_CREDIT(B92,C92)</f>
        <v>Reject</v>
      </c>
      <c r="E92" t="str">
        <f t="shared" si="2"/>
        <v>N/A</v>
      </c>
      <c r="F92" t="str">
        <f t="shared" si="3"/>
        <v>Reject</v>
      </c>
    </row>
    <row r="93" spans="1:6" x14ac:dyDescent="0.25">
      <c r="A93" t="str">
        <f>SCORING_ENGINE!A93</f>
        <v>APP092</v>
      </c>
      <c r="B93" t="str">
        <f>SCORING_ENGINE!H93</f>
        <v>ELIGIBLE</v>
      </c>
      <c r="C93">
        <f>SCORING_ENGINE!S93</f>
        <v>61</v>
      </c>
      <c r="D93" t="str" cm="1">
        <f t="array" ref="D93">CLASSIFY_CREDIT(B93,C93)</f>
        <v>Review</v>
      </c>
      <c r="E93" t="str">
        <f t="shared" si="2"/>
        <v>Medium</v>
      </c>
      <c r="F93" t="str">
        <f t="shared" si="3"/>
        <v>Review</v>
      </c>
    </row>
    <row r="94" spans="1:6" x14ac:dyDescent="0.25">
      <c r="A94" t="str">
        <f>SCORING_ENGINE!A94</f>
        <v>APP093</v>
      </c>
      <c r="B94" t="str">
        <f>SCORING_ENGINE!H94</f>
        <v>INELIGIBLE</v>
      </c>
      <c r="C94">
        <f>SCORING_ENGINE!S94</f>
        <v>60</v>
      </c>
      <c r="D94" t="str" cm="1">
        <f t="array" ref="D94">CLASSIFY_CREDIT(B94,C94)</f>
        <v>Reject</v>
      </c>
      <c r="E94" t="str">
        <f t="shared" si="2"/>
        <v>N/A</v>
      </c>
      <c r="F94" t="str">
        <f t="shared" si="3"/>
        <v>Reject</v>
      </c>
    </row>
    <row r="95" spans="1:6" x14ac:dyDescent="0.25">
      <c r="A95" t="str">
        <f>SCORING_ENGINE!A95</f>
        <v>APP094</v>
      </c>
      <c r="B95" t="str">
        <f>SCORING_ENGINE!H95</f>
        <v>INELIGIBLE</v>
      </c>
      <c r="C95">
        <f>SCORING_ENGINE!S95</f>
        <v>51</v>
      </c>
      <c r="D95" t="str" cm="1">
        <f t="array" ref="D95">CLASSIFY_CREDIT(B95,C95)</f>
        <v>Reject</v>
      </c>
      <c r="E95" t="str">
        <f t="shared" si="2"/>
        <v>N/A</v>
      </c>
      <c r="F95" t="str">
        <f t="shared" si="3"/>
        <v>Reject</v>
      </c>
    </row>
    <row r="96" spans="1:6" x14ac:dyDescent="0.25">
      <c r="A96" t="str">
        <f>SCORING_ENGINE!A96</f>
        <v>APP095</v>
      </c>
      <c r="B96" t="str">
        <f>SCORING_ENGINE!H96</f>
        <v>INELIGIBLE</v>
      </c>
      <c r="C96">
        <f>SCORING_ENGINE!S96</f>
        <v>26</v>
      </c>
      <c r="D96" t="str" cm="1">
        <f t="array" ref="D96">CLASSIFY_CREDIT(B96,C96)</f>
        <v>Reject</v>
      </c>
      <c r="E96" t="str">
        <f t="shared" si="2"/>
        <v>N/A</v>
      </c>
      <c r="F96" t="str">
        <f t="shared" si="3"/>
        <v>Reject</v>
      </c>
    </row>
    <row r="97" spans="1:6" x14ac:dyDescent="0.25">
      <c r="A97" t="str">
        <f>SCORING_ENGINE!A97</f>
        <v>APP096</v>
      </c>
      <c r="B97" t="str">
        <f>SCORING_ENGINE!H97</f>
        <v>INELIGIBLE</v>
      </c>
      <c r="C97">
        <f>SCORING_ENGINE!S97</f>
        <v>49</v>
      </c>
      <c r="D97" t="str" cm="1">
        <f t="array" ref="D97">CLASSIFY_CREDIT(B97,C97)</f>
        <v>Reject</v>
      </c>
      <c r="E97" t="str">
        <f t="shared" si="2"/>
        <v>N/A</v>
      </c>
      <c r="F97" t="str">
        <f t="shared" si="3"/>
        <v>Reject</v>
      </c>
    </row>
    <row r="98" spans="1:6" x14ac:dyDescent="0.25">
      <c r="A98" t="str">
        <f>SCORING_ENGINE!A98</f>
        <v>APP097</v>
      </c>
      <c r="B98" t="str">
        <f>SCORING_ENGINE!H98</f>
        <v>ELIGIBLE</v>
      </c>
      <c r="C98">
        <f>SCORING_ENGINE!S98</f>
        <v>82</v>
      </c>
      <c r="D98" t="str" cm="1">
        <f t="array" ref="D98">CLASSIFY_CREDIT(B98,C98)</f>
        <v>Approve</v>
      </c>
      <c r="E98" t="str">
        <f t="shared" si="2"/>
        <v>High</v>
      </c>
      <c r="F98" t="str">
        <f t="shared" si="3"/>
        <v>Approve</v>
      </c>
    </row>
    <row r="99" spans="1:6" x14ac:dyDescent="0.25">
      <c r="A99" t="str">
        <f>SCORING_ENGINE!A99</f>
        <v>APP098</v>
      </c>
      <c r="B99" t="str">
        <f>SCORING_ENGINE!H99</f>
        <v>INELIGIBLE</v>
      </c>
      <c r="C99">
        <f>SCORING_ENGINE!S99</f>
        <v>59</v>
      </c>
      <c r="D99" t="str" cm="1">
        <f t="array" ref="D99">CLASSIFY_CREDIT(B99,C99)</f>
        <v>Reject</v>
      </c>
      <c r="E99" t="str">
        <f t="shared" si="2"/>
        <v>N/A</v>
      </c>
      <c r="F99" t="str">
        <f t="shared" si="3"/>
        <v>Reject</v>
      </c>
    </row>
    <row r="100" spans="1:6" x14ac:dyDescent="0.25">
      <c r="A100" t="str">
        <f>SCORING_ENGINE!A100</f>
        <v>APP099</v>
      </c>
      <c r="B100" t="str">
        <f>SCORING_ENGINE!H100</f>
        <v>ELIGIBLE</v>
      </c>
      <c r="C100">
        <f>SCORING_ENGINE!S100</f>
        <v>83</v>
      </c>
      <c r="D100" t="str" cm="1">
        <f t="array" ref="D100">CLASSIFY_CREDIT(B100,C100)</f>
        <v>Approve</v>
      </c>
      <c r="E100" t="str">
        <f t="shared" si="2"/>
        <v>High</v>
      </c>
      <c r="F100" t="str">
        <f t="shared" si="3"/>
        <v>Approve</v>
      </c>
    </row>
    <row r="101" spans="1:6" x14ac:dyDescent="0.25">
      <c r="A101" t="str">
        <f>SCORING_ENGINE!A101</f>
        <v>APP100</v>
      </c>
      <c r="B101" t="str">
        <f>SCORING_ENGINE!H101</f>
        <v>INELIGIBLE</v>
      </c>
      <c r="C101">
        <f>SCORING_ENGINE!S101</f>
        <v>69</v>
      </c>
      <c r="D101" t="str" cm="1">
        <f t="array" ref="D101">CLASSIFY_CREDIT(B101,C101)</f>
        <v>Reject</v>
      </c>
      <c r="E101" t="str">
        <f t="shared" si="2"/>
        <v>N/A</v>
      </c>
      <c r="F101" t="str">
        <f t="shared" si="3"/>
        <v>Reject</v>
      </c>
    </row>
    <row r="102" spans="1:6" x14ac:dyDescent="0.25">
      <c r="A102" t="str">
        <f>SCORING_ENGINE!A102</f>
        <v>APP101</v>
      </c>
      <c r="B102" t="str">
        <f>SCORING_ENGINE!H102</f>
        <v>INELIGIBLE</v>
      </c>
      <c r="C102">
        <f>SCORING_ENGINE!S102</f>
        <v>45</v>
      </c>
      <c r="D102" t="str" cm="1">
        <f t="array" ref="D102">CLASSIFY_CREDIT(B102,C102)</f>
        <v>Reject</v>
      </c>
      <c r="E102" t="str">
        <f t="shared" si="2"/>
        <v>N/A</v>
      </c>
      <c r="F102" t="str">
        <f t="shared" si="3"/>
        <v>Reject</v>
      </c>
    </row>
    <row r="103" spans="1:6" x14ac:dyDescent="0.25">
      <c r="A103" t="str">
        <f>SCORING_ENGINE!A103</f>
        <v>APP102</v>
      </c>
      <c r="B103" t="str">
        <f>SCORING_ENGINE!H103</f>
        <v>INELIGIBLE</v>
      </c>
      <c r="C103">
        <f>SCORING_ENGINE!S103</f>
        <v>65</v>
      </c>
      <c r="D103" t="str" cm="1">
        <f t="array" ref="D103">CLASSIFY_CREDIT(B103,C103)</f>
        <v>Reject</v>
      </c>
      <c r="E103" t="str">
        <f t="shared" si="2"/>
        <v>N/A</v>
      </c>
      <c r="F103" t="str">
        <f t="shared" si="3"/>
        <v>Reject</v>
      </c>
    </row>
    <row r="104" spans="1:6" x14ac:dyDescent="0.25">
      <c r="A104" t="str">
        <f>SCORING_ENGINE!A104</f>
        <v>APP103</v>
      </c>
      <c r="B104" t="str">
        <f>SCORING_ENGINE!H104</f>
        <v>INELIGIBLE</v>
      </c>
      <c r="C104">
        <f>SCORING_ENGINE!S104</f>
        <v>76</v>
      </c>
      <c r="D104" t="str" cm="1">
        <f t="array" ref="D104">CLASSIFY_CREDIT(B104,C104)</f>
        <v>Reject</v>
      </c>
      <c r="E104" t="str">
        <f t="shared" si="2"/>
        <v>N/A</v>
      </c>
      <c r="F104" t="str">
        <f t="shared" si="3"/>
        <v>Reject</v>
      </c>
    </row>
    <row r="105" spans="1:6" x14ac:dyDescent="0.25">
      <c r="A105" t="str">
        <f>SCORING_ENGINE!A105</f>
        <v>APP104</v>
      </c>
      <c r="B105" t="str">
        <f>SCORING_ENGINE!H105</f>
        <v>INELIGIBLE</v>
      </c>
      <c r="C105">
        <f>SCORING_ENGINE!S105</f>
        <v>64</v>
      </c>
      <c r="D105" t="str" cm="1">
        <f t="array" ref="D105">CLASSIFY_CREDIT(B105,C105)</f>
        <v>Reject</v>
      </c>
      <c r="E105" t="str">
        <f t="shared" si="2"/>
        <v>N/A</v>
      </c>
      <c r="F105" t="str">
        <f t="shared" si="3"/>
        <v>Reject</v>
      </c>
    </row>
    <row r="106" spans="1:6" x14ac:dyDescent="0.25">
      <c r="A106" t="str">
        <f>SCORING_ENGINE!A106</f>
        <v>APP105</v>
      </c>
      <c r="B106" t="str">
        <f>SCORING_ENGINE!H106</f>
        <v>INELIGIBLE</v>
      </c>
      <c r="C106">
        <f>SCORING_ENGINE!S106</f>
        <v>64</v>
      </c>
      <c r="D106" t="str" cm="1">
        <f t="array" ref="D106">CLASSIFY_CREDIT(B106,C106)</f>
        <v>Reject</v>
      </c>
      <c r="E106" t="str">
        <f t="shared" si="2"/>
        <v>N/A</v>
      </c>
      <c r="F106" t="str">
        <f t="shared" si="3"/>
        <v>Reject</v>
      </c>
    </row>
    <row r="107" spans="1:6" x14ac:dyDescent="0.25">
      <c r="A107" t="str">
        <f>SCORING_ENGINE!A107</f>
        <v>APP106</v>
      </c>
      <c r="B107" t="str">
        <f>SCORING_ENGINE!H107</f>
        <v>INELIGIBLE</v>
      </c>
      <c r="C107">
        <f>SCORING_ENGINE!S107</f>
        <v>42</v>
      </c>
      <c r="D107" t="str" cm="1">
        <f t="array" ref="D107">CLASSIFY_CREDIT(B107,C107)</f>
        <v>Reject</v>
      </c>
      <c r="E107" t="str">
        <f t="shared" si="2"/>
        <v>N/A</v>
      </c>
      <c r="F107" t="str">
        <f t="shared" si="3"/>
        <v>Reject</v>
      </c>
    </row>
    <row r="108" spans="1:6" x14ac:dyDescent="0.25">
      <c r="A108" t="str">
        <f>SCORING_ENGINE!A108</f>
        <v>APP107</v>
      </c>
      <c r="B108" t="str">
        <f>SCORING_ENGINE!H108</f>
        <v>ELIGIBLE</v>
      </c>
      <c r="C108">
        <f>SCORING_ENGINE!S108</f>
        <v>85</v>
      </c>
      <c r="D108" t="str" cm="1">
        <f t="array" ref="D108">CLASSIFY_CREDIT(B108,C108)</f>
        <v>Approve</v>
      </c>
      <c r="E108" t="str">
        <f t="shared" si="2"/>
        <v>High</v>
      </c>
      <c r="F108" t="str">
        <f t="shared" si="3"/>
        <v>Approve</v>
      </c>
    </row>
    <row r="109" spans="1:6" x14ac:dyDescent="0.25">
      <c r="A109" t="str">
        <f>SCORING_ENGINE!A109</f>
        <v>APP108</v>
      </c>
      <c r="B109" t="str">
        <f>SCORING_ENGINE!H109</f>
        <v>ELIGIBLE</v>
      </c>
      <c r="C109">
        <f>SCORING_ENGINE!S109</f>
        <v>88</v>
      </c>
      <c r="D109" t="str" cm="1">
        <f t="array" ref="D109">CLASSIFY_CREDIT(B109,C109)</f>
        <v>Approve</v>
      </c>
      <c r="E109" t="str">
        <f t="shared" si="2"/>
        <v>High</v>
      </c>
      <c r="F109" t="str">
        <f t="shared" si="3"/>
        <v>Approve</v>
      </c>
    </row>
    <row r="110" spans="1:6" x14ac:dyDescent="0.25">
      <c r="A110" t="str">
        <f>SCORING_ENGINE!A110</f>
        <v>APP109</v>
      </c>
      <c r="B110" t="str">
        <f>SCORING_ENGINE!H110</f>
        <v>ELIGIBLE</v>
      </c>
      <c r="C110">
        <f>SCORING_ENGINE!S110</f>
        <v>76</v>
      </c>
      <c r="D110" t="str" cm="1">
        <f t="array" ref="D110">CLASSIFY_CREDIT(B110,C110)</f>
        <v>Approve</v>
      </c>
      <c r="E110" t="str">
        <f t="shared" si="2"/>
        <v>High</v>
      </c>
      <c r="F110" t="str">
        <f t="shared" si="3"/>
        <v>Approve</v>
      </c>
    </row>
    <row r="111" spans="1:6" x14ac:dyDescent="0.25">
      <c r="A111" t="str">
        <f>SCORING_ENGINE!A111</f>
        <v>APP110</v>
      </c>
      <c r="B111" t="str">
        <f>SCORING_ENGINE!H111</f>
        <v>INELIGIBLE</v>
      </c>
      <c r="C111">
        <f>SCORING_ENGINE!S111</f>
        <v>21</v>
      </c>
      <c r="D111" t="str" cm="1">
        <f t="array" ref="D111">CLASSIFY_CREDIT(B111,C111)</f>
        <v>Reject</v>
      </c>
      <c r="E111" t="str">
        <f t="shared" si="2"/>
        <v>N/A</v>
      </c>
      <c r="F111" t="str">
        <f t="shared" si="3"/>
        <v>Reject</v>
      </c>
    </row>
    <row r="112" spans="1:6" x14ac:dyDescent="0.25">
      <c r="A112" t="str">
        <f>SCORING_ENGINE!A112</f>
        <v>APP111</v>
      </c>
      <c r="B112" t="str">
        <f>SCORING_ENGINE!H112</f>
        <v>INELIGIBLE</v>
      </c>
      <c r="C112">
        <f>SCORING_ENGINE!S112</f>
        <v>55</v>
      </c>
      <c r="D112" t="str" cm="1">
        <f t="array" ref="D112">CLASSIFY_CREDIT(B112,C112)</f>
        <v>Reject</v>
      </c>
      <c r="E112" t="str">
        <f t="shared" si="2"/>
        <v>N/A</v>
      </c>
      <c r="F112" t="str">
        <f t="shared" si="3"/>
        <v>Reject</v>
      </c>
    </row>
    <row r="113" spans="1:6" x14ac:dyDescent="0.25">
      <c r="A113" t="str">
        <f>SCORING_ENGINE!A113</f>
        <v>APP112</v>
      </c>
      <c r="B113" t="str">
        <f>SCORING_ENGINE!H113</f>
        <v>INELIGIBLE</v>
      </c>
      <c r="C113">
        <f>SCORING_ENGINE!S113</f>
        <v>37</v>
      </c>
      <c r="D113" t="str" cm="1">
        <f t="array" ref="D113">CLASSIFY_CREDIT(B113,C113)</f>
        <v>Reject</v>
      </c>
      <c r="E113" t="str">
        <f t="shared" si="2"/>
        <v>N/A</v>
      </c>
      <c r="F113" t="str">
        <f t="shared" si="3"/>
        <v>Reject</v>
      </c>
    </row>
    <row r="114" spans="1:6" x14ac:dyDescent="0.25">
      <c r="A114" t="str">
        <f>SCORING_ENGINE!A114</f>
        <v>APP113</v>
      </c>
      <c r="B114" t="str">
        <f>SCORING_ENGINE!H114</f>
        <v>ELIGIBLE</v>
      </c>
      <c r="C114">
        <f>SCORING_ENGINE!S114</f>
        <v>96</v>
      </c>
      <c r="D114" t="str" cm="1">
        <f t="array" ref="D114">CLASSIFY_CREDIT(B114,C114)</f>
        <v>Approve</v>
      </c>
      <c r="E114" t="str">
        <f t="shared" si="2"/>
        <v>High</v>
      </c>
      <c r="F114" t="str">
        <f t="shared" si="3"/>
        <v>Approve</v>
      </c>
    </row>
    <row r="115" spans="1:6" x14ac:dyDescent="0.25">
      <c r="A115" t="str">
        <f>SCORING_ENGINE!A115</f>
        <v>APP114</v>
      </c>
      <c r="B115" t="str">
        <f>SCORING_ENGINE!H115</f>
        <v>INELIGIBLE</v>
      </c>
      <c r="C115">
        <f>SCORING_ENGINE!S115</f>
        <v>39</v>
      </c>
      <c r="D115" t="str" cm="1">
        <f t="array" ref="D115">CLASSIFY_CREDIT(B115,C115)</f>
        <v>Reject</v>
      </c>
      <c r="E115" t="str">
        <f t="shared" si="2"/>
        <v>N/A</v>
      </c>
      <c r="F115" t="str">
        <f t="shared" si="3"/>
        <v>Reject</v>
      </c>
    </row>
    <row r="116" spans="1:6" x14ac:dyDescent="0.25">
      <c r="A116" t="str">
        <f>SCORING_ENGINE!A116</f>
        <v>APP115</v>
      </c>
      <c r="B116" t="str">
        <f>SCORING_ENGINE!H116</f>
        <v>ELIGIBLE</v>
      </c>
      <c r="C116">
        <f>SCORING_ENGINE!S116</f>
        <v>77</v>
      </c>
      <c r="D116" t="str" cm="1">
        <f t="array" ref="D116">CLASSIFY_CREDIT(B116,C116)</f>
        <v>Approve</v>
      </c>
      <c r="E116" t="str">
        <f t="shared" si="2"/>
        <v>High</v>
      </c>
      <c r="F116" t="str">
        <f t="shared" si="3"/>
        <v>Approve</v>
      </c>
    </row>
    <row r="117" spans="1:6" x14ac:dyDescent="0.25">
      <c r="A117" t="str">
        <f>SCORING_ENGINE!A117</f>
        <v>APP116</v>
      </c>
      <c r="B117" t="str">
        <f>SCORING_ENGINE!H117</f>
        <v>INELIGIBLE</v>
      </c>
      <c r="C117">
        <f>SCORING_ENGINE!S117</f>
        <v>62</v>
      </c>
      <c r="D117" t="str" cm="1">
        <f t="array" ref="D117">CLASSIFY_CREDIT(B117,C117)</f>
        <v>Reject</v>
      </c>
      <c r="E117" t="str">
        <f t="shared" si="2"/>
        <v>N/A</v>
      </c>
      <c r="F117" t="str">
        <f t="shared" si="3"/>
        <v>Reject</v>
      </c>
    </row>
    <row r="118" spans="1:6" x14ac:dyDescent="0.25">
      <c r="A118" t="str">
        <f>SCORING_ENGINE!A118</f>
        <v>APP117</v>
      </c>
      <c r="B118" t="str">
        <f>SCORING_ENGINE!H118</f>
        <v>INELIGIBLE</v>
      </c>
      <c r="C118">
        <f>SCORING_ENGINE!S118</f>
        <v>53</v>
      </c>
      <c r="D118" t="str" cm="1">
        <f t="array" ref="D118">CLASSIFY_CREDIT(B118,C118)</f>
        <v>Reject</v>
      </c>
      <c r="E118" t="str">
        <f t="shared" si="2"/>
        <v>N/A</v>
      </c>
      <c r="F118" t="str">
        <f t="shared" si="3"/>
        <v>Reject</v>
      </c>
    </row>
    <row r="119" spans="1:6" x14ac:dyDescent="0.25">
      <c r="A119" t="str">
        <f>SCORING_ENGINE!A119</f>
        <v>APP118</v>
      </c>
      <c r="B119" t="str">
        <f>SCORING_ENGINE!H119</f>
        <v>INELIGIBLE</v>
      </c>
      <c r="C119">
        <f>SCORING_ENGINE!S119</f>
        <v>49</v>
      </c>
      <c r="D119" t="str" cm="1">
        <f t="array" ref="D119">CLASSIFY_CREDIT(B119,C119)</f>
        <v>Reject</v>
      </c>
      <c r="E119" t="str">
        <f t="shared" si="2"/>
        <v>N/A</v>
      </c>
      <c r="F119" t="str">
        <f t="shared" si="3"/>
        <v>Reject</v>
      </c>
    </row>
    <row r="120" spans="1:6" x14ac:dyDescent="0.25">
      <c r="A120" t="str">
        <f>SCORING_ENGINE!A120</f>
        <v>APP119</v>
      </c>
      <c r="B120" t="str">
        <f>SCORING_ENGINE!H120</f>
        <v>ELIGIBLE</v>
      </c>
      <c r="C120">
        <f>SCORING_ENGINE!S120</f>
        <v>73</v>
      </c>
      <c r="D120" t="str" cm="1">
        <f t="array" ref="D120">CLASSIFY_CREDIT(B120,C120)</f>
        <v>Approve</v>
      </c>
      <c r="E120" t="str">
        <f t="shared" si="2"/>
        <v>High</v>
      </c>
      <c r="F120" t="str">
        <f t="shared" si="3"/>
        <v>Approve</v>
      </c>
    </row>
    <row r="121" spans="1:6" x14ac:dyDescent="0.25">
      <c r="A121" t="str">
        <f>SCORING_ENGINE!A121</f>
        <v>APP120</v>
      </c>
      <c r="B121" t="str">
        <f>SCORING_ENGINE!H121</f>
        <v>ELIGIBLE</v>
      </c>
      <c r="C121">
        <f>SCORING_ENGINE!S121</f>
        <v>90</v>
      </c>
      <c r="D121" t="str" cm="1">
        <f t="array" ref="D121">CLASSIFY_CREDIT(B121,C121)</f>
        <v>Approve</v>
      </c>
      <c r="E121" t="str">
        <f t="shared" si="2"/>
        <v>High</v>
      </c>
      <c r="F121" t="str">
        <f t="shared" si="3"/>
        <v>Approve</v>
      </c>
    </row>
    <row r="122" spans="1:6" x14ac:dyDescent="0.25">
      <c r="A122" t="str">
        <f>SCORING_ENGINE!A122</f>
        <v>APP121</v>
      </c>
      <c r="B122" t="str">
        <f>SCORING_ENGINE!H122</f>
        <v>INELIGIBLE</v>
      </c>
      <c r="C122">
        <f>SCORING_ENGINE!S122</f>
        <v>70</v>
      </c>
      <c r="D122" t="str" cm="1">
        <f t="array" ref="D122">CLASSIFY_CREDIT(B122,C122)</f>
        <v>Reject</v>
      </c>
      <c r="E122" t="str">
        <f t="shared" si="2"/>
        <v>N/A</v>
      </c>
      <c r="F122" t="str">
        <f t="shared" si="3"/>
        <v>Reject</v>
      </c>
    </row>
    <row r="123" spans="1:6" x14ac:dyDescent="0.25">
      <c r="A123" t="str">
        <f>SCORING_ENGINE!A123</f>
        <v>APP122</v>
      </c>
      <c r="B123" t="str">
        <f>SCORING_ENGINE!H123</f>
        <v>INELIGIBLE</v>
      </c>
      <c r="C123">
        <f>SCORING_ENGINE!S123</f>
        <v>44</v>
      </c>
      <c r="D123" t="str" cm="1">
        <f t="array" ref="D123">CLASSIFY_CREDIT(B123,C123)</f>
        <v>Reject</v>
      </c>
      <c r="E123" t="str">
        <f t="shared" si="2"/>
        <v>N/A</v>
      </c>
      <c r="F123" t="str">
        <f t="shared" si="3"/>
        <v>Reject</v>
      </c>
    </row>
    <row r="124" spans="1:6" x14ac:dyDescent="0.25">
      <c r="A124" t="str">
        <f>SCORING_ENGINE!A124</f>
        <v>APP123</v>
      </c>
      <c r="B124" t="str">
        <f>SCORING_ENGINE!H124</f>
        <v>INELIGIBLE</v>
      </c>
      <c r="C124">
        <f>SCORING_ENGINE!S124</f>
        <v>64</v>
      </c>
      <c r="D124" t="str" cm="1">
        <f t="array" ref="D124">CLASSIFY_CREDIT(B124,C124)</f>
        <v>Reject</v>
      </c>
      <c r="E124" t="str">
        <f t="shared" si="2"/>
        <v>N/A</v>
      </c>
      <c r="F124" t="str">
        <f t="shared" si="3"/>
        <v>Reject</v>
      </c>
    </row>
    <row r="125" spans="1:6" x14ac:dyDescent="0.25">
      <c r="A125" t="str">
        <f>SCORING_ENGINE!A125</f>
        <v>APP124</v>
      </c>
      <c r="B125" t="str">
        <f>SCORING_ENGINE!H125</f>
        <v>INELIGIBLE</v>
      </c>
      <c r="C125">
        <f>SCORING_ENGINE!S125</f>
        <v>51</v>
      </c>
      <c r="D125" t="str" cm="1">
        <f t="array" ref="D125">CLASSIFY_CREDIT(B125,C125)</f>
        <v>Reject</v>
      </c>
      <c r="E125" t="str">
        <f t="shared" si="2"/>
        <v>N/A</v>
      </c>
      <c r="F125" t="str">
        <f t="shared" si="3"/>
        <v>Reject</v>
      </c>
    </row>
    <row r="126" spans="1:6" x14ac:dyDescent="0.25">
      <c r="A126" t="str">
        <f>SCORING_ENGINE!A126</f>
        <v>APP125</v>
      </c>
      <c r="B126" t="str">
        <f>SCORING_ENGINE!H126</f>
        <v>INELIGIBLE</v>
      </c>
      <c r="C126">
        <f>SCORING_ENGINE!S126</f>
        <v>58</v>
      </c>
      <c r="D126" t="str" cm="1">
        <f t="array" ref="D126">CLASSIFY_CREDIT(B126,C126)</f>
        <v>Reject</v>
      </c>
      <c r="E126" t="str">
        <f t="shared" si="2"/>
        <v>N/A</v>
      </c>
      <c r="F126" t="str">
        <f t="shared" si="3"/>
        <v>Reject</v>
      </c>
    </row>
    <row r="127" spans="1:6" x14ac:dyDescent="0.25">
      <c r="A127" t="str">
        <f>SCORING_ENGINE!A127</f>
        <v>APP126</v>
      </c>
      <c r="B127" t="str">
        <f>SCORING_ENGINE!H127</f>
        <v>INELIGIBLE</v>
      </c>
      <c r="C127">
        <f>SCORING_ENGINE!S127</f>
        <v>61</v>
      </c>
      <c r="D127" t="str" cm="1">
        <f t="array" ref="D127">CLASSIFY_CREDIT(B127,C127)</f>
        <v>Reject</v>
      </c>
      <c r="E127" t="str">
        <f t="shared" si="2"/>
        <v>N/A</v>
      </c>
      <c r="F127" t="str">
        <f t="shared" si="3"/>
        <v>Reject</v>
      </c>
    </row>
    <row r="128" spans="1:6" x14ac:dyDescent="0.25">
      <c r="A128" t="str">
        <f>SCORING_ENGINE!A128</f>
        <v>APP127</v>
      </c>
      <c r="B128" t="str">
        <f>SCORING_ENGINE!H128</f>
        <v>INELIGIBLE</v>
      </c>
      <c r="C128">
        <f>SCORING_ENGINE!S128</f>
        <v>47</v>
      </c>
      <c r="D128" t="str" cm="1">
        <f t="array" ref="D128">CLASSIFY_CREDIT(B128,C128)</f>
        <v>Reject</v>
      </c>
      <c r="E128" t="str">
        <f t="shared" si="2"/>
        <v>N/A</v>
      </c>
      <c r="F128" t="str">
        <f t="shared" si="3"/>
        <v>Reject</v>
      </c>
    </row>
    <row r="129" spans="1:6" x14ac:dyDescent="0.25">
      <c r="A129" t="str">
        <f>SCORING_ENGINE!A129</f>
        <v>APP128</v>
      </c>
      <c r="B129" t="str">
        <f>SCORING_ENGINE!H129</f>
        <v>INELIGIBLE</v>
      </c>
      <c r="C129">
        <f>SCORING_ENGINE!S129</f>
        <v>65</v>
      </c>
      <c r="D129" t="str" cm="1">
        <f t="array" ref="D129">CLASSIFY_CREDIT(B129,C129)</f>
        <v>Reject</v>
      </c>
      <c r="E129" t="str">
        <f t="shared" si="2"/>
        <v>N/A</v>
      </c>
      <c r="F129" t="str">
        <f t="shared" si="3"/>
        <v>Reject</v>
      </c>
    </row>
    <row r="130" spans="1:6" x14ac:dyDescent="0.25">
      <c r="A130" t="str">
        <f>SCORING_ENGINE!A130</f>
        <v>APP129</v>
      </c>
      <c r="B130" t="str">
        <f>SCORING_ENGINE!H130</f>
        <v>INELIGIBLE</v>
      </c>
      <c r="C130">
        <f>SCORING_ENGINE!S130</f>
        <v>58</v>
      </c>
      <c r="D130" t="str" cm="1">
        <f t="array" ref="D130">CLASSIFY_CREDIT(B130,C130)</f>
        <v>Reject</v>
      </c>
      <c r="E130" t="str">
        <f t="shared" si="2"/>
        <v>N/A</v>
      </c>
      <c r="F130" t="str">
        <f t="shared" si="3"/>
        <v>Reject</v>
      </c>
    </row>
    <row r="131" spans="1:6" x14ac:dyDescent="0.25">
      <c r="A131" t="str">
        <f>SCORING_ENGINE!A131</f>
        <v>APP130</v>
      </c>
      <c r="B131" t="str">
        <f>SCORING_ENGINE!H131</f>
        <v>ELIGIBLE</v>
      </c>
      <c r="C131">
        <f>SCORING_ENGINE!S131</f>
        <v>82</v>
      </c>
      <c r="D131" t="str" cm="1">
        <f t="array" ref="D131">CLASSIFY_CREDIT(B131,C131)</f>
        <v>Approve</v>
      </c>
      <c r="E131" t="str">
        <f t="shared" ref="E131:E194" si="4">IF(B131="INELIGIBLE","N/A",IF(C131&gt;=70,"High",IF(C131&gt;=50,"Medium","Low")))</f>
        <v>High</v>
      </c>
      <c r="F131" t="str">
        <f t="shared" ref="F131:F194" si="5">D131</f>
        <v>Approve</v>
      </c>
    </row>
    <row r="132" spans="1:6" x14ac:dyDescent="0.25">
      <c r="A132" t="str">
        <f>SCORING_ENGINE!A132</f>
        <v>APP131</v>
      </c>
      <c r="B132" t="str">
        <f>SCORING_ENGINE!H132</f>
        <v>INELIGIBLE</v>
      </c>
      <c r="C132">
        <f>SCORING_ENGINE!S132</f>
        <v>64</v>
      </c>
      <c r="D132" t="str" cm="1">
        <f t="array" ref="D132">CLASSIFY_CREDIT(B132,C132)</f>
        <v>Reject</v>
      </c>
      <c r="E132" t="str">
        <f t="shared" si="4"/>
        <v>N/A</v>
      </c>
      <c r="F132" t="str">
        <f t="shared" si="5"/>
        <v>Reject</v>
      </c>
    </row>
    <row r="133" spans="1:6" x14ac:dyDescent="0.25">
      <c r="A133" t="str">
        <f>SCORING_ENGINE!A133</f>
        <v>APP132</v>
      </c>
      <c r="B133" t="str">
        <f>SCORING_ENGINE!H133</f>
        <v>INELIGIBLE</v>
      </c>
      <c r="C133">
        <f>SCORING_ENGINE!S133</f>
        <v>54</v>
      </c>
      <c r="D133" t="str" cm="1">
        <f t="array" ref="D133">CLASSIFY_CREDIT(B133,C133)</f>
        <v>Reject</v>
      </c>
      <c r="E133" t="str">
        <f t="shared" si="4"/>
        <v>N/A</v>
      </c>
      <c r="F133" t="str">
        <f t="shared" si="5"/>
        <v>Reject</v>
      </c>
    </row>
    <row r="134" spans="1:6" x14ac:dyDescent="0.25">
      <c r="A134" t="str">
        <f>SCORING_ENGINE!A134</f>
        <v>APP133</v>
      </c>
      <c r="B134" t="str">
        <f>SCORING_ENGINE!H134</f>
        <v>INELIGIBLE</v>
      </c>
      <c r="C134">
        <f>SCORING_ENGINE!S134</f>
        <v>47</v>
      </c>
      <c r="D134" t="str" cm="1">
        <f t="array" ref="D134">CLASSIFY_CREDIT(B134,C134)</f>
        <v>Reject</v>
      </c>
      <c r="E134" t="str">
        <f t="shared" si="4"/>
        <v>N/A</v>
      </c>
      <c r="F134" t="str">
        <f t="shared" si="5"/>
        <v>Reject</v>
      </c>
    </row>
    <row r="135" spans="1:6" x14ac:dyDescent="0.25">
      <c r="A135" t="str">
        <f>SCORING_ENGINE!A135</f>
        <v>APP134</v>
      </c>
      <c r="B135" t="str">
        <f>SCORING_ENGINE!H135</f>
        <v>INELIGIBLE</v>
      </c>
      <c r="C135">
        <f>SCORING_ENGINE!S135</f>
        <v>42</v>
      </c>
      <c r="D135" t="str" cm="1">
        <f t="array" ref="D135">CLASSIFY_CREDIT(B135,C135)</f>
        <v>Reject</v>
      </c>
      <c r="E135" t="str">
        <f t="shared" si="4"/>
        <v>N/A</v>
      </c>
      <c r="F135" t="str">
        <f t="shared" si="5"/>
        <v>Reject</v>
      </c>
    </row>
    <row r="136" spans="1:6" x14ac:dyDescent="0.25">
      <c r="A136" t="str">
        <f>SCORING_ENGINE!A136</f>
        <v>APP135</v>
      </c>
      <c r="B136" t="str">
        <f>SCORING_ENGINE!H136</f>
        <v>INELIGIBLE</v>
      </c>
      <c r="C136">
        <f>SCORING_ENGINE!S136</f>
        <v>53</v>
      </c>
      <c r="D136" t="str" cm="1">
        <f t="array" ref="D136">CLASSIFY_CREDIT(B136,C136)</f>
        <v>Reject</v>
      </c>
      <c r="E136" t="str">
        <f t="shared" si="4"/>
        <v>N/A</v>
      </c>
      <c r="F136" t="str">
        <f t="shared" si="5"/>
        <v>Reject</v>
      </c>
    </row>
    <row r="137" spans="1:6" x14ac:dyDescent="0.25">
      <c r="A137" t="str">
        <f>SCORING_ENGINE!A137</f>
        <v>APP136</v>
      </c>
      <c r="B137" t="str">
        <f>SCORING_ENGINE!H137</f>
        <v>INELIGIBLE</v>
      </c>
      <c r="C137">
        <f>SCORING_ENGINE!S137</f>
        <v>60</v>
      </c>
      <c r="D137" t="str" cm="1">
        <f t="array" ref="D137">CLASSIFY_CREDIT(B137,C137)</f>
        <v>Reject</v>
      </c>
      <c r="E137" t="str">
        <f t="shared" si="4"/>
        <v>N/A</v>
      </c>
      <c r="F137" t="str">
        <f t="shared" si="5"/>
        <v>Reject</v>
      </c>
    </row>
    <row r="138" spans="1:6" x14ac:dyDescent="0.25">
      <c r="A138" t="str">
        <f>SCORING_ENGINE!A138</f>
        <v>APP137</v>
      </c>
      <c r="B138" t="str">
        <f>SCORING_ENGINE!H138</f>
        <v>INELIGIBLE</v>
      </c>
      <c r="C138">
        <f>SCORING_ENGINE!S138</f>
        <v>63</v>
      </c>
      <c r="D138" t="str" cm="1">
        <f t="array" ref="D138">CLASSIFY_CREDIT(B138,C138)</f>
        <v>Reject</v>
      </c>
      <c r="E138" t="str">
        <f t="shared" si="4"/>
        <v>N/A</v>
      </c>
      <c r="F138" t="str">
        <f t="shared" si="5"/>
        <v>Reject</v>
      </c>
    </row>
    <row r="139" spans="1:6" x14ac:dyDescent="0.25">
      <c r="A139" t="str">
        <f>SCORING_ENGINE!A139</f>
        <v>APP138</v>
      </c>
      <c r="B139" t="str">
        <f>SCORING_ENGINE!H139</f>
        <v>INELIGIBLE</v>
      </c>
      <c r="C139">
        <f>SCORING_ENGINE!S139</f>
        <v>67</v>
      </c>
      <c r="D139" t="str" cm="1">
        <f t="array" ref="D139">CLASSIFY_CREDIT(B139,C139)</f>
        <v>Reject</v>
      </c>
      <c r="E139" t="str">
        <f t="shared" si="4"/>
        <v>N/A</v>
      </c>
      <c r="F139" t="str">
        <f t="shared" si="5"/>
        <v>Reject</v>
      </c>
    </row>
    <row r="140" spans="1:6" x14ac:dyDescent="0.25">
      <c r="A140" t="str">
        <f>SCORING_ENGINE!A140</f>
        <v>APP139</v>
      </c>
      <c r="B140" t="str">
        <f>SCORING_ENGINE!H140</f>
        <v>INELIGIBLE</v>
      </c>
      <c r="C140">
        <f>SCORING_ENGINE!S140</f>
        <v>79</v>
      </c>
      <c r="D140" t="str" cm="1">
        <f t="array" ref="D140">CLASSIFY_CREDIT(B140,C140)</f>
        <v>Reject</v>
      </c>
      <c r="E140" t="str">
        <f t="shared" si="4"/>
        <v>N/A</v>
      </c>
      <c r="F140" t="str">
        <f t="shared" si="5"/>
        <v>Reject</v>
      </c>
    </row>
    <row r="141" spans="1:6" x14ac:dyDescent="0.25">
      <c r="A141" t="str">
        <f>SCORING_ENGINE!A141</f>
        <v>APP140</v>
      </c>
      <c r="B141" t="str">
        <f>SCORING_ENGINE!H141</f>
        <v>ELIGIBLE</v>
      </c>
      <c r="C141">
        <f>SCORING_ENGINE!S141</f>
        <v>66</v>
      </c>
      <c r="D141" t="str" cm="1">
        <f t="array" ref="D141">CLASSIFY_CREDIT(B141,C141)</f>
        <v>Review</v>
      </c>
      <c r="E141" t="str">
        <f t="shared" si="4"/>
        <v>Medium</v>
      </c>
      <c r="F141" t="str">
        <f t="shared" si="5"/>
        <v>Review</v>
      </c>
    </row>
    <row r="142" spans="1:6" x14ac:dyDescent="0.25">
      <c r="A142" t="str">
        <f>SCORING_ENGINE!A142</f>
        <v>APP141</v>
      </c>
      <c r="B142" t="str">
        <f>SCORING_ENGINE!H142</f>
        <v>ELIGIBLE</v>
      </c>
      <c r="C142">
        <f>SCORING_ENGINE!S142</f>
        <v>60</v>
      </c>
      <c r="D142" t="str" cm="1">
        <f t="array" ref="D142">CLASSIFY_CREDIT(B142,C142)</f>
        <v>Review</v>
      </c>
      <c r="E142" t="str">
        <f t="shared" si="4"/>
        <v>Medium</v>
      </c>
      <c r="F142" t="str">
        <f t="shared" si="5"/>
        <v>Review</v>
      </c>
    </row>
    <row r="143" spans="1:6" x14ac:dyDescent="0.25">
      <c r="A143" t="str">
        <f>SCORING_ENGINE!A143</f>
        <v>APP142</v>
      </c>
      <c r="B143" t="str">
        <f>SCORING_ENGINE!H143</f>
        <v>INELIGIBLE</v>
      </c>
      <c r="C143">
        <f>SCORING_ENGINE!S143</f>
        <v>58</v>
      </c>
      <c r="D143" t="str" cm="1">
        <f t="array" ref="D143">CLASSIFY_CREDIT(B143,C143)</f>
        <v>Reject</v>
      </c>
      <c r="E143" t="str">
        <f t="shared" si="4"/>
        <v>N/A</v>
      </c>
      <c r="F143" t="str">
        <f t="shared" si="5"/>
        <v>Reject</v>
      </c>
    </row>
    <row r="144" spans="1:6" x14ac:dyDescent="0.25">
      <c r="A144" t="str">
        <f>SCORING_ENGINE!A144</f>
        <v>APP143</v>
      </c>
      <c r="B144" t="str">
        <f>SCORING_ENGINE!H144</f>
        <v>INELIGIBLE</v>
      </c>
      <c r="C144">
        <f>SCORING_ENGINE!S144</f>
        <v>53</v>
      </c>
      <c r="D144" t="str" cm="1">
        <f t="array" ref="D144">CLASSIFY_CREDIT(B144,C144)</f>
        <v>Reject</v>
      </c>
      <c r="E144" t="str">
        <f t="shared" si="4"/>
        <v>N/A</v>
      </c>
      <c r="F144" t="str">
        <f t="shared" si="5"/>
        <v>Reject</v>
      </c>
    </row>
    <row r="145" spans="1:6" x14ac:dyDescent="0.25">
      <c r="A145" t="str">
        <f>SCORING_ENGINE!A145</f>
        <v>APP144</v>
      </c>
      <c r="B145" t="str">
        <f>SCORING_ENGINE!H145</f>
        <v>INELIGIBLE</v>
      </c>
      <c r="C145">
        <f>SCORING_ENGINE!S145</f>
        <v>51</v>
      </c>
      <c r="D145" t="str" cm="1">
        <f t="array" ref="D145">CLASSIFY_CREDIT(B145,C145)</f>
        <v>Reject</v>
      </c>
      <c r="E145" t="str">
        <f t="shared" si="4"/>
        <v>N/A</v>
      </c>
      <c r="F145" t="str">
        <f t="shared" si="5"/>
        <v>Reject</v>
      </c>
    </row>
    <row r="146" spans="1:6" x14ac:dyDescent="0.25">
      <c r="A146" t="str">
        <f>SCORING_ENGINE!A146</f>
        <v>APP145</v>
      </c>
      <c r="B146" t="str">
        <f>SCORING_ENGINE!H146</f>
        <v>ELIGIBLE</v>
      </c>
      <c r="C146">
        <f>SCORING_ENGINE!S146</f>
        <v>62</v>
      </c>
      <c r="D146" t="str" cm="1">
        <f t="array" ref="D146">CLASSIFY_CREDIT(B146,C146)</f>
        <v>Review</v>
      </c>
      <c r="E146" t="str">
        <f t="shared" si="4"/>
        <v>Medium</v>
      </c>
      <c r="F146" t="str">
        <f t="shared" si="5"/>
        <v>Review</v>
      </c>
    </row>
    <row r="147" spans="1:6" x14ac:dyDescent="0.25">
      <c r="A147" t="str">
        <f>SCORING_ENGINE!A147</f>
        <v>APP146</v>
      </c>
      <c r="B147" t="str">
        <f>SCORING_ENGINE!H147</f>
        <v>INELIGIBLE</v>
      </c>
      <c r="C147">
        <f>SCORING_ENGINE!S147</f>
        <v>59</v>
      </c>
      <c r="D147" t="str" cm="1">
        <f t="array" ref="D147">CLASSIFY_CREDIT(B147,C147)</f>
        <v>Reject</v>
      </c>
      <c r="E147" t="str">
        <f t="shared" si="4"/>
        <v>N/A</v>
      </c>
      <c r="F147" t="str">
        <f t="shared" si="5"/>
        <v>Reject</v>
      </c>
    </row>
    <row r="148" spans="1:6" x14ac:dyDescent="0.25">
      <c r="A148" t="str">
        <f>SCORING_ENGINE!A148</f>
        <v>APP147</v>
      </c>
      <c r="B148" t="str">
        <f>SCORING_ENGINE!H148</f>
        <v>ELIGIBLE</v>
      </c>
      <c r="C148">
        <f>SCORING_ENGINE!S148</f>
        <v>91</v>
      </c>
      <c r="D148" t="str" cm="1">
        <f t="array" ref="D148">CLASSIFY_CREDIT(B148,C148)</f>
        <v>Approve</v>
      </c>
      <c r="E148" t="str">
        <f t="shared" si="4"/>
        <v>High</v>
      </c>
      <c r="F148" t="str">
        <f t="shared" si="5"/>
        <v>Approve</v>
      </c>
    </row>
    <row r="149" spans="1:6" x14ac:dyDescent="0.25">
      <c r="A149" t="str">
        <f>SCORING_ENGINE!A149</f>
        <v>APP148</v>
      </c>
      <c r="B149" t="str">
        <f>SCORING_ENGINE!H149</f>
        <v>INELIGIBLE</v>
      </c>
      <c r="C149">
        <f>SCORING_ENGINE!S149</f>
        <v>62</v>
      </c>
      <c r="D149" t="str" cm="1">
        <f t="array" ref="D149">CLASSIFY_CREDIT(B149,C149)</f>
        <v>Reject</v>
      </c>
      <c r="E149" t="str">
        <f t="shared" si="4"/>
        <v>N/A</v>
      </c>
      <c r="F149" t="str">
        <f t="shared" si="5"/>
        <v>Reject</v>
      </c>
    </row>
    <row r="150" spans="1:6" x14ac:dyDescent="0.25">
      <c r="A150" t="str">
        <f>SCORING_ENGINE!A150</f>
        <v>APP149</v>
      </c>
      <c r="B150" t="str">
        <f>SCORING_ENGINE!H150</f>
        <v>ELIGIBLE</v>
      </c>
      <c r="C150">
        <f>SCORING_ENGINE!S150</f>
        <v>72</v>
      </c>
      <c r="D150" t="str" cm="1">
        <f t="array" ref="D150">CLASSIFY_CREDIT(B150,C150)</f>
        <v>Approve</v>
      </c>
      <c r="E150" t="str">
        <f t="shared" si="4"/>
        <v>High</v>
      </c>
      <c r="F150" t="str">
        <f t="shared" si="5"/>
        <v>Approve</v>
      </c>
    </row>
    <row r="151" spans="1:6" x14ac:dyDescent="0.25">
      <c r="A151" t="str">
        <f>SCORING_ENGINE!A151</f>
        <v>APP150</v>
      </c>
      <c r="B151" t="str">
        <f>SCORING_ENGINE!H151</f>
        <v>INELIGIBLE</v>
      </c>
      <c r="C151">
        <f>SCORING_ENGINE!S151</f>
        <v>38</v>
      </c>
      <c r="D151" t="str" cm="1">
        <f t="array" ref="D151">CLASSIFY_CREDIT(B151,C151)</f>
        <v>Reject</v>
      </c>
      <c r="E151" t="str">
        <f t="shared" si="4"/>
        <v>N/A</v>
      </c>
      <c r="F151" t="str">
        <f t="shared" si="5"/>
        <v>Reject</v>
      </c>
    </row>
    <row r="152" spans="1:6" x14ac:dyDescent="0.25">
      <c r="A152" t="str">
        <f>SCORING_ENGINE!A152</f>
        <v>APP151</v>
      </c>
      <c r="B152" t="str">
        <f>SCORING_ENGINE!H152</f>
        <v>INELIGIBLE</v>
      </c>
      <c r="C152">
        <f>SCORING_ENGINE!S152</f>
        <v>54</v>
      </c>
      <c r="D152" t="str" cm="1">
        <f t="array" ref="D152">CLASSIFY_CREDIT(B152,C152)</f>
        <v>Reject</v>
      </c>
      <c r="E152" t="str">
        <f t="shared" si="4"/>
        <v>N/A</v>
      </c>
      <c r="F152" t="str">
        <f t="shared" si="5"/>
        <v>Reject</v>
      </c>
    </row>
    <row r="153" spans="1:6" x14ac:dyDescent="0.25">
      <c r="A153" t="str">
        <f>SCORING_ENGINE!A153</f>
        <v>APP152</v>
      </c>
      <c r="B153" t="str">
        <f>SCORING_ENGINE!H153</f>
        <v>INELIGIBLE</v>
      </c>
      <c r="C153">
        <f>SCORING_ENGINE!S153</f>
        <v>62</v>
      </c>
      <c r="D153" t="str" cm="1">
        <f t="array" ref="D153">CLASSIFY_CREDIT(B153,C153)</f>
        <v>Reject</v>
      </c>
      <c r="E153" t="str">
        <f t="shared" si="4"/>
        <v>N/A</v>
      </c>
      <c r="F153" t="str">
        <f t="shared" si="5"/>
        <v>Reject</v>
      </c>
    </row>
    <row r="154" spans="1:6" x14ac:dyDescent="0.25">
      <c r="A154" t="str">
        <f>SCORING_ENGINE!A154</f>
        <v>APP153</v>
      </c>
      <c r="B154" t="str">
        <f>SCORING_ENGINE!H154</f>
        <v>INELIGIBLE</v>
      </c>
      <c r="C154">
        <f>SCORING_ENGINE!S154</f>
        <v>53</v>
      </c>
      <c r="D154" t="str" cm="1">
        <f t="array" ref="D154">CLASSIFY_CREDIT(B154,C154)</f>
        <v>Reject</v>
      </c>
      <c r="E154" t="str">
        <f t="shared" si="4"/>
        <v>N/A</v>
      </c>
      <c r="F154" t="str">
        <f t="shared" si="5"/>
        <v>Reject</v>
      </c>
    </row>
    <row r="155" spans="1:6" x14ac:dyDescent="0.25">
      <c r="A155" t="str">
        <f>SCORING_ENGINE!A155</f>
        <v>APP154</v>
      </c>
      <c r="B155" t="str">
        <f>SCORING_ENGINE!H155</f>
        <v>ELIGIBLE</v>
      </c>
      <c r="C155">
        <f>SCORING_ENGINE!S155</f>
        <v>82</v>
      </c>
      <c r="D155" t="str" cm="1">
        <f t="array" ref="D155">CLASSIFY_CREDIT(B155,C155)</f>
        <v>Approve</v>
      </c>
      <c r="E155" t="str">
        <f t="shared" si="4"/>
        <v>High</v>
      </c>
      <c r="F155" t="str">
        <f t="shared" si="5"/>
        <v>Approve</v>
      </c>
    </row>
    <row r="156" spans="1:6" x14ac:dyDescent="0.25">
      <c r="A156" t="str">
        <f>SCORING_ENGINE!A156</f>
        <v>APP155</v>
      </c>
      <c r="B156" t="str">
        <f>SCORING_ENGINE!H156</f>
        <v>ELIGIBLE</v>
      </c>
      <c r="C156">
        <f>SCORING_ENGINE!S156</f>
        <v>74</v>
      </c>
      <c r="D156" t="str" cm="1">
        <f t="array" ref="D156">CLASSIFY_CREDIT(B156,C156)</f>
        <v>Approve</v>
      </c>
      <c r="E156" t="str">
        <f t="shared" si="4"/>
        <v>High</v>
      </c>
      <c r="F156" t="str">
        <f t="shared" si="5"/>
        <v>Approve</v>
      </c>
    </row>
    <row r="157" spans="1:6" x14ac:dyDescent="0.25">
      <c r="A157" t="str">
        <f>SCORING_ENGINE!A157</f>
        <v>APP156</v>
      </c>
      <c r="B157" t="str">
        <f>SCORING_ENGINE!H157</f>
        <v>INELIGIBLE</v>
      </c>
      <c r="C157">
        <f>SCORING_ENGINE!S157</f>
        <v>63</v>
      </c>
      <c r="D157" t="str" cm="1">
        <f t="array" ref="D157">CLASSIFY_CREDIT(B157,C157)</f>
        <v>Reject</v>
      </c>
      <c r="E157" t="str">
        <f t="shared" si="4"/>
        <v>N/A</v>
      </c>
      <c r="F157" t="str">
        <f t="shared" si="5"/>
        <v>Reject</v>
      </c>
    </row>
    <row r="158" spans="1:6" x14ac:dyDescent="0.25">
      <c r="A158" t="str">
        <f>SCORING_ENGINE!A158</f>
        <v>APP157</v>
      </c>
      <c r="B158" t="str">
        <f>SCORING_ENGINE!H158</f>
        <v>INELIGIBLE</v>
      </c>
      <c r="C158">
        <f>SCORING_ENGINE!S158</f>
        <v>53</v>
      </c>
      <c r="D158" t="str" cm="1">
        <f t="array" ref="D158">CLASSIFY_CREDIT(B158,C158)</f>
        <v>Reject</v>
      </c>
      <c r="E158" t="str">
        <f t="shared" si="4"/>
        <v>N/A</v>
      </c>
      <c r="F158" t="str">
        <f t="shared" si="5"/>
        <v>Reject</v>
      </c>
    </row>
    <row r="159" spans="1:6" x14ac:dyDescent="0.25">
      <c r="A159" t="str">
        <f>SCORING_ENGINE!A159</f>
        <v>APP158</v>
      </c>
      <c r="B159" t="str">
        <f>SCORING_ENGINE!H159</f>
        <v>INELIGIBLE</v>
      </c>
      <c r="C159">
        <f>SCORING_ENGINE!S159</f>
        <v>56</v>
      </c>
      <c r="D159" t="str" cm="1">
        <f t="array" ref="D159">CLASSIFY_CREDIT(B159,C159)</f>
        <v>Reject</v>
      </c>
      <c r="E159" t="str">
        <f t="shared" si="4"/>
        <v>N/A</v>
      </c>
      <c r="F159" t="str">
        <f t="shared" si="5"/>
        <v>Reject</v>
      </c>
    </row>
    <row r="160" spans="1:6" x14ac:dyDescent="0.25">
      <c r="A160" t="str">
        <f>SCORING_ENGINE!A160</f>
        <v>APP159</v>
      </c>
      <c r="B160" t="str">
        <f>SCORING_ENGINE!H160</f>
        <v>INELIGIBLE</v>
      </c>
      <c r="C160">
        <f>SCORING_ENGINE!S160</f>
        <v>59</v>
      </c>
      <c r="D160" t="str" cm="1">
        <f t="array" ref="D160">CLASSIFY_CREDIT(B160,C160)</f>
        <v>Reject</v>
      </c>
      <c r="E160" t="str">
        <f t="shared" si="4"/>
        <v>N/A</v>
      </c>
      <c r="F160" t="str">
        <f t="shared" si="5"/>
        <v>Reject</v>
      </c>
    </row>
    <row r="161" spans="1:6" x14ac:dyDescent="0.25">
      <c r="A161" t="str">
        <f>SCORING_ENGINE!A161</f>
        <v>APP160</v>
      </c>
      <c r="B161" t="str">
        <f>SCORING_ENGINE!H161</f>
        <v>INELIGIBLE</v>
      </c>
      <c r="C161">
        <f>SCORING_ENGINE!S161</f>
        <v>68</v>
      </c>
      <c r="D161" t="str" cm="1">
        <f t="array" ref="D161">CLASSIFY_CREDIT(B161,C161)</f>
        <v>Reject</v>
      </c>
      <c r="E161" t="str">
        <f t="shared" si="4"/>
        <v>N/A</v>
      </c>
      <c r="F161" t="str">
        <f t="shared" si="5"/>
        <v>Reject</v>
      </c>
    </row>
    <row r="162" spans="1:6" x14ac:dyDescent="0.25">
      <c r="A162" t="str">
        <f>SCORING_ENGINE!A162</f>
        <v>APP161</v>
      </c>
      <c r="B162" t="str">
        <f>SCORING_ENGINE!H162</f>
        <v>INELIGIBLE</v>
      </c>
      <c r="C162">
        <f>SCORING_ENGINE!S162</f>
        <v>62</v>
      </c>
      <c r="D162" t="str" cm="1">
        <f t="array" ref="D162">CLASSIFY_CREDIT(B162,C162)</f>
        <v>Reject</v>
      </c>
      <c r="E162" t="str">
        <f t="shared" si="4"/>
        <v>N/A</v>
      </c>
      <c r="F162" t="str">
        <f t="shared" si="5"/>
        <v>Reject</v>
      </c>
    </row>
    <row r="163" spans="1:6" x14ac:dyDescent="0.25">
      <c r="A163" t="str">
        <f>SCORING_ENGINE!A163</f>
        <v>APP162</v>
      </c>
      <c r="B163" t="str">
        <f>SCORING_ENGINE!H163</f>
        <v>ELIGIBLE</v>
      </c>
      <c r="C163">
        <f>SCORING_ENGINE!S163</f>
        <v>74</v>
      </c>
      <c r="D163" t="str" cm="1">
        <f t="array" ref="D163">CLASSIFY_CREDIT(B163,C163)</f>
        <v>Approve</v>
      </c>
      <c r="E163" t="str">
        <f t="shared" si="4"/>
        <v>High</v>
      </c>
      <c r="F163" t="str">
        <f t="shared" si="5"/>
        <v>Approve</v>
      </c>
    </row>
    <row r="164" spans="1:6" x14ac:dyDescent="0.25">
      <c r="A164" t="str">
        <f>SCORING_ENGINE!A164</f>
        <v>APP163</v>
      </c>
      <c r="B164" t="str">
        <f>SCORING_ENGINE!H164</f>
        <v>INELIGIBLE</v>
      </c>
      <c r="C164">
        <f>SCORING_ENGINE!S164</f>
        <v>50</v>
      </c>
      <c r="D164" t="str" cm="1">
        <f t="array" ref="D164">CLASSIFY_CREDIT(B164,C164)</f>
        <v>Reject</v>
      </c>
      <c r="E164" t="str">
        <f t="shared" si="4"/>
        <v>N/A</v>
      </c>
      <c r="F164" t="str">
        <f t="shared" si="5"/>
        <v>Reject</v>
      </c>
    </row>
    <row r="165" spans="1:6" x14ac:dyDescent="0.25">
      <c r="A165" t="str">
        <f>SCORING_ENGINE!A165</f>
        <v>APP164</v>
      </c>
      <c r="B165" t="str">
        <f>SCORING_ENGINE!H165</f>
        <v>INELIGIBLE</v>
      </c>
      <c r="C165">
        <f>SCORING_ENGINE!S165</f>
        <v>67</v>
      </c>
      <c r="D165" t="str" cm="1">
        <f t="array" ref="D165">CLASSIFY_CREDIT(B165,C165)</f>
        <v>Reject</v>
      </c>
      <c r="E165" t="str">
        <f t="shared" si="4"/>
        <v>N/A</v>
      </c>
      <c r="F165" t="str">
        <f t="shared" si="5"/>
        <v>Reject</v>
      </c>
    </row>
    <row r="166" spans="1:6" x14ac:dyDescent="0.25">
      <c r="A166" t="str">
        <f>SCORING_ENGINE!A166</f>
        <v>APP165</v>
      </c>
      <c r="B166" t="str">
        <f>SCORING_ENGINE!H166</f>
        <v>INELIGIBLE</v>
      </c>
      <c r="C166">
        <f>SCORING_ENGINE!S166</f>
        <v>70</v>
      </c>
      <c r="D166" t="str" cm="1">
        <f t="array" ref="D166">CLASSIFY_CREDIT(B166,C166)</f>
        <v>Reject</v>
      </c>
      <c r="E166" t="str">
        <f t="shared" si="4"/>
        <v>N/A</v>
      </c>
      <c r="F166" t="str">
        <f t="shared" si="5"/>
        <v>Reject</v>
      </c>
    </row>
    <row r="167" spans="1:6" x14ac:dyDescent="0.25">
      <c r="A167" t="str">
        <f>SCORING_ENGINE!A167</f>
        <v>APP166</v>
      </c>
      <c r="B167" t="str">
        <f>SCORING_ENGINE!H167</f>
        <v>INELIGIBLE</v>
      </c>
      <c r="C167">
        <f>SCORING_ENGINE!S167</f>
        <v>61</v>
      </c>
      <c r="D167" t="str" cm="1">
        <f t="array" ref="D167">CLASSIFY_CREDIT(B167,C167)</f>
        <v>Reject</v>
      </c>
      <c r="E167" t="str">
        <f t="shared" si="4"/>
        <v>N/A</v>
      </c>
      <c r="F167" t="str">
        <f t="shared" si="5"/>
        <v>Reject</v>
      </c>
    </row>
    <row r="168" spans="1:6" x14ac:dyDescent="0.25">
      <c r="A168" t="str">
        <f>SCORING_ENGINE!A168</f>
        <v>APP167</v>
      </c>
      <c r="B168" t="str">
        <f>SCORING_ENGINE!H168</f>
        <v>INELIGIBLE</v>
      </c>
      <c r="C168">
        <f>SCORING_ENGINE!S168</f>
        <v>47</v>
      </c>
      <c r="D168" t="str" cm="1">
        <f t="array" ref="D168">CLASSIFY_CREDIT(B168,C168)</f>
        <v>Reject</v>
      </c>
      <c r="E168" t="str">
        <f t="shared" si="4"/>
        <v>N/A</v>
      </c>
      <c r="F168" t="str">
        <f t="shared" si="5"/>
        <v>Reject</v>
      </c>
    </row>
    <row r="169" spans="1:6" x14ac:dyDescent="0.25">
      <c r="A169" t="str">
        <f>SCORING_ENGINE!A169</f>
        <v>APP168</v>
      </c>
      <c r="B169" t="str">
        <f>SCORING_ENGINE!H169</f>
        <v>INELIGIBLE</v>
      </c>
      <c r="C169">
        <f>SCORING_ENGINE!S169</f>
        <v>53</v>
      </c>
      <c r="D169" t="str" cm="1">
        <f t="array" ref="D169">CLASSIFY_CREDIT(B169,C169)</f>
        <v>Reject</v>
      </c>
      <c r="E169" t="str">
        <f t="shared" si="4"/>
        <v>N/A</v>
      </c>
      <c r="F169" t="str">
        <f t="shared" si="5"/>
        <v>Reject</v>
      </c>
    </row>
    <row r="170" spans="1:6" x14ac:dyDescent="0.25">
      <c r="A170" t="str">
        <f>SCORING_ENGINE!A170</f>
        <v>APP169</v>
      </c>
      <c r="B170" t="str">
        <f>SCORING_ENGINE!H170</f>
        <v>INELIGIBLE</v>
      </c>
      <c r="C170">
        <f>SCORING_ENGINE!S170</f>
        <v>78</v>
      </c>
      <c r="D170" t="str" cm="1">
        <f t="array" ref="D170">CLASSIFY_CREDIT(B170,C170)</f>
        <v>Reject</v>
      </c>
      <c r="E170" t="str">
        <f t="shared" si="4"/>
        <v>N/A</v>
      </c>
      <c r="F170" t="str">
        <f t="shared" si="5"/>
        <v>Reject</v>
      </c>
    </row>
    <row r="171" spans="1:6" x14ac:dyDescent="0.25">
      <c r="A171" t="str">
        <f>SCORING_ENGINE!A171</f>
        <v>APP170</v>
      </c>
      <c r="B171" t="str">
        <f>SCORING_ENGINE!H171</f>
        <v>INELIGIBLE</v>
      </c>
      <c r="C171">
        <f>SCORING_ENGINE!S171</f>
        <v>71</v>
      </c>
      <c r="D171" t="str" cm="1">
        <f t="array" ref="D171">CLASSIFY_CREDIT(B171,C171)</f>
        <v>Reject</v>
      </c>
      <c r="E171" t="str">
        <f t="shared" si="4"/>
        <v>N/A</v>
      </c>
      <c r="F171" t="str">
        <f t="shared" si="5"/>
        <v>Reject</v>
      </c>
    </row>
    <row r="172" spans="1:6" x14ac:dyDescent="0.25">
      <c r="A172" t="str">
        <f>SCORING_ENGINE!A172</f>
        <v>APP171</v>
      </c>
      <c r="B172" t="str">
        <f>SCORING_ENGINE!H172</f>
        <v>INELIGIBLE</v>
      </c>
      <c r="C172">
        <f>SCORING_ENGINE!S172</f>
        <v>37</v>
      </c>
      <c r="D172" t="str" cm="1">
        <f t="array" ref="D172">CLASSIFY_CREDIT(B172,C172)</f>
        <v>Reject</v>
      </c>
      <c r="E172" t="str">
        <f t="shared" si="4"/>
        <v>N/A</v>
      </c>
      <c r="F172" t="str">
        <f t="shared" si="5"/>
        <v>Reject</v>
      </c>
    </row>
    <row r="173" spans="1:6" x14ac:dyDescent="0.25">
      <c r="A173" t="str">
        <f>SCORING_ENGINE!A173</f>
        <v>APP172</v>
      </c>
      <c r="B173" t="str">
        <f>SCORING_ENGINE!H173</f>
        <v>INELIGIBLE</v>
      </c>
      <c r="C173">
        <f>SCORING_ENGINE!S173</f>
        <v>58</v>
      </c>
      <c r="D173" t="str" cm="1">
        <f t="array" ref="D173">CLASSIFY_CREDIT(B173,C173)</f>
        <v>Reject</v>
      </c>
      <c r="E173" t="str">
        <f t="shared" si="4"/>
        <v>N/A</v>
      </c>
      <c r="F173" t="str">
        <f t="shared" si="5"/>
        <v>Reject</v>
      </c>
    </row>
    <row r="174" spans="1:6" x14ac:dyDescent="0.25">
      <c r="A174" t="str">
        <f>SCORING_ENGINE!A174</f>
        <v>APP173</v>
      </c>
      <c r="B174" t="str">
        <f>SCORING_ENGINE!H174</f>
        <v>INELIGIBLE</v>
      </c>
      <c r="C174">
        <f>SCORING_ENGINE!S174</f>
        <v>65</v>
      </c>
      <c r="D174" t="str" cm="1">
        <f t="array" ref="D174">CLASSIFY_CREDIT(B174,C174)</f>
        <v>Reject</v>
      </c>
      <c r="E174" t="str">
        <f t="shared" si="4"/>
        <v>N/A</v>
      </c>
      <c r="F174" t="str">
        <f t="shared" si="5"/>
        <v>Reject</v>
      </c>
    </row>
    <row r="175" spans="1:6" x14ac:dyDescent="0.25">
      <c r="A175" t="str">
        <f>SCORING_ENGINE!A175</f>
        <v>APP174</v>
      </c>
      <c r="B175" t="str">
        <f>SCORING_ENGINE!H175</f>
        <v>INELIGIBLE</v>
      </c>
      <c r="C175">
        <f>SCORING_ENGINE!S175</f>
        <v>32</v>
      </c>
      <c r="D175" t="str" cm="1">
        <f t="array" ref="D175">CLASSIFY_CREDIT(B175,C175)</f>
        <v>Reject</v>
      </c>
      <c r="E175" t="str">
        <f t="shared" si="4"/>
        <v>N/A</v>
      </c>
      <c r="F175" t="str">
        <f t="shared" si="5"/>
        <v>Reject</v>
      </c>
    </row>
    <row r="176" spans="1:6" x14ac:dyDescent="0.25">
      <c r="A176" t="str">
        <f>SCORING_ENGINE!A176</f>
        <v>APP175</v>
      </c>
      <c r="B176" t="str">
        <f>SCORING_ENGINE!H176</f>
        <v>INELIGIBLE</v>
      </c>
      <c r="C176">
        <f>SCORING_ENGINE!S176</f>
        <v>37</v>
      </c>
      <c r="D176" t="str" cm="1">
        <f t="array" ref="D176">CLASSIFY_CREDIT(B176,C176)</f>
        <v>Reject</v>
      </c>
      <c r="E176" t="str">
        <f t="shared" si="4"/>
        <v>N/A</v>
      </c>
      <c r="F176" t="str">
        <f t="shared" si="5"/>
        <v>Reject</v>
      </c>
    </row>
    <row r="177" spans="1:6" x14ac:dyDescent="0.25">
      <c r="A177" t="str">
        <f>SCORING_ENGINE!A177</f>
        <v>APP176</v>
      </c>
      <c r="B177" t="str">
        <f>SCORING_ENGINE!H177</f>
        <v>INELIGIBLE</v>
      </c>
      <c r="C177">
        <f>SCORING_ENGINE!S177</f>
        <v>51</v>
      </c>
      <c r="D177" t="str" cm="1">
        <f t="array" ref="D177">CLASSIFY_CREDIT(B177,C177)</f>
        <v>Reject</v>
      </c>
      <c r="E177" t="str">
        <f t="shared" si="4"/>
        <v>N/A</v>
      </c>
      <c r="F177" t="str">
        <f t="shared" si="5"/>
        <v>Reject</v>
      </c>
    </row>
    <row r="178" spans="1:6" x14ac:dyDescent="0.25">
      <c r="A178" t="str">
        <f>SCORING_ENGINE!A178</f>
        <v>APP177</v>
      </c>
      <c r="B178" t="str">
        <f>SCORING_ENGINE!H178</f>
        <v>INELIGIBLE</v>
      </c>
      <c r="C178">
        <f>SCORING_ENGINE!S178</f>
        <v>51</v>
      </c>
      <c r="D178" t="str" cm="1">
        <f t="array" ref="D178">CLASSIFY_CREDIT(B178,C178)</f>
        <v>Reject</v>
      </c>
      <c r="E178" t="str">
        <f t="shared" si="4"/>
        <v>N/A</v>
      </c>
      <c r="F178" t="str">
        <f t="shared" si="5"/>
        <v>Reject</v>
      </c>
    </row>
    <row r="179" spans="1:6" x14ac:dyDescent="0.25">
      <c r="A179" t="str">
        <f>SCORING_ENGINE!A179</f>
        <v>APP178</v>
      </c>
      <c r="B179" t="str">
        <f>SCORING_ENGINE!H179</f>
        <v>ELIGIBLE</v>
      </c>
      <c r="C179">
        <f>SCORING_ENGINE!S179</f>
        <v>82</v>
      </c>
      <c r="D179" t="str" cm="1">
        <f t="array" ref="D179">CLASSIFY_CREDIT(B179,C179)</f>
        <v>Approve</v>
      </c>
      <c r="E179" t="str">
        <f t="shared" si="4"/>
        <v>High</v>
      </c>
      <c r="F179" t="str">
        <f t="shared" si="5"/>
        <v>Approve</v>
      </c>
    </row>
    <row r="180" spans="1:6" x14ac:dyDescent="0.25">
      <c r="A180" t="str">
        <f>SCORING_ENGINE!A180</f>
        <v>APP179</v>
      </c>
      <c r="B180" t="str">
        <f>SCORING_ENGINE!H180</f>
        <v>INELIGIBLE</v>
      </c>
      <c r="C180">
        <f>SCORING_ENGINE!S180</f>
        <v>40</v>
      </c>
      <c r="D180" t="str" cm="1">
        <f t="array" ref="D180">CLASSIFY_CREDIT(B180,C180)</f>
        <v>Reject</v>
      </c>
      <c r="E180" t="str">
        <f t="shared" si="4"/>
        <v>N/A</v>
      </c>
      <c r="F180" t="str">
        <f t="shared" si="5"/>
        <v>Reject</v>
      </c>
    </row>
    <row r="181" spans="1:6" x14ac:dyDescent="0.25">
      <c r="A181" t="str">
        <f>SCORING_ENGINE!A181</f>
        <v>APP180</v>
      </c>
      <c r="B181" t="str">
        <f>SCORING_ENGINE!H181</f>
        <v>INELIGIBLE</v>
      </c>
      <c r="C181">
        <f>SCORING_ENGINE!S181</f>
        <v>69</v>
      </c>
      <c r="D181" t="str" cm="1">
        <f t="array" ref="D181">CLASSIFY_CREDIT(B181,C181)</f>
        <v>Reject</v>
      </c>
      <c r="E181" t="str">
        <f t="shared" si="4"/>
        <v>N/A</v>
      </c>
      <c r="F181" t="str">
        <f t="shared" si="5"/>
        <v>Reject</v>
      </c>
    </row>
    <row r="182" spans="1:6" x14ac:dyDescent="0.25">
      <c r="A182" t="str">
        <f>SCORING_ENGINE!A182</f>
        <v>APP181</v>
      </c>
      <c r="B182" t="str">
        <f>SCORING_ENGINE!H182</f>
        <v>INELIGIBLE</v>
      </c>
      <c r="C182">
        <f>SCORING_ENGINE!S182</f>
        <v>75</v>
      </c>
      <c r="D182" t="str" cm="1">
        <f t="array" ref="D182">CLASSIFY_CREDIT(B182,C182)</f>
        <v>Reject</v>
      </c>
      <c r="E182" t="str">
        <f t="shared" si="4"/>
        <v>N/A</v>
      </c>
      <c r="F182" t="str">
        <f t="shared" si="5"/>
        <v>Reject</v>
      </c>
    </row>
    <row r="183" spans="1:6" x14ac:dyDescent="0.25">
      <c r="A183" t="str">
        <f>SCORING_ENGINE!A183</f>
        <v>APP182</v>
      </c>
      <c r="B183" t="str">
        <f>SCORING_ENGINE!H183</f>
        <v>INELIGIBLE</v>
      </c>
      <c r="C183">
        <f>SCORING_ENGINE!S183</f>
        <v>59</v>
      </c>
      <c r="D183" t="str" cm="1">
        <f t="array" ref="D183">CLASSIFY_CREDIT(B183,C183)</f>
        <v>Reject</v>
      </c>
      <c r="E183" t="str">
        <f t="shared" si="4"/>
        <v>N/A</v>
      </c>
      <c r="F183" t="str">
        <f t="shared" si="5"/>
        <v>Reject</v>
      </c>
    </row>
    <row r="184" spans="1:6" x14ac:dyDescent="0.25">
      <c r="A184" t="str">
        <f>SCORING_ENGINE!A184</f>
        <v>APP183</v>
      </c>
      <c r="B184" t="str">
        <f>SCORING_ENGINE!H184</f>
        <v>INELIGIBLE</v>
      </c>
      <c r="C184">
        <f>SCORING_ENGINE!S184</f>
        <v>53</v>
      </c>
      <c r="D184" t="str" cm="1">
        <f t="array" ref="D184">CLASSIFY_CREDIT(B184,C184)</f>
        <v>Reject</v>
      </c>
      <c r="E184" t="str">
        <f t="shared" si="4"/>
        <v>N/A</v>
      </c>
      <c r="F184" t="str">
        <f t="shared" si="5"/>
        <v>Reject</v>
      </c>
    </row>
    <row r="185" spans="1:6" x14ac:dyDescent="0.25">
      <c r="A185" t="str">
        <f>SCORING_ENGINE!A185</f>
        <v>APP184</v>
      </c>
      <c r="B185" t="str">
        <f>SCORING_ENGINE!H185</f>
        <v>INELIGIBLE</v>
      </c>
      <c r="C185">
        <f>SCORING_ENGINE!S185</f>
        <v>59</v>
      </c>
      <c r="D185" t="str" cm="1">
        <f t="array" ref="D185">CLASSIFY_CREDIT(B185,C185)</f>
        <v>Reject</v>
      </c>
      <c r="E185" t="str">
        <f t="shared" si="4"/>
        <v>N/A</v>
      </c>
      <c r="F185" t="str">
        <f t="shared" si="5"/>
        <v>Reject</v>
      </c>
    </row>
    <row r="186" spans="1:6" x14ac:dyDescent="0.25">
      <c r="A186" t="str">
        <f>SCORING_ENGINE!A186</f>
        <v>APP185</v>
      </c>
      <c r="B186" t="str">
        <f>SCORING_ENGINE!H186</f>
        <v>INELIGIBLE</v>
      </c>
      <c r="C186">
        <f>SCORING_ENGINE!S186</f>
        <v>68</v>
      </c>
      <c r="D186" t="str" cm="1">
        <f t="array" ref="D186">CLASSIFY_CREDIT(B186,C186)</f>
        <v>Reject</v>
      </c>
      <c r="E186" t="str">
        <f t="shared" si="4"/>
        <v>N/A</v>
      </c>
      <c r="F186" t="str">
        <f t="shared" si="5"/>
        <v>Reject</v>
      </c>
    </row>
    <row r="187" spans="1:6" x14ac:dyDescent="0.25">
      <c r="A187" t="str">
        <f>SCORING_ENGINE!A187</f>
        <v>APP186</v>
      </c>
      <c r="B187" t="str">
        <f>SCORING_ENGINE!H187</f>
        <v>ELIGIBLE</v>
      </c>
      <c r="C187">
        <f>SCORING_ENGINE!S187</f>
        <v>73</v>
      </c>
      <c r="D187" t="str" cm="1">
        <f t="array" ref="D187">CLASSIFY_CREDIT(B187,C187)</f>
        <v>Approve</v>
      </c>
      <c r="E187" t="str">
        <f t="shared" si="4"/>
        <v>High</v>
      </c>
      <c r="F187" t="str">
        <f t="shared" si="5"/>
        <v>Approve</v>
      </c>
    </row>
    <row r="188" spans="1:6" x14ac:dyDescent="0.25">
      <c r="A188" t="str">
        <f>SCORING_ENGINE!A188</f>
        <v>APP187</v>
      </c>
      <c r="B188" t="str">
        <f>SCORING_ENGINE!H188</f>
        <v>ELIGIBLE</v>
      </c>
      <c r="C188">
        <f>SCORING_ENGINE!S188</f>
        <v>76</v>
      </c>
      <c r="D188" t="str" cm="1">
        <f t="array" ref="D188">CLASSIFY_CREDIT(B188,C188)</f>
        <v>Approve</v>
      </c>
      <c r="E188" t="str">
        <f t="shared" si="4"/>
        <v>High</v>
      </c>
      <c r="F188" t="str">
        <f t="shared" si="5"/>
        <v>Approve</v>
      </c>
    </row>
    <row r="189" spans="1:6" x14ac:dyDescent="0.25">
      <c r="A189" t="str">
        <f>SCORING_ENGINE!A189</f>
        <v>APP188</v>
      </c>
      <c r="B189" t="str">
        <f>SCORING_ENGINE!H189</f>
        <v>ELIGIBLE</v>
      </c>
      <c r="C189">
        <f>SCORING_ENGINE!S189</f>
        <v>85</v>
      </c>
      <c r="D189" t="str" cm="1">
        <f t="array" ref="D189">CLASSIFY_CREDIT(B189,C189)</f>
        <v>Approve</v>
      </c>
      <c r="E189" t="str">
        <f t="shared" si="4"/>
        <v>High</v>
      </c>
      <c r="F189" t="str">
        <f t="shared" si="5"/>
        <v>Approve</v>
      </c>
    </row>
    <row r="190" spans="1:6" x14ac:dyDescent="0.25">
      <c r="A190" t="str">
        <f>SCORING_ENGINE!A190</f>
        <v>APP189</v>
      </c>
      <c r="B190" t="str">
        <f>SCORING_ENGINE!H190</f>
        <v>INELIGIBLE</v>
      </c>
      <c r="C190">
        <f>SCORING_ENGINE!S190</f>
        <v>44</v>
      </c>
      <c r="D190" t="str" cm="1">
        <f t="array" ref="D190">CLASSIFY_CREDIT(B190,C190)</f>
        <v>Reject</v>
      </c>
      <c r="E190" t="str">
        <f t="shared" si="4"/>
        <v>N/A</v>
      </c>
      <c r="F190" t="str">
        <f t="shared" si="5"/>
        <v>Reject</v>
      </c>
    </row>
    <row r="191" spans="1:6" x14ac:dyDescent="0.25">
      <c r="A191" t="str">
        <f>SCORING_ENGINE!A191</f>
        <v>APP190</v>
      </c>
      <c r="B191" t="str">
        <f>SCORING_ENGINE!H191</f>
        <v>INELIGIBLE</v>
      </c>
      <c r="C191">
        <f>SCORING_ENGINE!S191</f>
        <v>37</v>
      </c>
      <c r="D191" t="str" cm="1">
        <f t="array" ref="D191">CLASSIFY_CREDIT(B191,C191)</f>
        <v>Reject</v>
      </c>
      <c r="E191" t="str">
        <f t="shared" si="4"/>
        <v>N/A</v>
      </c>
      <c r="F191" t="str">
        <f t="shared" si="5"/>
        <v>Reject</v>
      </c>
    </row>
    <row r="192" spans="1:6" x14ac:dyDescent="0.25">
      <c r="A192" t="str">
        <f>SCORING_ENGINE!A192</f>
        <v>APP191</v>
      </c>
      <c r="B192" t="str">
        <f>SCORING_ENGINE!H192</f>
        <v>ELIGIBLE</v>
      </c>
      <c r="C192">
        <f>SCORING_ENGINE!S192</f>
        <v>89</v>
      </c>
      <c r="D192" t="str" cm="1">
        <f t="array" ref="D192">CLASSIFY_CREDIT(B192,C192)</f>
        <v>Approve</v>
      </c>
      <c r="E192" t="str">
        <f t="shared" si="4"/>
        <v>High</v>
      </c>
      <c r="F192" t="str">
        <f t="shared" si="5"/>
        <v>Approve</v>
      </c>
    </row>
    <row r="193" spans="1:6" x14ac:dyDescent="0.25">
      <c r="A193" t="str">
        <f>SCORING_ENGINE!A193</f>
        <v>APP192</v>
      </c>
      <c r="B193" t="str">
        <f>SCORING_ENGINE!H193</f>
        <v>INELIGIBLE</v>
      </c>
      <c r="C193">
        <f>SCORING_ENGINE!S193</f>
        <v>62</v>
      </c>
      <c r="D193" t="str" cm="1">
        <f t="array" ref="D193">CLASSIFY_CREDIT(B193,C193)</f>
        <v>Reject</v>
      </c>
      <c r="E193" t="str">
        <f t="shared" si="4"/>
        <v>N/A</v>
      </c>
      <c r="F193" t="str">
        <f t="shared" si="5"/>
        <v>Reject</v>
      </c>
    </row>
    <row r="194" spans="1:6" x14ac:dyDescent="0.25">
      <c r="A194" t="str">
        <f>SCORING_ENGINE!A194</f>
        <v>APP193</v>
      </c>
      <c r="B194" t="str">
        <f>SCORING_ENGINE!H194</f>
        <v>ELIGIBLE</v>
      </c>
      <c r="C194">
        <f>SCORING_ENGINE!S194</f>
        <v>98</v>
      </c>
      <c r="D194" t="str" cm="1">
        <f t="array" ref="D194">CLASSIFY_CREDIT(B194,C194)</f>
        <v>Approve</v>
      </c>
      <c r="E194" t="str">
        <f t="shared" si="4"/>
        <v>High</v>
      </c>
      <c r="F194" t="str">
        <f t="shared" si="5"/>
        <v>Approve</v>
      </c>
    </row>
    <row r="195" spans="1:6" x14ac:dyDescent="0.25">
      <c r="A195" t="str">
        <f>SCORING_ENGINE!A195</f>
        <v>APP194</v>
      </c>
      <c r="B195" t="str">
        <f>SCORING_ENGINE!H195</f>
        <v>INELIGIBLE</v>
      </c>
      <c r="C195">
        <f>SCORING_ENGINE!S195</f>
        <v>71</v>
      </c>
      <c r="D195" t="str" cm="1">
        <f t="array" ref="D195">CLASSIFY_CREDIT(B195,C195)</f>
        <v>Reject</v>
      </c>
      <c r="E195" t="str">
        <f t="shared" ref="E195:E258" si="6">IF(B195="INELIGIBLE","N/A",IF(C195&gt;=70,"High",IF(C195&gt;=50,"Medium","Low")))</f>
        <v>N/A</v>
      </c>
      <c r="F195" t="str">
        <f t="shared" ref="F195:F258" si="7">D195</f>
        <v>Reject</v>
      </c>
    </row>
    <row r="196" spans="1:6" x14ac:dyDescent="0.25">
      <c r="A196" t="str">
        <f>SCORING_ENGINE!A196</f>
        <v>APP195</v>
      </c>
      <c r="B196" t="str">
        <f>SCORING_ENGINE!H196</f>
        <v>INELIGIBLE</v>
      </c>
      <c r="C196">
        <f>SCORING_ENGINE!S196</f>
        <v>55</v>
      </c>
      <c r="D196" t="str" cm="1">
        <f t="array" ref="D196">CLASSIFY_CREDIT(B196,C196)</f>
        <v>Reject</v>
      </c>
      <c r="E196" t="str">
        <f t="shared" si="6"/>
        <v>N/A</v>
      </c>
      <c r="F196" t="str">
        <f t="shared" si="7"/>
        <v>Reject</v>
      </c>
    </row>
    <row r="197" spans="1:6" x14ac:dyDescent="0.25">
      <c r="A197" t="str">
        <f>SCORING_ENGINE!A197</f>
        <v>APP196</v>
      </c>
      <c r="B197" t="str">
        <f>SCORING_ENGINE!H197</f>
        <v>INELIGIBLE</v>
      </c>
      <c r="C197">
        <f>SCORING_ENGINE!S197</f>
        <v>63</v>
      </c>
      <c r="D197" t="str" cm="1">
        <f t="array" ref="D197">CLASSIFY_CREDIT(B197,C197)</f>
        <v>Reject</v>
      </c>
      <c r="E197" t="str">
        <f t="shared" si="6"/>
        <v>N/A</v>
      </c>
      <c r="F197" t="str">
        <f t="shared" si="7"/>
        <v>Reject</v>
      </c>
    </row>
    <row r="198" spans="1:6" x14ac:dyDescent="0.25">
      <c r="A198" t="str">
        <f>SCORING_ENGINE!A198</f>
        <v>APP197</v>
      </c>
      <c r="B198" t="str">
        <f>SCORING_ENGINE!H198</f>
        <v>ELIGIBLE</v>
      </c>
      <c r="C198">
        <f>SCORING_ENGINE!S198</f>
        <v>86</v>
      </c>
      <c r="D198" t="str" cm="1">
        <f t="array" ref="D198">CLASSIFY_CREDIT(B198,C198)</f>
        <v>Approve</v>
      </c>
      <c r="E198" t="str">
        <f t="shared" si="6"/>
        <v>High</v>
      </c>
      <c r="F198" t="str">
        <f t="shared" si="7"/>
        <v>Approve</v>
      </c>
    </row>
    <row r="199" spans="1:6" x14ac:dyDescent="0.25">
      <c r="A199" t="str">
        <f>SCORING_ENGINE!A199</f>
        <v>APP198</v>
      </c>
      <c r="B199" t="str">
        <f>SCORING_ENGINE!H199</f>
        <v>ELIGIBLE</v>
      </c>
      <c r="C199">
        <f>SCORING_ENGINE!S199</f>
        <v>78</v>
      </c>
      <c r="D199" t="str" cm="1">
        <f t="array" ref="D199">CLASSIFY_CREDIT(B199,C199)</f>
        <v>Approve</v>
      </c>
      <c r="E199" t="str">
        <f t="shared" si="6"/>
        <v>High</v>
      </c>
      <c r="F199" t="str">
        <f t="shared" si="7"/>
        <v>Approve</v>
      </c>
    </row>
    <row r="200" spans="1:6" x14ac:dyDescent="0.25">
      <c r="A200" t="str">
        <f>SCORING_ENGINE!A200</f>
        <v>APP199</v>
      </c>
      <c r="B200" t="str">
        <f>SCORING_ENGINE!H200</f>
        <v>INELIGIBLE</v>
      </c>
      <c r="C200">
        <f>SCORING_ENGINE!S200</f>
        <v>42</v>
      </c>
      <c r="D200" t="str" cm="1">
        <f t="array" ref="D200">CLASSIFY_CREDIT(B200,C200)</f>
        <v>Reject</v>
      </c>
      <c r="E200" t="str">
        <f t="shared" si="6"/>
        <v>N/A</v>
      </c>
      <c r="F200" t="str">
        <f t="shared" si="7"/>
        <v>Reject</v>
      </c>
    </row>
    <row r="201" spans="1:6" x14ac:dyDescent="0.25">
      <c r="A201" t="str">
        <f>SCORING_ENGINE!A201</f>
        <v>APP200</v>
      </c>
      <c r="B201" t="str">
        <f>SCORING_ENGINE!H201</f>
        <v>INELIGIBLE</v>
      </c>
      <c r="C201">
        <f>SCORING_ENGINE!S201</f>
        <v>38</v>
      </c>
      <c r="D201" t="str" cm="1">
        <f t="array" ref="D201">CLASSIFY_CREDIT(B201,C201)</f>
        <v>Reject</v>
      </c>
      <c r="E201" t="str">
        <f t="shared" si="6"/>
        <v>N/A</v>
      </c>
      <c r="F201" t="str">
        <f t="shared" si="7"/>
        <v>Reject</v>
      </c>
    </row>
    <row r="202" spans="1:6" x14ac:dyDescent="0.25">
      <c r="A202" t="str">
        <f>SCORING_ENGINE!A202</f>
        <v>APP201</v>
      </c>
      <c r="B202" t="str">
        <f>SCORING_ENGINE!H202</f>
        <v>INELIGIBLE</v>
      </c>
      <c r="C202">
        <f>SCORING_ENGINE!S202</f>
        <v>58</v>
      </c>
      <c r="D202" t="str" cm="1">
        <f t="array" ref="D202">CLASSIFY_CREDIT(B202,C202)</f>
        <v>Reject</v>
      </c>
      <c r="E202" t="str">
        <f t="shared" si="6"/>
        <v>N/A</v>
      </c>
      <c r="F202" t="str">
        <f t="shared" si="7"/>
        <v>Reject</v>
      </c>
    </row>
    <row r="203" spans="1:6" x14ac:dyDescent="0.25">
      <c r="A203" t="str">
        <f>SCORING_ENGINE!A203</f>
        <v>APP202</v>
      </c>
      <c r="B203" t="str">
        <f>SCORING_ENGINE!H203</f>
        <v>INELIGIBLE</v>
      </c>
      <c r="C203">
        <f>SCORING_ENGINE!S203</f>
        <v>53</v>
      </c>
      <c r="D203" t="str" cm="1">
        <f t="array" ref="D203">CLASSIFY_CREDIT(B203,C203)</f>
        <v>Reject</v>
      </c>
      <c r="E203" t="str">
        <f t="shared" si="6"/>
        <v>N/A</v>
      </c>
      <c r="F203" t="str">
        <f t="shared" si="7"/>
        <v>Reject</v>
      </c>
    </row>
    <row r="204" spans="1:6" x14ac:dyDescent="0.25">
      <c r="A204" t="str">
        <f>SCORING_ENGINE!A204</f>
        <v>APP203</v>
      </c>
      <c r="B204" t="str">
        <f>SCORING_ENGINE!H204</f>
        <v>INELIGIBLE</v>
      </c>
      <c r="C204">
        <f>SCORING_ENGINE!S204</f>
        <v>64</v>
      </c>
      <c r="D204" t="str" cm="1">
        <f t="array" ref="D204">CLASSIFY_CREDIT(B204,C204)</f>
        <v>Reject</v>
      </c>
      <c r="E204" t="str">
        <f t="shared" si="6"/>
        <v>N/A</v>
      </c>
      <c r="F204" t="str">
        <f t="shared" si="7"/>
        <v>Reject</v>
      </c>
    </row>
    <row r="205" spans="1:6" x14ac:dyDescent="0.25">
      <c r="A205" t="str">
        <f>SCORING_ENGINE!A205</f>
        <v>APP204</v>
      </c>
      <c r="B205" t="str">
        <f>SCORING_ENGINE!H205</f>
        <v>INELIGIBLE</v>
      </c>
      <c r="C205">
        <f>SCORING_ENGINE!S205</f>
        <v>48</v>
      </c>
      <c r="D205" t="str" cm="1">
        <f t="array" ref="D205">CLASSIFY_CREDIT(B205,C205)</f>
        <v>Reject</v>
      </c>
      <c r="E205" t="str">
        <f t="shared" si="6"/>
        <v>N/A</v>
      </c>
      <c r="F205" t="str">
        <f t="shared" si="7"/>
        <v>Reject</v>
      </c>
    </row>
    <row r="206" spans="1:6" x14ac:dyDescent="0.25">
      <c r="A206" t="str">
        <f>SCORING_ENGINE!A206</f>
        <v>APP205</v>
      </c>
      <c r="B206" t="str">
        <f>SCORING_ENGINE!H206</f>
        <v>INELIGIBLE</v>
      </c>
      <c r="C206">
        <f>SCORING_ENGINE!S206</f>
        <v>55</v>
      </c>
      <c r="D206" t="str" cm="1">
        <f t="array" ref="D206">CLASSIFY_CREDIT(B206,C206)</f>
        <v>Reject</v>
      </c>
      <c r="E206" t="str">
        <f t="shared" si="6"/>
        <v>N/A</v>
      </c>
      <c r="F206" t="str">
        <f t="shared" si="7"/>
        <v>Reject</v>
      </c>
    </row>
    <row r="207" spans="1:6" x14ac:dyDescent="0.25">
      <c r="A207" t="str">
        <f>SCORING_ENGINE!A207</f>
        <v>APP206</v>
      </c>
      <c r="B207" t="str">
        <f>SCORING_ENGINE!H207</f>
        <v>ELIGIBLE</v>
      </c>
      <c r="C207">
        <f>SCORING_ENGINE!S207</f>
        <v>91</v>
      </c>
      <c r="D207" t="str" cm="1">
        <f t="array" ref="D207">CLASSIFY_CREDIT(B207,C207)</f>
        <v>Approve</v>
      </c>
      <c r="E207" t="str">
        <f t="shared" si="6"/>
        <v>High</v>
      </c>
      <c r="F207" t="str">
        <f t="shared" si="7"/>
        <v>Approve</v>
      </c>
    </row>
    <row r="208" spans="1:6" x14ac:dyDescent="0.25">
      <c r="A208" t="str">
        <f>SCORING_ENGINE!A208</f>
        <v>APP207</v>
      </c>
      <c r="B208" t="str">
        <f>SCORING_ENGINE!H208</f>
        <v>ELIGIBLE</v>
      </c>
      <c r="C208">
        <f>SCORING_ENGINE!S208</f>
        <v>70</v>
      </c>
      <c r="D208" t="str" cm="1">
        <f t="array" ref="D208">CLASSIFY_CREDIT(B208,C208)</f>
        <v>Approve</v>
      </c>
      <c r="E208" t="str">
        <f t="shared" si="6"/>
        <v>High</v>
      </c>
      <c r="F208" t="str">
        <f t="shared" si="7"/>
        <v>Approve</v>
      </c>
    </row>
    <row r="209" spans="1:6" x14ac:dyDescent="0.25">
      <c r="A209" t="str">
        <f>SCORING_ENGINE!A209</f>
        <v>APP208</v>
      </c>
      <c r="B209" t="str">
        <f>SCORING_ENGINE!H209</f>
        <v>INELIGIBLE</v>
      </c>
      <c r="C209">
        <f>SCORING_ENGINE!S209</f>
        <v>51</v>
      </c>
      <c r="D209" t="str" cm="1">
        <f t="array" ref="D209">CLASSIFY_CREDIT(B209,C209)</f>
        <v>Reject</v>
      </c>
      <c r="E209" t="str">
        <f t="shared" si="6"/>
        <v>N/A</v>
      </c>
      <c r="F209" t="str">
        <f t="shared" si="7"/>
        <v>Reject</v>
      </c>
    </row>
    <row r="210" spans="1:6" x14ac:dyDescent="0.25">
      <c r="A210" t="str">
        <f>SCORING_ENGINE!A210</f>
        <v>APP209</v>
      </c>
      <c r="B210" t="str">
        <f>SCORING_ENGINE!H210</f>
        <v>INELIGIBLE</v>
      </c>
      <c r="C210">
        <f>SCORING_ENGINE!S210</f>
        <v>42</v>
      </c>
      <c r="D210" t="str" cm="1">
        <f t="array" ref="D210">CLASSIFY_CREDIT(B210,C210)</f>
        <v>Reject</v>
      </c>
      <c r="E210" t="str">
        <f t="shared" si="6"/>
        <v>N/A</v>
      </c>
      <c r="F210" t="str">
        <f t="shared" si="7"/>
        <v>Reject</v>
      </c>
    </row>
    <row r="211" spans="1:6" x14ac:dyDescent="0.25">
      <c r="A211" t="str">
        <f>SCORING_ENGINE!A211</f>
        <v>APP210</v>
      </c>
      <c r="B211" t="str">
        <f>SCORING_ENGINE!H211</f>
        <v>INELIGIBLE</v>
      </c>
      <c r="C211">
        <f>SCORING_ENGINE!S211</f>
        <v>50</v>
      </c>
      <c r="D211" t="str" cm="1">
        <f t="array" ref="D211">CLASSIFY_CREDIT(B211,C211)</f>
        <v>Reject</v>
      </c>
      <c r="E211" t="str">
        <f t="shared" si="6"/>
        <v>N/A</v>
      </c>
      <c r="F211" t="str">
        <f t="shared" si="7"/>
        <v>Reject</v>
      </c>
    </row>
    <row r="212" spans="1:6" x14ac:dyDescent="0.25">
      <c r="A212" t="str">
        <f>SCORING_ENGINE!A212</f>
        <v>APP211</v>
      </c>
      <c r="B212" t="str">
        <f>SCORING_ENGINE!H212</f>
        <v>INELIGIBLE</v>
      </c>
      <c r="C212">
        <f>SCORING_ENGINE!S212</f>
        <v>65</v>
      </c>
      <c r="D212" t="str" cm="1">
        <f t="array" ref="D212">CLASSIFY_CREDIT(B212,C212)</f>
        <v>Reject</v>
      </c>
      <c r="E212" t="str">
        <f t="shared" si="6"/>
        <v>N/A</v>
      </c>
      <c r="F212" t="str">
        <f t="shared" si="7"/>
        <v>Reject</v>
      </c>
    </row>
    <row r="213" spans="1:6" x14ac:dyDescent="0.25">
      <c r="A213" t="str">
        <f>SCORING_ENGINE!A213</f>
        <v>APP212</v>
      </c>
      <c r="B213" t="str">
        <f>SCORING_ENGINE!H213</f>
        <v>INELIGIBLE</v>
      </c>
      <c r="C213">
        <f>SCORING_ENGINE!S213</f>
        <v>65</v>
      </c>
      <c r="D213" t="str" cm="1">
        <f t="array" ref="D213">CLASSIFY_CREDIT(B213,C213)</f>
        <v>Reject</v>
      </c>
      <c r="E213" t="str">
        <f t="shared" si="6"/>
        <v>N/A</v>
      </c>
      <c r="F213" t="str">
        <f t="shared" si="7"/>
        <v>Reject</v>
      </c>
    </row>
    <row r="214" spans="1:6" x14ac:dyDescent="0.25">
      <c r="A214" t="str">
        <f>SCORING_ENGINE!A214</f>
        <v>APP213</v>
      </c>
      <c r="B214" t="str">
        <f>SCORING_ENGINE!H214</f>
        <v>INELIGIBLE</v>
      </c>
      <c r="C214">
        <f>SCORING_ENGINE!S214</f>
        <v>52</v>
      </c>
      <c r="D214" t="str" cm="1">
        <f t="array" ref="D214">CLASSIFY_CREDIT(B214,C214)</f>
        <v>Reject</v>
      </c>
      <c r="E214" t="str">
        <f t="shared" si="6"/>
        <v>N/A</v>
      </c>
      <c r="F214" t="str">
        <f t="shared" si="7"/>
        <v>Reject</v>
      </c>
    </row>
    <row r="215" spans="1:6" x14ac:dyDescent="0.25">
      <c r="A215" t="str">
        <f>SCORING_ENGINE!A215</f>
        <v>APP214</v>
      </c>
      <c r="B215" t="str">
        <f>SCORING_ENGINE!H215</f>
        <v>ELIGIBLE</v>
      </c>
      <c r="C215">
        <f>SCORING_ENGINE!S215</f>
        <v>90</v>
      </c>
      <c r="D215" t="str" cm="1">
        <f t="array" ref="D215">CLASSIFY_CREDIT(B215,C215)</f>
        <v>Approve</v>
      </c>
      <c r="E215" t="str">
        <f t="shared" si="6"/>
        <v>High</v>
      </c>
      <c r="F215" t="str">
        <f t="shared" si="7"/>
        <v>Approve</v>
      </c>
    </row>
    <row r="216" spans="1:6" x14ac:dyDescent="0.25">
      <c r="A216" t="str">
        <f>SCORING_ENGINE!A216</f>
        <v>APP215</v>
      </c>
      <c r="B216" t="str">
        <f>SCORING_ENGINE!H216</f>
        <v>INELIGIBLE</v>
      </c>
      <c r="C216">
        <f>SCORING_ENGINE!S216</f>
        <v>58</v>
      </c>
      <c r="D216" t="str" cm="1">
        <f t="array" ref="D216">CLASSIFY_CREDIT(B216,C216)</f>
        <v>Reject</v>
      </c>
      <c r="E216" t="str">
        <f t="shared" si="6"/>
        <v>N/A</v>
      </c>
      <c r="F216" t="str">
        <f t="shared" si="7"/>
        <v>Reject</v>
      </c>
    </row>
    <row r="217" spans="1:6" x14ac:dyDescent="0.25">
      <c r="A217" t="str">
        <f>SCORING_ENGINE!A217</f>
        <v>APP216</v>
      </c>
      <c r="B217" t="str">
        <f>SCORING_ENGINE!H217</f>
        <v>INELIGIBLE</v>
      </c>
      <c r="C217">
        <f>SCORING_ENGINE!S217</f>
        <v>75</v>
      </c>
      <c r="D217" t="str" cm="1">
        <f t="array" ref="D217">CLASSIFY_CREDIT(B217,C217)</f>
        <v>Reject</v>
      </c>
      <c r="E217" t="str">
        <f t="shared" si="6"/>
        <v>N/A</v>
      </c>
      <c r="F217" t="str">
        <f t="shared" si="7"/>
        <v>Reject</v>
      </c>
    </row>
    <row r="218" spans="1:6" x14ac:dyDescent="0.25">
      <c r="A218" t="str">
        <f>SCORING_ENGINE!A218</f>
        <v>APP217</v>
      </c>
      <c r="B218" t="str">
        <f>SCORING_ENGINE!H218</f>
        <v>INELIGIBLE</v>
      </c>
      <c r="C218">
        <f>SCORING_ENGINE!S218</f>
        <v>61</v>
      </c>
      <c r="D218" t="str" cm="1">
        <f t="array" ref="D218">CLASSIFY_CREDIT(B218,C218)</f>
        <v>Reject</v>
      </c>
      <c r="E218" t="str">
        <f t="shared" si="6"/>
        <v>N/A</v>
      </c>
      <c r="F218" t="str">
        <f t="shared" si="7"/>
        <v>Reject</v>
      </c>
    </row>
    <row r="219" spans="1:6" x14ac:dyDescent="0.25">
      <c r="A219" t="str">
        <f>SCORING_ENGINE!A219</f>
        <v>APP218</v>
      </c>
      <c r="B219" t="str">
        <f>SCORING_ENGINE!H219</f>
        <v>INELIGIBLE</v>
      </c>
      <c r="C219">
        <f>SCORING_ENGINE!S219</f>
        <v>53</v>
      </c>
      <c r="D219" t="str" cm="1">
        <f t="array" ref="D219">CLASSIFY_CREDIT(B219,C219)</f>
        <v>Reject</v>
      </c>
      <c r="E219" t="str">
        <f t="shared" si="6"/>
        <v>N/A</v>
      </c>
      <c r="F219" t="str">
        <f t="shared" si="7"/>
        <v>Reject</v>
      </c>
    </row>
    <row r="220" spans="1:6" x14ac:dyDescent="0.25">
      <c r="A220" t="str">
        <f>SCORING_ENGINE!A220</f>
        <v>APP219</v>
      </c>
      <c r="B220" t="str">
        <f>SCORING_ENGINE!H220</f>
        <v>INELIGIBLE</v>
      </c>
      <c r="C220">
        <f>SCORING_ENGINE!S220</f>
        <v>52</v>
      </c>
      <c r="D220" t="str" cm="1">
        <f t="array" ref="D220">CLASSIFY_CREDIT(B220,C220)</f>
        <v>Reject</v>
      </c>
      <c r="E220" t="str">
        <f t="shared" si="6"/>
        <v>N/A</v>
      </c>
      <c r="F220" t="str">
        <f t="shared" si="7"/>
        <v>Reject</v>
      </c>
    </row>
    <row r="221" spans="1:6" x14ac:dyDescent="0.25">
      <c r="A221" t="str">
        <f>SCORING_ENGINE!A221</f>
        <v>APP220</v>
      </c>
      <c r="B221" t="str">
        <f>SCORING_ENGINE!H221</f>
        <v>INELIGIBLE</v>
      </c>
      <c r="C221">
        <f>SCORING_ENGINE!S221</f>
        <v>63</v>
      </c>
      <c r="D221" t="str" cm="1">
        <f t="array" ref="D221">CLASSIFY_CREDIT(B221,C221)</f>
        <v>Reject</v>
      </c>
      <c r="E221" t="str">
        <f t="shared" si="6"/>
        <v>N/A</v>
      </c>
      <c r="F221" t="str">
        <f t="shared" si="7"/>
        <v>Reject</v>
      </c>
    </row>
    <row r="222" spans="1:6" x14ac:dyDescent="0.25">
      <c r="A222" t="str">
        <f>SCORING_ENGINE!A222</f>
        <v>APP221</v>
      </c>
      <c r="B222" t="str">
        <f>SCORING_ENGINE!H222</f>
        <v>ELIGIBLE</v>
      </c>
      <c r="C222">
        <f>SCORING_ENGINE!S222</f>
        <v>92</v>
      </c>
      <c r="D222" t="str" cm="1">
        <f t="array" ref="D222">CLASSIFY_CREDIT(B222,C222)</f>
        <v>Approve</v>
      </c>
      <c r="E222" t="str">
        <f t="shared" si="6"/>
        <v>High</v>
      </c>
      <c r="F222" t="str">
        <f t="shared" si="7"/>
        <v>Approve</v>
      </c>
    </row>
    <row r="223" spans="1:6" x14ac:dyDescent="0.25">
      <c r="A223" t="str">
        <f>SCORING_ENGINE!A223</f>
        <v>APP222</v>
      </c>
      <c r="B223" t="str">
        <f>SCORING_ENGINE!H223</f>
        <v>INELIGIBLE</v>
      </c>
      <c r="C223">
        <f>SCORING_ENGINE!S223</f>
        <v>45</v>
      </c>
      <c r="D223" t="str" cm="1">
        <f t="array" ref="D223">CLASSIFY_CREDIT(B223,C223)</f>
        <v>Reject</v>
      </c>
      <c r="E223" t="str">
        <f t="shared" si="6"/>
        <v>N/A</v>
      </c>
      <c r="F223" t="str">
        <f t="shared" si="7"/>
        <v>Reject</v>
      </c>
    </row>
    <row r="224" spans="1:6" x14ac:dyDescent="0.25">
      <c r="A224" t="str">
        <f>SCORING_ENGINE!A224</f>
        <v>APP223</v>
      </c>
      <c r="B224" t="str">
        <f>SCORING_ENGINE!H224</f>
        <v>INELIGIBLE</v>
      </c>
      <c r="C224">
        <f>SCORING_ENGINE!S224</f>
        <v>64</v>
      </c>
      <c r="D224" t="str" cm="1">
        <f t="array" ref="D224">CLASSIFY_CREDIT(B224,C224)</f>
        <v>Reject</v>
      </c>
      <c r="E224" t="str">
        <f t="shared" si="6"/>
        <v>N/A</v>
      </c>
      <c r="F224" t="str">
        <f t="shared" si="7"/>
        <v>Reject</v>
      </c>
    </row>
    <row r="225" spans="1:6" x14ac:dyDescent="0.25">
      <c r="A225" t="str">
        <f>SCORING_ENGINE!A225</f>
        <v>APP224</v>
      </c>
      <c r="B225" t="str">
        <f>SCORING_ENGINE!H225</f>
        <v>INELIGIBLE</v>
      </c>
      <c r="C225">
        <f>SCORING_ENGINE!S225</f>
        <v>52</v>
      </c>
      <c r="D225" t="str" cm="1">
        <f t="array" ref="D225">CLASSIFY_CREDIT(B225,C225)</f>
        <v>Reject</v>
      </c>
      <c r="E225" t="str">
        <f t="shared" si="6"/>
        <v>N/A</v>
      </c>
      <c r="F225" t="str">
        <f t="shared" si="7"/>
        <v>Reject</v>
      </c>
    </row>
    <row r="226" spans="1:6" x14ac:dyDescent="0.25">
      <c r="A226" t="str">
        <f>SCORING_ENGINE!A226</f>
        <v>APP225</v>
      </c>
      <c r="B226" t="str">
        <f>SCORING_ENGINE!H226</f>
        <v>INELIGIBLE</v>
      </c>
      <c r="C226">
        <f>SCORING_ENGINE!S226</f>
        <v>50</v>
      </c>
      <c r="D226" t="str" cm="1">
        <f t="array" ref="D226">CLASSIFY_CREDIT(B226,C226)</f>
        <v>Reject</v>
      </c>
      <c r="E226" t="str">
        <f t="shared" si="6"/>
        <v>N/A</v>
      </c>
      <c r="F226" t="str">
        <f t="shared" si="7"/>
        <v>Reject</v>
      </c>
    </row>
    <row r="227" spans="1:6" x14ac:dyDescent="0.25">
      <c r="A227" t="str">
        <f>SCORING_ENGINE!A227</f>
        <v>APP226</v>
      </c>
      <c r="B227" t="str">
        <f>SCORING_ENGINE!H227</f>
        <v>INELIGIBLE</v>
      </c>
      <c r="C227">
        <f>SCORING_ENGINE!S227</f>
        <v>76</v>
      </c>
      <c r="D227" t="str" cm="1">
        <f t="array" ref="D227">CLASSIFY_CREDIT(B227,C227)</f>
        <v>Reject</v>
      </c>
      <c r="E227" t="str">
        <f t="shared" si="6"/>
        <v>N/A</v>
      </c>
      <c r="F227" t="str">
        <f t="shared" si="7"/>
        <v>Reject</v>
      </c>
    </row>
    <row r="228" spans="1:6" x14ac:dyDescent="0.25">
      <c r="A228" t="str">
        <f>SCORING_ENGINE!A228</f>
        <v>APP227</v>
      </c>
      <c r="B228" t="str">
        <f>SCORING_ENGINE!H228</f>
        <v>INELIGIBLE</v>
      </c>
      <c r="C228">
        <f>SCORING_ENGINE!S228</f>
        <v>49</v>
      </c>
      <c r="D228" t="str" cm="1">
        <f t="array" ref="D228">CLASSIFY_CREDIT(B228,C228)</f>
        <v>Reject</v>
      </c>
      <c r="E228" t="str">
        <f t="shared" si="6"/>
        <v>N/A</v>
      </c>
      <c r="F228" t="str">
        <f t="shared" si="7"/>
        <v>Reject</v>
      </c>
    </row>
    <row r="229" spans="1:6" x14ac:dyDescent="0.25">
      <c r="A229" t="str">
        <f>SCORING_ENGINE!A229</f>
        <v>APP228</v>
      </c>
      <c r="B229" t="str">
        <f>SCORING_ENGINE!H229</f>
        <v>INELIGIBLE</v>
      </c>
      <c r="C229">
        <f>SCORING_ENGINE!S229</f>
        <v>59</v>
      </c>
      <c r="D229" t="str" cm="1">
        <f t="array" ref="D229">CLASSIFY_CREDIT(B229,C229)</f>
        <v>Reject</v>
      </c>
      <c r="E229" t="str">
        <f t="shared" si="6"/>
        <v>N/A</v>
      </c>
      <c r="F229" t="str">
        <f t="shared" si="7"/>
        <v>Reject</v>
      </c>
    </row>
    <row r="230" spans="1:6" x14ac:dyDescent="0.25">
      <c r="A230" t="str">
        <f>SCORING_ENGINE!A230</f>
        <v>APP229</v>
      </c>
      <c r="B230" t="str">
        <f>SCORING_ENGINE!H230</f>
        <v>INELIGIBLE</v>
      </c>
      <c r="C230">
        <f>SCORING_ENGINE!S230</f>
        <v>82</v>
      </c>
      <c r="D230" t="str" cm="1">
        <f t="array" ref="D230">CLASSIFY_CREDIT(B230,C230)</f>
        <v>Reject</v>
      </c>
      <c r="E230" t="str">
        <f t="shared" si="6"/>
        <v>N/A</v>
      </c>
      <c r="F230" t="str">
        <f t="shared" si="7"/>
        <v>Reject</v>
      </c>
    </row>
    <row r="231" spans="1:6" x14ac:dyDescent="0.25">
      <c r="A231" t="str">
        <f>SCORING_ENGINE!A231</f>
        <v>APP230</v>
      </c>
      <c r="B231" t="str">
        <f>SCORING_ENGINE!H231</f>
        <v>ELIGIBLE</v>
      </c>
      <c r="C231">
        <f>SCORING_ENGINE!S231</f>
        <v>91</v>
      </c>
      <c r="D231" t="str" cm="1">
        <f t="array" ref="D231">CLASSIFY_CREDIT(B231,C231)</f>
        <v>Approve</v>
      </c>
      <c r="E231" t="str">
        <f t="shared" si="6"/>
        <v>High</v>
      </c>
      <c r="F231" t="str">
        <f t="shared" si="7"/>
        <v>Approve</v>
      </c>
    </row>
    <row r="232" spans="1:6" x14ac:dyDescent="0.25">
      <c r="A232" t="str">
        <f>SCORING_ENGINE!A232</f>
        <v>APP231</v>
      </c>
      <c r="B232" t="str">
        <f>SCORING_ENGINE!H232</f>
        <v>INELIGIBLE</v>
      </c>
      <c r="C232">
        <f>SCORING_ENGINE!S232</f>
        <v>71</v>
      </c>
      <c r="D232" t="str" cm="1">
        <f t="array" ref="D232">CLASSIFY_CREDIT(B232,C232)</f>
        <v>Reject</v>
      </c>
      <c r="E232" t="str">
        <f t="shared" si="6"/>
        <v>N/A</v>
      </c>
      <c r="F232" t="str">
        <f t="shared" si="7"/>
        <v>Reject</v>
      </c>
    </row>
    <row r="233" spans="1:6" x14ac:dyDescent="0.25">
      <c r="A233" t="str">
        <f>SCORING_ENGINE!A233</f>
        <v>APP232</v>
      </c>
      <c r="B233" t="str">
        <f>SCORING_ENGINE!H233</f>
        <v>ELIGIBLE</v>
      </c>
      <c r="C233">
        <f>SCORING_ENGINE!S233</f>
        <v>69</v>
      </c>
      <c r="D233" t="str" cm="1">
        <f t="array" ref="D233">CLASSIFY_CREDIT(B233,C233)</f>
        <v>Review</v>
      </c>
      <c r="E233" t="str">
        <f t="shared" si="6"/>
        <v>Medium</v>
      </c>
      <c r="F233" t="str">
        <f t="shared" si="7"/>
        <v>Review</v>
      </c>
    </row>
    <row r="234" spans="1:6" x14ac:dyDescent="0.25">
      <c r="A234" t="str">
        <f>SCORING_ENGINE!A234</f>
        <v>APP233</v>
      </c>
      <c r="B234" t="str">
        <f>SCORING_ENGINE!H234</f>
        <v>INELIGIBLE</v>
      </c>
      <c r="C234">
        <f>SCORING_ENGINE!S234</f>
        <v>47</v>
      </c>
      <c r="D234" t="str" cm="1">
        <f t="array" ref="D234">CLASSIFY_CREDIT(B234,C234)</f>
        <v>Reject</v>
      </c>
      <c r="E234" t="str">
        <f t="shared" si="6"/>
        <v>N/A</v>
      </c>
      <c r="F234" t="str">
        <f t="shared" si="7"/>
        <v>Reject</v>
      </c>
    </row>
    <row r="235" spans="1:6" x14ac:dyDescent="0.25">
      <c r="A235" t="str">
        <f>SCORING_ENGINE!A235</f>
        <v>APP234</v>
      </c>
      <c r="B235" t="str">
        <f>SCORING_ENGINE!H235</f>
        <v>ELIGIBLE</v>
      </c>
      <c r="C235">
        <f>SCORING_ENGINE!S235</f>
        <v>91</v>
      </c>
      <c r="D235" t="str" cm="1">
        <f t="array" ref="D235">CLASSIFY_CREDIT(B235,C235)</f>
        <v>Approve</v>
      </c>
      <c r="E235" t="str">
        <f t="shared" si="6"/>
        <v>High</v>
      </c>
      <c r="F235" t="str">
        <f t="shared" si="7"/>
        <v>Approve</v>
      </c>
    </row>
    <row r="236" spans="1:6" x14ac:dyDescent="0.25">
      <c r="A236" t="str">
        <f>SCORING_ENGINE!A236</f>
        <v>APP235</v>
      </c>
      <c r="B236" t="str">
        <f>SCORING_ENGINE!H236</f>
        <v>INELIGIBLE</v>
      </c>
      <c r="C236">
        <f>SCORING_ENGINE!S236</f>
        <v>60</v>
      </c>
      <c r="D236" t="str" cm="1">
        <f t="array" ref="D236">CLASSIFY_CREDIT(B236,C236)</f>
        <v>Reject</v>
      </c>
      <c r="E236" t="str">
        <f t="shared" si="6"/>
        <v>N/A</v>
      </c>
      <c r="F236" t="str">
        <f t="shared" si="7"/>
        <v>Reject</v>
      </c>
    </row>
    <row r="237" spans="1:6" x14ac:dyDescent="0.25">
      <c r="A237" t="str">
        <f>SCORING_ENGINE!A237</f>
        <v>APP236</v>
      </c>
      <c r="B237" t="str">
        <f>SCORING_ENGINE!H237</f>
        <v>INELIGIBLE</v>
      </c>
      <c r="C237">
        <f>SCORING_ENGINE!S237</f>
        <v>43</v>
      </c>
      <c r="D237" t="str" cm="1">
        <f t="array" ref="D237">CLASSIFY_CREDIT(B237,C237)</f>
        <v>Reject</v>
      </c>
      <c r="E237" t="str">
        <f t="shared" si="6"/>
        <v>N/A</v>
      </c>
      <c r="F237" t="str">
        <f t="shared" si="7"/>
        <v>Reject</v>
      </c>
    </row>
    <row r="238" spans="1:6" x14ac:dyDescent="0.25">
      <c r="A238" t="str">
        <f>SCORING_ENGINE!A238</f>
        <v>APP237</v>
      </c>
      <c r="B238" t="str">
        <f>SCORING_ENGINE!H238</f>
        <v>INELIGIBLE</v>
      </c>
      <c r="C238">
        <f>SCORING_ENGINE!S238</f>
        <v>48</v>
      </c>
      <c r="D238" t="str" cm="1">
        <f t="array" ref="D238">CLASSIFY_CREDIT(B238,C238)</f>
        <v>Reject</v>
      </c>
      <c r="E238" t="str">
        <f t="shared" si="6"/>
        <v>N/A</v>
      </c>
      <c r="F238" t="str">
        <f t="shared" si="7"/>
        <v>Reject</v>
      </c>
    </row>
    <row r="239" spans="1:6" x14ac:dyDescent="0.25">
      <c r="A239" t="str">
        <f>SCORING_ENGINE!A239</f>
        <v>APP238</v>
      </c>
      <c r="B239" t="str">
        <f>SCORING_ENGINE!H239</f>
        <v>INELIGIBLE</v>
      </c>
      <c r="C239">
        <f>SCORING_ENGINE!S239</f>
        <v>63</v>
      </c>
      <c r="D239" t="str" cm="1">
        <f t="array" ref="D239">CLASSIFY_CREDIT(B239,C239)</f>
        <v>Reject</v>
      </c>
      <c r="E239" t="str">
        <f t="shared" si="6"/>
        <v>N/A</v>
      </c>
      <c r="F239" t="str">
        <f t="shared" si="7"/>
        <v>Reject</v>
      </c>
    </row>
    <row r="240" spans="1:6" x14ac:dyDescent="0.25">
      <c r="A240" t="str">
        <f>SCORING_ENGINE!A240</f>
        <v>APP239</v>
      </c>
      <c r="B240" t="str">
        <f>SCORING_ENGINE!H240</f>
        <v>INELIGIBLE</v>
      </c>
      <c r="C240">
        <f>SCORING_ENGINE!S240</f>
        <v>59</v>
      </c>
      <c r="D240" t="str" cm="1">
        <f t="array" ref="D240">CLASSIFY_CREDIT(B240,C240)</f>
        <v>Reject</v>
      </c>
      <c r="E240" t="str">
        <f t="shared" si="6"/>
        <v>N/A</v>
      </c>
      <c r="F240" t="str">
        <f t="shared" si="7"/>
        <v>Reject</v>
      </c>
    </row>
    <row r="241" spans="1:6" x14ac:dyDescent="0.25">
      <c r="A241" t="str">
        <f>SCORING_ENGINE!A241</f>
        <v>APP240</v>
      </c>
      <c r="B241" t="str">
        <f>SCORING_ENGINE!H241</f>
        <v>INELIGIBLE</v>
      </c>
      <c r="C241">
        <f>SCORING_ENGINE!S241</f>
        <v>52</v>
      </c>
      <c r="D241" t="str" cm="1">
        <f t="array" ref="D241">CLASSIFY_CREDIT(B241,C241)</f>
        <v>Reject</v>
      </c>
      <c r="E241" t="str">
        <f t="shared" si="6"/>
        <v>N/A</v>
      </c>
      <c r="F241" t="str">
        <f t="shared" si="7"/>
        <v>Reject</v>
      </c>
    </row>
    <row r="242" spans="1:6" x14ac:dyDescent="0.25">
      <c r="A242" t="str">
        <f>SCORING_ENGINE!A242</f>
        <v>APP241</v>
      </c>
      <c r="B242" t="str">
        <f>SCORING_ENGINE!H242</f>
        <v>INELIGIBLE</v>
      </c>
      <c r="C242">
        <f>SCORING_ENGINE!S242</f>
        <v>85</v>
      </c>
      <c r="D242" t="str" cm="1">
        <f t="array" ref="D242">CLASSIFY_CREDIT(B242,C242)</f>
        <v>Reject</v>
      </c>
      <c r="E242" t="str">
        <f t="shared" si="6"/>
        <v>N/A</v>
      </c>
      <c r="F242" t="str">
        <f t="shared" si="7"/>
        <v>Reject</v>
      </c>
    </row>
    <row r="243" spans="1:6" x14ac:dyDescent="0.25">
      <c r="A243" t="str">
        <f>SCORING_ENGINE!A243</f>
        <v>APP242</v>
      </c>
      <c r="B243" t="str">
        <f>SCORING_ENGINE!H243</f>
        <v>INELIGIBLE</v>
      </c>
      <c r="C243">
        <f>SCORING_ENGINE!S243</f>
        <v>64</v>
      </c>
      <c r="D243" t="str" cm="1">
        <f t="array" ref="D243">CLASSIFY_CREDIT(B243,C243)</f>
        <v>Reject</v>
      </c>
      <c r="E243" t="str">
        <f t="shared" si="6"/>
        <v>N/A</v>
      </c>
      <c r="F243" t="str">
        <f t="shared" si="7"/>
        <v>Reject</v>
      </c>
    </row>
    <row r="244" spans="1:6" x14ac:dyDescent="0.25">
      <c r="A244" t="str">
        <f>SCORING_ENGINE!A244</f>
        <v>APP243</v>
      </c>
      <c r="B244" t="str">
        <f>SCORING_ENGINE!H244</f>
        <v>INELIGIBLE</v>
      </c>
      <c r="C244">
        <f>SCORING_ENGINE!S244</f>
        <v>48</v>
      </c>
      <c r="D244" t="str" cm="1">
        <f t="array" ref="D244">CLASSIFY_CREDIT(B244,C244)</f>
        <v>Reject</v>
      </c>
      <c r="E244" t="str">
        <f t="shared" si="6"/>
        <v>N/A</v>
      </c>
      <c r="F244" t="str">
        <f t="shared" si="7"/>
        <v>Reject</v>
      </c>
    </row>
    <row r="245" spans="1:6" x14ac:dyDescent="0.25">
      <c r="A245" t="str">
        <f>SCORING_ENGINE!A245</f>
        <v>APP244</v>
      </c>
      <c r="B245" t="str">
        <f>SCORING_ENGINE!H245</f>
        <v>INELIGIBLE</v>
      </c>
      <c r="C245">
        <f>SCORING_ENGINE!S245</f>
        <v>85</v>
      </c>
      <c r="D245" t="str" cm="1">
        <f t="array" ref="D245">CLASSIFY_CREDIT(B245,C245)</f>
        <v>Reject</v>
      </c>
      <c r="E245" t="str">
        <f t="shared" si="6"/>
        <v>N/A</v>
      </c>
      <c r="F245" t="str">
        <f t="shared" si="7"/>
        <v>Reject</v>
      </c>
    </row>
    <row r="246" spans="1:6" x14ac:dyDescent="0.25">
      <c r="A246" t="str">
        <f>SCORING_ENGINE!A246</f>
        <v>APP245</v>
      </c>
      <c r="B246" t="str">
        <f>SCORING_ENGINE!H246</f>
        <v>INELIGIBLE</v>
      </c>
      <c r="C246">
        <f>SCORING_ENGINE!S246</f>
        <v>63</v>
      </c>
      <c r="D246" t="str" cm="1">
        <f t="array" ref="D246">CLASSIFY_CREDIT(B246,C246)</f>
        <v>Reject</v>
      </c>
      <c r="E246" t="str">
        <f t="shared" si="6"/>
        <v>N/A</v>
      </c>
      <c r="F246" t="str">
        <f t="shared" si="7"/>
        <v>Reject</v>
      </c>
    </row>
    <row r="247" spans="1:6" x14ac:dyDescent="0.25">
      <c r="A247" t="str">
        <f>SCORING_ENGINE!A247</f>
        <v>APP246</v>
      </c>
      <c r="B247" t="str">
        <f>SCORING_ENGINE!H247</f>
        <v>INELIGIBLE</v>
      </c>
      <c r="C247">
        <f>SCORING_ENGINE!S247</f>
        <v>42</v>
      </c>
      <c r="D247" t="str" cm="1">
        <f t="array" ref="D247">CLASSIFY_CREDIT(B247,C247)</f>
        <v>Reject</v>
      </c>
      <c r="E247" t="str">
        <f t="shared" si="6"/>
        <v>N/A</v>
      </c>
      <c r="F247" t="str">
        <f t="shared" si="7"/>
        <v>Reject</v>
      </c>
    </row>
    <row r="248" spans="1:6" x14ac:dyDescent="0.25">
      <c r="A248" t="str">
        <f>SCORING_ENGINE!A248</f>
        <v>APP247</v>
      </c>
      <c r="B248" t="str">
        <f>SCORING_ENGINE!H248</f>
        <v>INELIGIBLE</v>
      </c>
      <c r="C248">
        <f>SCORING_ENGINE!S248</f>
        <v>46</v>
      </c>
      <c r="D248" t="str" cm="1">
        <f t="array" ref="D248">CLASSIFY_CREDIT(B248,C248)</f>
        <v>Reject</v>
      </c>
      <c r="E248" t="str">
        <f t="shared" si="6"/>
        <v>N/A</v>
      </c>
      <c r="F248" t="str">
        <f t="shared" si="7"/>
        <v>Reject</v>
      </c>
    </row>
    <row r="249" spans="1:6" x14ac:dyDescent="0.25">
      <c r="A249" t="str">
        <f>SCORING_ENGINE!A249</f>
        <v>APP248</v>
      </c>
      <c r="B249" t="str">
        <f>SCORING_ENGINE!H249</f>
        <v>INELIGIBLE</v>
      </c>
      <c r="C249">
        <f>SCORING_ENGINE!S249</f>
        <v>45</v>
      </c>
      <c r="D249" t="str" cm="1">
        <f t="array" ref="D249">CLASSIFY_CREDIT(B249,C249)</f>
        <v>Reject</v>
      </c>
      <c r="E249" t="str">
        <f t="shared" si="6"/>
        <v>N/A</v>
      </c>
      <c r="F249" t="str">
        <f t="shared" si="7"/>
        <v>Reject</v>
      </c>
    </row>
    <row r="250" spans="1:6" x14ac:dyDescent="0.25">
      <c r="A250" t="str">
        <f>SCORING_ENGINE!A250</f>
        <v>APP249</v>
      </c>
      <c r="B250" t="str">
        <f>SCORING_ENGINE!H250</f>
        <v>ELIGIBLE</v>
      </c>
      <c r="C250">
        <f>SCORING_ENGINE!S250</f>
        <v>78</v>
      </c>
      <c r="D250" t="str" cm="1">
        <f t="array" ref="D250">CLASSIFY_CREDIT(B250,C250)</f>
        <v>Approve</v>
      </c>
      <c r="E250" t="str">
        <f t="shared" si="6"/>
        <v>High</v>
      </c>
      <c r="F250" t="str">
        <f t="shared" si="7"/>
        <v>Approve</v>
      </c>
    </row>
    <row r="251" spans="1:6" x14ac:dyDescent="0.25">
      <c r="A251" t="str">
        <f>SCORING_ENGINE!A251</f>
        <v>APP250</v>
      </c>
      <c r="B251" t="str">
        <f>SCORING_ENGINE!H251</f>
        <v>INELIGIBLE</v>
      </c>
      <c r="C251">
        <f>SCORING_ENGINE!S251</f>
        <v>51</v>
      </c>
      <c r="D251" t="str" cm="1">
        <f t="array" ref="D251">CLASSIFY_CREDIT(B251,C251)</f>
        <v>Reject</v>
      </c>
      <c r="E251" t="str">
        <f t="shared" si="6"/>
        <v>N/A</v>
      </c>
      <c r="F251" t="str">
        <f t="shared" si="7"/>
        <v>Reject</v>
      </c>
    </row>
    <row r="252" spans="1:6" x14ac:dyDescent="0.25">
      <c r="A252" t="str">
        <f>SCORING_ENGINE!A252</f>
        <v>APP251</v>
      </c>
      <c r="B252" t="str">
        <f>SCORING_ENGINE!H252</f>
        <v>INELIGIBLE</v>
      </c>
      <c r="C252">
        <f>SCORING_ENGINE!S252</f>
        <v>61</v>
      </c>
      <c r="D252" t="str" cm="1">
        <f t="array" ref="D252">CLASSIFY_CREDIT(B252,C252)</f>
        <v>Reject</v>
      </c>
      <c r="E252" t="str">
        <f t="shared" si="6"/>
        <v>N/A</v>
      </c>
      <c r="F252" t="str">
        <f t="shared" si="7"/>
        <v>Reject</v>
      </c>
    </row>
    <row r="253" spans="1:6" x14ac:dyDescent="0.25">
      <c r="A253" t="str">
        <f>SCORING_ENGINE!A253</f>
        <v>APP252</v>
      </c>
      <c r="B253" t="str">
        <f>SCORING_ENGINE!H253</f>
        <v>INELIGIBLE</v>
      </c>
      <c r="C253">
        <f>SCORING_ENGINE!S253</f>
        <v>57</v>
      </c>
      <c r="D253" t="str" cm="1">
        <f t="array" ref="D253">CLASSIFY_CREDIT(B253,C253)</f>
        <v>Reject</v>
      </c>
      <c r="E253" t="str">
        <f t="shared" si="6"/>
        <v>N/A</v>
      </c>
      <c r="F253" t="str">
        <f t="shared" si="7"/>
        <v>Reject</v>
      </c>
    </row>
    <row r="254" spans="1:6" x14ac:dyDescent="0.25">
      <c r="A254" t="str">
        <f>SCORING_ENGINE!A254</f>
        <v>APP253</v>
      </c>
      <c r="B254" t="str">
        <f>SCORING_ENGINE!H254</f>
        <v>INELIGIBLE</v>
      </c>
      <c r="C254">
        <f>SCORING_ENGINE!S254</f>
        <v>72</v>
      </c>
      <c r="D254" t="str" cm="1">
        <f t="array" ref="D254">CLASSIFY_CREDIT(B254,C254)</f>
        <v>Reject</v>
      </c>
      <c r="E254" t="str">
        <f t="shared" si="6"/>
        <v>N/A</v>
      </c>
      <c r="F254" t="str">
        <f t="shared" si="7"/>
        <v>Reject</v>
      </c>
    </row>
    <row r="255" spans="1:6" x14ac:dyDescent="0.25">
      <c r="A255" t="str">
        <f>SCORING_ENGINE!A255</f>
        <v>APP254</v>
      </c>
      <c r="B255" t="str">
        <f>SCORING_ENGINE!H255</f>
        <v>INELIGIBLE</v>
      </c>
      <c r="C255">
        <f>SCORING_ENGINE!S255</f>
        <v>24</v>
      </c>
      <c r="D255" t="str" cm="1">
        <f t="array" ref="D255">CLASSIFY_CREDIT(B255,C255)</f>
        <v>Reject</v>
      </c>
      <c r="E255" t="str">
        <f t="shared" si="6"/>
        <v>N/A</v>
      </c>
      <c r="F255" t="str">
        <f t="shared" si="7"/>
        <v>Reject</v>
      </c>
    </row>
    <row r="256" spans="1:6" x14ac:dyDescent="0.25">
      <c r="A256" t="str">
        <f>SCORING_ENGINE!A256</f>
        <v>APP255</v>
      </c>
      <c r="B256" t="str">
        <f>SCORING_ENGINE!H256</f>
        <v>INELIGIBLE</v>
      </c>
      <c r="C256">
        <f>SCORING_ENGINE!S256</f>
        <v>70</v>
      </c>
      <c r="D256" t="str" cm="1">
        <f t="array" ref="D256">CLASSIFY_CREDIT(B256,C256)</f>
        <v>Reject</v>
      </c>
      <c r="E256" t="str">
        <f t="shared" si="6"/>
        <v>N/A</v>
      </c>
      <c r="F256" t="str">
        <f t="shared" si="7"/>
        <v>Reject</v>
      </c>
    </row>
    <row r="257" spans="1:6" x14ac:dyDescent="0.25">
      <c r="A257" t="str">
        <f>SCORING_ENGINE!A257</f>
        <v>APP256</v>
      </c>
      <c r="B257" t="str">
        <f>SCORING_ENGINE!H257</f>
        <v>ELIGIBLE</v>
      </c>
      <c r="C257">
        <f>SCORING_ENGINE!S257</f>
        <v>90</v>
      </c>
      <c r="D257" t="str" cm="1">
        <f t="array" ref="D257">CLASSIFY_CREDIT(B257,C257)</f>
        <v>Approve</v>
      </c>
      <c r="E257" t="str">
        <f t="shared" si="6"/>
        <v>High</v>
      </c>
      <c r="F257" t="str">
        <f t="shared" si="7"/>
        <v>Approve</v>
      </c>
    </row>
    <row r="258" spans="1:6" x14ac:dyDescent="0.25">
      <c r="A258" t="str">
        <f>SCORING_ENGINE!A258</f>
        <v>APP257</v>
      </c>
      <c r="B258" t="str">
        <f>SCORING_ENGINE!H258</f>
        <v>INELIGIBLE</v>
      </c>
      <c r="C258">
        <f>SCORING_ENGINE!S258</f>
        <v>31</v>
      </c>
      <c r="D258" t="str" cm="1">
        <f t="array" ref="D258">CLASSIFY_CREDIT(B258,C258)</f>
        <v>Reject</v>
      </c>
      <c r="E258" t="str">
        <f t="shared" si="6"/>
        <v>N/A</v>
      </c>
      <c r="F258" t="str">
        <f t="shared" si="7"/>
        <v>Reject</v>
      </c>
    </row>
    <row r="259" spans="1:6" x14ac:dyDescent="0.25">
      <c r="A259" t="str">
        <f>SCORING_ENGINE!A259</f>
        <v>APP258</v>
      </c>
      <c r="B259" t="str">
        <f>SCORING_ENGINE!H259</f>
        <v>INELIGIBLE</v>
      </c>
      <c r="C259">
        <f>SCORING_ENGINE!S259</f>
        <v>60</v>
      </c>
      <c r="D259" t="str" cm="1">
        <f t="array" ref="D259">CLASSIFY_CREDIT(B259,C259)</f>
        <v>Reject</v>
      </c>
      <c r="E259" t="str">
        <f t="shared" ref="E259:E322" si="8">IF(B259="INELIGIBLE","N/A",IF(C259&gt;=70,"High",IF(C259&gt;=50,"Medium","Low")))</f>
        <v>N/A</v>
      </c>
      <c r="F259" t="str">
        <f t="shared" ref="F259:F322" si="9">D259</f>
        <v>Reject</v>
      </c>
    </row>
    <row r="260" spans="1:6" x14ac:dyDescent="0.25">
      <c r="A260" t="str">
        <f>SCORING_ENGINE!A260</f>
        <v>APP259</v>
      </c>
      <c r="B260" t="str">
        <f>SCORING_ENGINE!H260</f>
        <v>ELIGIBLE</v>
      </c>
      <c r="C260">
        <f>SCORING_ENGINE!S260</f>
        <v>69</v>
      </c>
      <c r="D260" t="str" cm="1">
        <f t="array" ref="D260">CLASSIFY_CREDIT(B260,C260)</f>
        <v>Review</v>
      </c>
      <c r="E260" t="str">
        <f t="shared" si="8"/>
        <v>Medium</v>
      </c>
      <c r="F260" t="str">
        <f t="shared" si="9"/>
        <v>Review</v>
      </c>
    </row>
    <row r="261" spans="1:6" x14ac:dyDescent="0.25">
      <c r="A261" t="str">
        <f>SCORING_ENGINE!A261</f>
        <v>APP260</v>
      </c>
      <c r="B261" t="str">
        <f>SCORING_ENGINE!H261</f>
        <v>ELIGIBLE</v>
      </c>
      <c r="C261">
        <f>SCORING_ENGINE!S261</f>
        <v>64</v>
      </c>
      <c r="D261" t="str" cm="1">
        <f t="array" ref="D261">CLASSIFY_CREDIT(B261,C261)</f>
        <v>Review</v>
      </c>
      <c r="E261" t="str">
        <f t="shared" si="8"/>
        <v>Medium</v>
      </c>
      <c r="F261" t="str">
        <f t="shared" si="9"/>
        <v>Review</v>
      </c>
    </row>
    <row r="262" spans="1:6" x14ac:dyDescent="0.25">
      <c r="A262" t="str">
        <f>SCORING_ENGINE!A262</f>
        <v>APP261</v>
      </c>
      <c r="B262" t="str">
        <f>SCORING_ENGINE!H262</f>
        <v>ELIGIBLE</v>
      </c>
      <c r="C262">
        <f>SCORING_ENGINE!S262</f>
        <v>79</v>
      </c>
      <c r="D262" t="str" cm="1">
        <f t="array" ref="D262">CLASSIFY_CREDIT(B262,C262)</f>
        <v>Approve</v>
      </c>
      <c r="E262" t="str">
        <f t="shared" si="8"/>
        <v>High</v>
      </c>
      <c r="F262" t="str">
        <f t="shared" si="9"/>
        <v>Approve</v>
      </c>
    </row>
    <row r="263" spans="1:6" x14ac:dyDescent="0.25">
      <c r="A263" t="str">
        <f>SCORING_ENGINE!A263</f>
        <v>APP262</v>
      </c>
      <c r="B263" t="str">
        <f>SCORING_ENGINE!H263</f>
        <v>INELIGIBLE</v>
      </c>
      <c r="C263">
        <f>SCORING_ENGINE!S263</f>
        <v>57</v>
      </c>
      <c r="D263" t="str" cm="1">
        <f t="array" ref="D263">CLASSIFY_CREDIT(B263,C263)</f>
        <v>Reject</v>
      </c>
      <c r="E263" t="str">
        <f t="shared" si="8"/>
        <v>N/A</v>
      </c>
      <c r="F263" t="str">
        <f t="shared" si="9"/>
        <v>Reject</v>
      </c>
    </row>
    <row r="264" spans="1:6" x14ac:dyDescent="0.25">
      <c r="A264" t="str">
        <f>SCORING_ENGINE!A264</f>
        <v>APP263</v>
      </c>
      <c r="B264" t="str">
        <f>SCORING_ENGINE!H264</f>
        <v>INELIGIBLE</v>
      </c>
      <c r="C264">
        <f>SCORING_ENGINE!S264</f>
        <v>57</v>
      </c>
      <c r="D264" t="str" cm="1">
        <f t="array" ref="D264">CLASSIFY_CREDIT(B264,C264)</f>
        <v>Reject</v>
      </c>
      <c r="E264" t="str">
        <f t="shared" si="8"/>
        <v>N/A</v>
      </c>
      <c r="F264" t="str">
        <f t="shared" si="9"/>
        <v>Reject</v>
      </c>
    </row>
    <row r="265" spans="1:6" x14ac:dyDescent="0.25">
      <c r="A265" t="str">
        <f>SCORING_ENGINE!A265</f>
        <v>APP264</v>
      </c>
      <c r="B265" t="str">
        <f>SCORING_ENGINE!H265</f>
        <v>INELIGIBLE</v>
      </c>
      <c r="C265">
        <f>SCORING_ENGINE!S265</f>
        <v>61</v>
      </c>
      <c r="D265" t="str" cm="1">
        <f t="array" ref="D265">CLASSIFY_CREDIT(B265,C265)</f>
        <v>Reject</v>
      </c>
      <c r="E265" t="str">
        <f t="shared" si="8"/>
        <v>N/A</v>
      </c>
      <c r="F265" t="str">
        <f t="shared" si="9"/>
        <v>Reject</v>
      </c>
    </row>
    <row r="266" spans="1:6" x14ac:dyDescent="0.25">
      <c r="A266" t="str">
        <f>SCORING_ENGINE!A266</f>
        <v>APP265</v>
      </c>
      <c r="B266" t="str">
        <f>SCORING_ENGINE!H266</f>
        <v>INELIGIBLE</v>
      </c>
      <c r="C266">
        <f>SCORING_ENGINE!S266</f>
        <v>55</v>
      </c>
      <c r="D266" t="str" cm="1">
        <f t="array" ref="D266">CLASSIFY_CREDIT(B266,C266)</f>
        <v>Reject</v>
      </c>
      <c r="E266" t="str">
        <f t="shared" si="8"/>
        <v>N/A</v>
      </c>
      <c r="F266" t="str">
        <f t="shared" si="9"/>
        <v>Reject</v>
      </c>
    </row>
    <row r="267" spans="1:6" x14ac:dyDescent="0.25">
      <c r="A267" t="str">
        <f>SCORING_ENGINE!A267</f>
        <v>APP266</v>
      </c>
      <c r="B267" t="str">
        <f>SCORING_ENGINE!H267</f>
        <v>INELIGIBLE</v>
      </c>
      <c r="C267">
        <f>SCORING_ENGINE!S267</f>
        <v>48</v>
      </c>
      <c r="D267" t="str" cm="1">
        <f t="array" ref="D267">CLASSIFY_CREDIT(B267,C267)</f>
        <v>Reject</v>
      </c>
      <c r="E267" t="str">
        <f t="shared" si="8"/>
        <v>N/A</v>
      </c>
      <c r="F267" t="str">
        <f t="shared" si="9"/>
        <v>Reject</v>
      </c>
    </row>
    <row r="268" spans="1:6" x14ac:dyDescent="0.25">
      <c r="A268" t="str">
        <f>SCORING_ENGINE!A268</f>
        <v>APP267</v>
      </c>
      <c r="B268" t="str">
        <f>SCORING_ENGINE!H268</f>
        <v>INELIGIBLE</v>
      </c>
      <c r="C268">
        <f>SCORING_ENGINE!S268</f>
        <v>57</v>
      </c>
      <c r="D268" t="str" cm="1">
        <f t="array" ref="D268">CLASSIFY_CREDIT(B268,C268)</f>
        <v>Reject</v>
      </c>
      <c r="E268" t="str">
        <f t="shared" si="8"/>
        <v>N/A</v>
      </c>
      <c r="F268" t="str">
        <f t="shared" si="9"/>
        <v>Reject</v>
      </c>
    </row>
    <row r="269" spans="1:6" x14ac:dyDescent="0.25">
      <c r="A269" t="str">
        <f>SCORING_ENGINE!A269</f>
        <v>APP268</v>
      </c>
      <c r="B269" t="str">
        <f>SCORING_ENGINE!H269</f>
        <v>ELIGIBLE</v>
      </c>
      <c r="C269">
        <f>SCORING_ENGINE!S269</f>
        <v>84</v>
      </c>
      <c r="D269" t="str" cm="1">
        <f t="array" ref="D269">CLASSIFY_CREDIT(B269,C269)</f>
        <v>Approve</v>
      </c>
      <c r="E269" t="str">
        <f t="shared" si="8"/>
        <v>High</v>
      </c>
      <c r="F269" t="str">
        <f t="shared" si="9"/>
        <v>Approve</v>
      </c>
    </row>
    <row r="270" spans="1:6" x14ac:dyDescent="0.25">
      <c r="A270" t="str">
        <f>SCORING_ENGINE!A270</f>
        <v>APP269</v>
      </c>
      <c r="B270" t="str">
        <f>SCORING_ENGINE!H270</f>
        <v>INELIGIBLE</v>
      </c>
      <c r="C270">
        <f>SCORING_ENGINE!S270</f>
        <v>65</v>
      </c>
      <c r="D270" t="str" cm="1">
        <f t="array" ref="D270">CLASSIFY_CREDIT(B270,C270)</f>
        <v>Reject</v>
      </c>
      <c r="E270" t="str">
        <f t="shared" si="8"/>
        <v>N/A</v>
      </c>
      <c r="F270" t="str">
        <f t="shared" si="9"/>
        <v>Reject</v>
      </c>
    </row>
    <row r="271" spans="1:6" x14ac:dyDescent="0.25">
      <c r="A271" t="str">
        <f>SCORING_ENGINE!A271</f>
        <v>APP270</v>
      </c>
      <c r="B271" t="str">
        <f>SCORING_ENGINE!H271</f>
        <v>INELIGIBLE</v>
      </c>
      <c r="C271">
        <f>SCORING_ENGINE!S271</f>
        <v>64</v>
      </c>
      <c r="D271" t="str" cm="1">
        <f t="array" ref="D271">CLASSIFY_CREDIT(B271,C271)</f>
        <v>Reject</v>
      </c>
      <c r="E271" t="str">
        <f t="shared" si="8"/>
        <v>N/A</v>
      </c>
      <c r="F271" t="str">
        <f t="shared" si="9"/>
        <v>Reject</v>
      </c>
    </row>
    <row r="272" spans="1:6" x14ac:dyDescent="0.25">
      <c r="A272" t="str">
        <f>SCORING_ENGINE!A272</f>
        <v>APP271</v>
      </c>
      <c r="B272" t="str">
        <f>SCORING_ENGINE!H272</f>
        <v>INELIGIBLE</v>
      </c>
      <c r="C272">
        <f>SCORING_ENGINE!S272</f>
        <v>78</v>
      </c>
      <c r="D272" t="str" cm="1">
        <f t="array" ref="D272">CLASSIFY_CREDIT(B272,C272)</f>
        <v>Reject</v>
      </c>
      <c r="E272" t="str">
        <f t="shared" si="8"/>
        <v>N/A</v>
      </c>
      <c r="F272" t="str">
        <f t="shared" si="9"/>
        <v>Reject</v>
      </c>
    </row>
    <row r="273" spans="1:6" x14ac:dyDescent="0.25">
      <c r="A273" t="str">
        <f>SCORING_ENGINE!A273</f>
        <v>APP272</v>
      </c>
      <c r="B273" t="str">
        <f>SCORING_ENGINE!H273</f>
        <v>INELIGIBLE</v>
      </c>
      <c r="C273">
        <f>SCORING_ENGINE!S273</f>
        <v>64</v>
      </c>
      <c r="D273" t="str" cm="1">
        <f t="array" ref="D273">CLASSIFY_CREDIT(B273,C273)</f>
        <v>Reject</v>
      </c>
      <c r="E273" t="str">
        <f t="shared" si="8"/>
        <v>N/A</v>
      </c>
      <c r="F273" t="str">
        <f t="shared" si="9"/>
        <v>Reject</v>
      </c>
    </row>
    <row r="274" spans="1:6" x14ac:dyDescent="0.25">
      <c r="A274" t="str">
        <f>SCORING_ENGINE!A274</f>
        <v>APP273</v>
      </c>
      <c r="B274" t="str">
        <f>SCORING_ENGINE!H274</f>
        <v>ELIGIBLE</v>
      </c>
      <c r="C274">
        <f>SCORING_ENGINE!S274</f>
        <v>86</v>
      </c>
      <c r="D274" t="str" cm="1">
        <f t="array" ref="D274">CLASSIFY_CREDIT(B274,C274)</f>
        <v>Approve</v>
      </c>
      <c r="E274" t="str">
        <f t="shared" si="8"/>
        <v>High</v>
      </c>
      <c r="F274" t="str">
        <f t="shared" si="9"/>
        <v>Approve</v>
      </c>
    </row>
    <row r="275" spans="1:6" x14ac:dyDescent="0.25">
      <c r="A275" t="str">
        <f>SCORING_ENGINE!A275</f>
        <v>APP274</v>
      </c>
      <c r="B275" t="str">
        <f>SCORING_ENGINE!H275</f>
        <v>INELIGIBLE</v>
      </c>
      <c r="C275">
        <f>SCORING_ENGINE!S275</f>
        <v>58</v>
      </c>
      <c r="D275" t="str" cm="1">
        <f t="array" ref="D275">CLASSIFY_CREDIT(B275,C275)</f>
        <v>Reject</v>
      </c>
      <c r="E275" t="str">
        <f t="shared" si="8"/>
        <v>N/A</v>
      </c>
      <c r="F275" t="str">
        <f t="shared" si="9"/>
        <v>Reject</v>
      </c>
    </row>
    <row r="276" spans="1:6" x14ac:dyDescent="0.25">
      <c r="A276" t="str">
        <f>SCORING_ENGINE!A276</f>
        <v>APP275</v>
      </c>
      <c r="B276" t="str">
        <f>SCORING_ENGINE!H276</f>
        <v>INELIGIBLE</v>
      </c>
      <c r="C276">
        <f>SCORING_ENGINE!S276</f>
        <v>50</v>
      </c>
      <c r="D276" t="str" cm="1">
        <f t="array" ref="D276">CLASSIFY_CREDIT(B276,C276)</f>
        <v>Reject</v>
      </c>
      <c r="E276" t="str">
        <f t="shared" si="8"/>
        <v>N/A</v>
      </c>
      <c r="F276" t="str">
        <f t="shared" si="9"/>
        <v>Reject</v>
      </c>
    </row>
    <row r="277" spans="1:6" x14ac:dyDescent="0.25">
      <c r="A277" t="str">
        <f>SCORING_ENGINE!A277</f>
        <v>APP276</v>
      </c>
      <c r="B277" t="str">
        <f>SCORING_ENGINE!H277</f>
        <v>ELIGIBLE</v>
      </c>
      <c r="C277">
        <f>SCORING_ENGINE!S277</f>
        <v>85</v>
      </c>
      <c r="D277" t="str" cm="1">
        <f t="array" ref="D277">CLASSIFY_CREDIT(B277,C277)</f>
        <v>Approve</v>
      </c>
      <c r="E277" t="str">
        <f t="shared" si="8"/>
        <v>High</v>
      </c>
      <c r="F277" t="str">
        <f t="shared" si="9"/>
        <v>Approve</v>
      </c>
    </row>
    <row r="278" spans="1:6" x14ac:dyDescent="0.25">
      <c r="A278" t="str">
        <f>SCORING_ENGINE!A278</f>
        <v>APP277</v>
      </c>
      <c r="B278" t="str">
        <f>SCORING_ENGINE!H278</f>
        <v>INELIGIBLE</v>
      </c>
      <c r="C278">
        <f>SCORING_ENGINE!S278</f>
        <v>58</v>
      </c>
      <c r="D278" t="str" cm="1">
        <f t="array" ref="D278">CLASSIFY_CREDIT(B278,C278)</f>
        <v>Reject</v>
      </c>
      <c r="E278" t="str">
        <f t="shared" si="8"/>
        <v>N/A</v>
      </c>
      <c r="F278" t="str">
        <f t="shared" si="9"/>
        <v>Reject</v>
      </c>
    </row>
    <row r="279" spans="1:6" x14ac:dyDescent="0.25">
      <c r="A279" t="str">
        <f>SCORING_ENGINE!A279</f>
        <v>APP278</v>
      </c>
      <c r="B279" t="str">
        <f>SCORING_ENGINE!H279</f>
        <v>INELIGIBLE</v>
      </c>
      <c r="C279">
        <f>SCORING_ENGINE!S279</f>
        <v>71</v>
      </c>
      <c r="D279" t="str" cm="1">
        <f t="array" ref="D279">CLASSIFY_CREDIT(B279,C279)</f>
        <v>Reject</v>
      </c>
      <c r="E279" t="str">
        <f t="shared" si="8"/>
        <v>N/A</v>
      </c>
      <c r="F279" t="str">
        <f t="shared" si="9"/>
        <v>Reject</v>
      </c>
    </row>
    <row r="280" spans="1:6" x14ac:dyDescent="0.25">
      <c r="A280" t="str">
        <f>SCORING_ENGINE!A280</f>
        <v>APP279</v>
      </c>
      <c r="B280" t="str">
        <f>SCORING_ENGINE!H280</f>
        <v>ELIGIBLE</v>
      </c>
      <c r="C280">
        <f>SCORING_ENGINE!S280</f>
        <v>84</v>
      </c>
      <c r="D280" t="str" cm="1">
        <f t="array" ref="D280">CLASSIFY_CREDIT(B280,C280)</f>
        <v>Approve</v>
      </c>
      <c r="E280" t="str">
        <f t="shared" si="8"/>
        <v>High</v>
      </c>
      <c r="F280" t="str">
        <f t="shared" si="9"/>
        <v>Approve</v>
      </c>
    </row>
    <row r="281" spans="1:6" x14ac:dyDescent="0.25">
      <c r="A281" t="str">
        <f>SCORING_ENGINE!A281</f>
        <v>APP280</v>
      </c>
      <c r="B281" t="str">
        <f>SCORING_ENGINE!H281</f>
        <v>ELIGIBLE</v>
      </c>
      <c r="C281">
        <f>SCORING_ENGINE!S281</f>
        <v>78</v>
      </c>
      <c r="D281" t="str" cm="1">
        <f t="array" ref="D281">CLASSIFY_CREDIT(B281,C281)</f>
        <v>Approve</v>
      </c>
      <c r="E281" t="str">
        <f t="shared" si="8"/>
        <v>High</v>
      </c>
      <c r="F281" t="str">
        <f t="shared" si="9"/>
        <v>Approve</v>
      </c>
    </row>
    <row r="282" spans="1:6" x14ac:dyDescent="0.25">
      <c r="A282" t="str">
        <f>SCORING_ENGINE!A282</f>
        <v>APP281</v>
      </c>
      <c r="B282" t="str">
        <f>SCORING_ENGINE!H282</f>
        <v>INELIGIBLE</v>
      </c>
      <c r="C282">
        <f>SCORING_ENGINE!S282</f>
        <v>56</v>
      </c>
      <c r="D282" t="str" cm="1">
        <f t="array" ref="D282">CLASSIFY_CREDIT(B282,C282)</f>
        <v>Reject</v>
      </c>
      <c r="E282" t="str">
        <f t="shared" si="8"/>
        <v>N/A</v>
      </c>
      <c r="F282" t="str">
        <f t="shared" si="9"/>
        <v>Reject</v>
      </c>
    </row>
    <row r="283" spans="1:6" x14ac:dyDescent="0.25">
      <c r="A283" t="str">
        <f>SCORING_ENGINE!A283</f>
        <v>APP282</v>
      </c>
      <c r="B283" t="str">
        <f>SCORING_ENGINE!H283</f>
        <v>INELIGIBLE</v>
      </c>
      <c r="C283">
        <f>SCORING_ENGINE!S283</f>
        <v>51</v>
      </c>
      <c r="D283" t="str" cm="1">
        <f t="array" ref="D283">CLASSIFY_CREDIT(B283,C283)</f>
        <v>Reject</v>
      </c>
      <c r="E283" t="str">
        <f t="shared" si="8"/>
        <v>N/A</v>
      </c>
      <c r="F283" t="str">
        <f t="shared" si="9"/>
        <v>Reject</v>
      </c>
    </row>
    <row r="284" spans="1:6" x14ac:dyDescent="0.25">
      <c r="A284" t="str">
        <f>SCORING_ENGINE!A284</f>
        <v>APP283</v>
      </c>
      <c r="B284" t="str">
        <f>SCORING_ENGINE!H284</f>
        <v>INELIGIBLE</v>
      </c>
      <c r="C284">
        <f>SCORING_ENGINE!S284</f>
        <v>70</v>
      </c>
      <c r="D284" t="str" cm="1">
        <f t="array" ref="D284">CLASSIFY_CREDIT(B284,C284)</f>
        <v>Reject</v>
      </c>
      <c r="E284" t="str">
        <f t="shared" si="8"/>
        <v>N/A</v>
      </c>
      <c r="F284" t="str">
        <f t="shared" si="9"/>
        <v>Reject</v>
      </c>
    </row>
    <row r="285" spans="1:6" x14ac:dyDescent="0.25">
      <c r="A285" t="str">
        <f>SCORING_ENGINE!A285</f>
        <v>APP284</v>
      </c>
      <c r="B285" t="str">
        <f>SCORING_ENGINE!H285</f>
        <v>INELIGIBLE</v>
      </c>
      <c r="C285">
        <f>SCORING_ENGINE!S285</f>
        <v>56</v>
      </c>
      <c r="D285" t="str" cm="1">
        <f t="array" ref="D285">CLASSIFY_CREDIT(B285,C285)</f>
        <v>Reject</v>
      </c>
      <c r="E285" t="str">
        <f t="shared" si="8"/>
        <v>N/A</v>
      </c>
      <c r="F285" t="str">
        <f t="shared" si="9"/>
        <v>Reject</v>
      </c>
    </row>
    <row r="286" spans="1:6" x14ac:dyDescent="0.25">
      <c r="A286" t="str">
        <f>SCORING_ENGINE!A286</f>
        <v>APP285</v>
      </c>
      <c r="B286" t="str">
        <f>SCORING_ENGINE!H286</f>
        <v>INELIGIBLE</v>
      </c>
      <c r="C286">
        <f>SCORING_ENGINE!S286</f>
        <v>66</v>
      </c>
      <c r="D286" t="str" cm="1">
        <f t="array" ref="D286">CLASSIFY_CREDIT(B286,C286)</f>
        <v>Reject</v>
      </c>
      <c r="E286" t="str">
        <f t="shared" si="8"/>
        <v>N/A</v>
      </c>
      <c r="F286" t="str">
        <f t="shared" si="9"/>
        <v>Reject</v>
      </c>
    </row>
    <row r="287" spans="1:6" x14ac:dyDescent="0.25">
      <c r="A287" t="str">
        <f>SCORING_ENGINE!A287</f>
        <v>APP286</v>
      </c>
      <c r="B287" t="str">
        <f>SCORING_ENGINE!H287</f>
        <v>ELIGIBLE</v>
      </c>
      <c r="C287">
        <f>SCORING_ENGINE!S287</f>
        <v>93</v>
      </c>
      <c r="D287" t="str" cm="1">
        <f t="array" ref="D287">CLASSIFY_CREDIT(B287,C287)</f>
        <v>Approve</v>
      </c>
      <c r="E287" t="str">
        <f t="shared" si="8"/>
        <v>High</v>
      </c>
      <c r="F287" t="str">
        <f t="shared" si="9"/>
        <v>Approve</v>
      </c>
    </row>
    <row r="288" spans="1:6" x14ac:dyDescent="0.25">
      <c r="A288" t="str">
        <f>SCORING_ENGINE!A288</f>
        <v>APP287</v>
      </c>
      <c r="B288" t="str">
        <f>SCORING_ENGINE!H288</f>
        <v>ELIGIBLE</v>
      </c>
      <c r="C288">
        <f>SCORING_ENGINE!S288</f>
        <v>92</v>
      </c>
      <c r="D288" t="str" cm="1">
        <f t="array" ref="D288">CLASSIFY_CREDIT(B288,C288)</f>
        <v>Approve</v>
      </c>
      <c r="E288" t="str">
        <f t="shared" si="8"/>
        <v>High</v>
      </c>
      <c r="F288" t="str">
        <f t="shared" si="9"/>
        <v>Approve</v>
      </c>
    </row>
    <row r="289" spans="1:6" x14ac:dyDescent="0.25">
      <c r="A289" t="str">
        <f>SCORING_ENGINE!A289</f>
        <v>APP288</v>
      </c>
      <c r="B289" t="str">
        <f>SCORING_ENGINE!H289</f>
        <v>INELIGIBLE</v>
      </c>
      <c r="C289">
        <f>SCORING_ENGINE!S289</f>
        <v>64</v>
      </c>
      <c r="D289" t="str" cm="1">
        <f t="array" ref="D289">CLASSIFY_CREDIT(B289,C289)</f>
        <v>Reject</v>
      </c>
      <c r="E289" t="str">
        <f t="shared" si="8"/>
        <v>N/A</v>
      </c>
      <c r="F289" t="str">
        <f t="shared" si="9"/>
        <v>Reject</v>
      </c>
    </row>
    <row r="290" spans="1:6" x14ac:dyDescent="0.25">
      <c r="A290" t="str">
        <f>SCORING_ENGINE!A290</f>
        <v>APP289</v>
      </c>
      <c r="B290" t="str">
        <f>SCORING_ENGINE!H290</f>
        <v>INELIGIBLE</v>
      </c>
      <c r="C290">
        <f>SCORING_ENGINE!S290</f>
        <v>28</v>
      </c>
      <c r="D290" t="str" cm="1">
        <f t="array" ref="D290">CLASSIFY_CREDIT(B290,C290)</f>
        <v>Reject</v>
      </c>
      <c r="E290" t="str">
        <f t="shared" si="8"/>
        <v>N/A</v>
      </c>
      <c r="F290" t="str">
        <f t="shared" si="9"/>
        <v>Reject</v>
      </c>
    </row>
    <row r="291" spans="1:6" x14ac:dyDescent="0.25">
      <c r="A291" t="str">
        <f>SCORING_ENGINE!A291</f>
        <v>APP290</v>
      </c>
      <c r="B291" t="str">
        <f>SCORING_ENGINE!H291</f>
        <v>INELIGIBLE</v>
      </c>
      <c r="C291">
        <f>SCORING_ENGINE!S291</f>
        <v>29</v>
      </c>
      <c r="D291" t="str" cm="1">
        <f t="array" ref="D291">CLASSIFY_CREDIT(B291,C291)</f>
        <v>Reject</v>
      </c>
      <c r="E291" t="str">
        <f t="shared" si="8"/>
        <v>N/A</v>
      </c>
      <c r="F291" t="str">
        <f t="shared" si="9"/>
        <v>Reject</v>
      </c>
    </row>
    <row r="292" spans="1:6" x14ac:dyDescent="0.25">
      <c r="A292" t="str">
        <f>SCORING_ENGINE!A292</f>
        <v>APP291</v>
      </c>
      <c r="B292" t="str">
        <f>SCORING_ENGINE!H292</f>
        <v>INELIGIBLE</v>
      </c>
      <c r="C292">
        <f>SCORING_ENGINE!S292</f>
        <v>51</v>
      </c>
      <c r="D292" t="str" cm="1">
        <f t="array" ref="D292">CLASSIFY_CREDIT(B292,C292)</f>
        <v>Reject</v>
      </c>
      <c r="E292" t="str">
        <f t="shared" si="8"/>
        <v>N/A</v>
      </c>
      <c r="F292" t="str">
        <f t="shared" si="9"/>
        <v>Reject</v>
      </c>
    </row>
    <row r="293" spans="1:6" x14ac:dyDescent="0.25">
      <c r="A293" t="str">
        <f>SCORING_ENGINE!A293</f>
        <v>APP292</v>
      </c>
      <c r="B293" t="str">
        <f>SCORING_ENGINE!H293</f>
        <v>INELIGIBLE</v>
      </c>
      <c r="C293">
        <f>SCORING_ENGINE!S293</f>
        <v>60</v>
      </c>
      <c r="D293" t="str" cm="1">
        <f t="array" ref="D293">CLASSIFY_CREDIT(B293,C293)</f>
        <v>Reject</v>
      </c>
      <c r="E293" t="str">
        <f t="shared" si="8"/>
        <v>N/A</v>
      </c>
      <c r="F293" t="str">
        <f t="shared" si="9"/>
        <v>Reject</v>
      </c>
    </row>
    <row r="294" spans="1:6" x14ac:dyDescent="0.25">
      <c r="A294" t="str">
        <f>SCORING_ENGINE!A294</f>
        <v>APP293</v>
      </c>
      <c r="B294" t="str">
        <f>SCORING_ENGINE!H294</f>
        <v>INELIGIBLE</v>
      </c>
      <c r="C294">
        <f>SCORING_ENGINE!S294</f>
        <v>80</v>
      </c>
      <c r="D294" t="str" cm="1">
        <f t="array" ref="D294">CLASSIFY_CREDIT(B294,C294)</f>
        <v>Reject</v>
      </c>
      <c r="E294" t="str">
        <f t="shared" si="8"/>
        <v>N/A</v>
      </c>
      <c r="F294" t="str">
        <f t="shared" si="9"/>
        <v>Reject</v>
      </c>
    </row>
    <row r="295" spans="1:6" x14ac:dyDescent="0.25">
      <c r="A295" t="str">
        <f>SCORING_ENGINE!A295</f>
        <v>APP294</v>
      </c>
      <c r="B295" t="str">
        <f>SCORING_ENGINE!H295</f>
        <v>INELIGIBLE</v>
      </c>
      <c r="C295">
        <f>SCORING_ENGINE!S295</f>
        <v>70</v>
      </c>
      <c r="D295" t="str" cm="1">
        <f t="array" ref="D295">CLASSIFY_CREDIT(B295,C295)</f>
        <v>Reject</v>
      </c>
      <c r="E295" t="str">
        <f t="shared" si="8"/>
        <v>N/A</v>
      </c>
      <c r="F295" t="str">
        <f t="shared" si="9"/>
        <v>Reject</v>
      </c>
    </row>
    <row r="296" spans="1:6" x14ac:dyDescent="0.25">
      <c r="A296" t="str">
        <f>SCORING_ENGINE!A296</f>
        <v>APP295</v>
      </c>
      <c r="B296" t="str">
        <f>SCORING_ENGINE!H296</f>
        <v>ELIGIBLE</v>
      </c>
      <c r="C296">
        <f>SCORING_ENGINE!S296</f>
        <v>90</v>
      </c>
      <c r="D296" t="str" cm="1">
        <f t="array" ref="D296">CLASSIFY_CREDIT(B296,C296)</f>
        <v>Approve</v>
      </c>
      <c r="E296" t="str">
        <f t="shared" si="8"/>
        <v>High</v>
      </c>
      <c r="F296" t="str">
        <f t="shared" si="9"/>
        <v>Approve</v>
      </c>
    </row>
    <row r="297" spans="1:6" x14ac:dyDescent="0.25">
      <c r="A297" t="str">
        <f>SCORING_ENGINE!A297</f>
        <v>APP296</v>
      </c>
      <c r="B297" t="str">
        <f>SCORING_ENGINE!H297</f>
        <v>ELIGIBLE</v>
      </c>
      <c r="C297">
        <f>SCORING_ENGINE!S297</f>
        <v>72</v>
      </c>
      <c r="D297" t="str" cm="1">
        <f t="array" ref="D297">CLASSIFY_CREDIT(B297,C297)</f>
        <v>Approve</v>
      </c>
      <c r="E297" t="str">
        <f t="shared" si="8"/>
        <v>High</v>
      </c>
      <c r="F297" t="str">
        <f t="shared" si="9"/>
        <v>Approve</v>
      </c>
    </row>
    <row r="298" spans="1:6" x14ac:dyDescent="0.25">
      <c r="A298" t="str">
        <f>SCORING_ENGINE!A298</f>
        <v>APP297</v>
      </c>
      <c r="B298" t="str">
        <f>SCORING_ENGINE!H298</f>
        <v>INELIGIBLE</v>
      </c>
      <c r="C298">
        <f>SCORING_ENGINE!S298</f>
        <v>48</v>
      </c>
      <c r="D298" t="str" cm="1">
        <f t="array" ref="D298">CLASSIFY_CREDIT(B298,C298)</f>
        <v>Reject</v>
      </c>
      <c r="E298" t="str">
        <f t="shared" si="8"/>
        <v>N/A</v>
      </c>
      <c r="F298" t="str">
        <f t="shared" si="9"/>
        <v>Reject</v>
      </c>
    </row>
    <row r="299" spans="1:6" x14ac:dyDescent="0.25">
      <c r="A299" t="str">
        <f>SCORING_ENGINE!A299</f>
        <v>APP298</v>
      </c>
      <c r="B299" t="str">
        <f>SCORING_ENGINE!H299</f>
        <v>INELIGIBLE</v>
      </c>
      <c r="C299">
        <f>SCORING_ENGINE!S299</f>
        <v>45</v>
      </c>
      <c r="D299" t="str" cm="1">
        <f t="array" ref="D299">CLASSIFY_CREDIT(B299,C299)</f>
        <v>Reject</v>
      </c>
      <c r="E299" t="str">
        <f t="shared" si="8"/>
        <v>N/A</v>
      </c>
      <c r="F299" t="str">
        <f t="shared" si="9"/>
        <v>Reject</v>
      </c>
    </row>
    <row r="300" spans="1:6" x14ac:dyDescent="0.25">
      <c r="A300" t="str">
        <f>SCORING_ENGINE!A300</f>
        <v>APP299</v>
      </c>
      <c r="B300" t="str">
        <f>SCORING_ENGINE!H300</f>
        <v>INELIGIBLE</v>
      </c>
      <c r="C300">
        <f>SCORING_ENGINE!S300</f>
        <v>24</v>
      </c>
      <c r="D300" t="str" cm="1">
        <f t="array" ref="D300">CLASSIFY_CREDIT(B300,C300)</f>
        <v>Reject</v>
      </c>
      <c r="E300" t="str">
        <f t="shared" si="8"/>
        <v>N/A</v>
      </c>
      <c r="F300" t="str">
        <f t="shared" si="9"/>
        <v>Reject</v>
      </c>
    </row>
    <row r="301" spans="1:6" x14ac:dyDescent="0.25">
      <c r="A301" t="str">
        <f>SCORING_ENGINE!A301</f>
        <v>APP300</v>
      </c>
      <c r="B301" t="str">
        <f>SCORING_ENGINE!H301</f>
        <v>ELIGIBLE</v>
      </c>
      <c r="C301">
        <f>SCORING_ENGINE!S301</f>
        <v>59</v>
      </c>
      <c r="D301" t="str" cm="1">
        <f t="array" ref="D301">CLASSIFY_CREDIT(B301,C301)</f>
        <v>Review</v>
      </c>
      <c r="E301" t="str">
        <f t="shared" si="8"/>
        <v>Medium</v>
      </c>
      <c r="F301" t="str">
        <f t="shared" si="9"/>
        <v>Review</v>
      </c>
    </row>
    <row r="302" spans="1:6" x14ac:dyDescent="0.25">
      <c r="A302" t="str">
        <f>SCORING_ENGINE!A302</f>
        <v>APP301</v>
      </c>
      <c r="B302" t="str">
        <f>SCORING_ENGINE!H302</f>
        <v>INELIGIBLE</v>
      </c>
      <c r="C302">
        <f>SCORING_ENGINE!S302</f>
        <v>47</v>
      </c>
      <c r="D302" t="str" cm="1">
        <f t="array" ref="D302">CLASSIFY_CREDIT(B302,C302)</f>
        <v>Reject</v>
      </c>
      <c r="E302" t="str">
        <f t="shared" si="8"/>
        <v>N/A</v>
      </c>
      <c r="F302" t="str">
        <f t="shared" si="9"/>
        <v>Reject</v>
      </c>
    </row>
    <row r="303" spans="1:6" x14ac:dyDescent="0.25">
      <c r="A303" t="str">
        <f>SCORING_ENGINE!A303</f>
        <v>APP302</v>
      </c>
      <c r="B303" t="str">
        <f>SCORING_ENGINE!H303</f>
        <v>INELIGIBLE</v>
      </c>
      <c r="C303">
        <f>SCORING_ENGINE!S303</f>
        <v>38</v>
      </c>
      <c r="D303" t="str" cm="1">
        <f t="array" ref="D303">CLASSIFY_CREDIT(B303,C303)</f>
        <v>Reject</v>
      </c>
      <c r="E303" t="str">
        <f t="shared" si="8"/>
        <v>N/A</v>
      </c>
      <c r="F303" t="str">
        <f t="shared" si="9"/>
        <v>Reject</v>
      </c>
    </row>
    <row r="304" spans="1:6" x14ac:dyDescent="0.25">
      <c r="A304" t="str">
        <f>SCORING_ENGINE!A304</f>
        <v>APP303</v>
      </c>
      <c r="B304" t="str">
        <f>SCORING_ENGINE!H304</f>
        <v>INELIGIBLE</v>
      </c>
      <c r="C304">
        <f>SCORING_ENGINE!S304</f>
        <v>50</v>
      </c>
      <c r="D304" t="str" cm="1">
        <f t="array" ref="D304">CLASSIFY_CREDIT(B304,C304)</f>
        <v>Reject</v>
      </c>
      <c r="E304" t="str">
        <f t="shared" si="8"/>
        <v>N/A</v>
      </c>
      <c r="F304" t="str">
        <f t="shared" si="9"/>
        <v>Reject</v>
      </c>
    </row>
    <row r="305" spans="1:6" x14ac:dyDescent="0.25">
      <c r="A305" t="str">
        <f>SCORING_ENGINE!A305</f>
        <v>APP304</v>
      </c>
      <c r="B305" t="str">
        <f>SCORING_ENGINE!H305</f>
        <v>INELIGIBLE</v>
      </c>
      <c r="C305">
        <f>SCORING_ENGINE!S305</f>
        <v>66</v>
      </c>
      <c r="D305" t="str" cm="1">
        <f t="array" ref="D305">CLASSIFY_CREDIT(B305,C305)</f>
        <v>Reject</v>
      </c>
      <c r="E305" t="str">
        <f t="shared" si="8"/>
        <v>N/A</v>
      </c>
      <c r="F305" t="str">
        <f t="shared" si="9"/>
        <v>Reject</v>
      </c>
    </row>
    <row r="306" spans="1:6" x14ac:dyDescent="0.25">
      <c r="A306" t="str">
        <f>SCORING_ENGINE!A306</f>
        <v>APP305</v>
      </c>
      <c r="B306" t="str">
        <f>SCORING_ENGINE!H306</f>
        <v>INELIGIBLE</v>
      </c>
      <c r="C306">
        <f>SCORING_ENGINE!S306</f>
        <v>62</v>
      </c>
      <c r="D306" t="str" cm="1">
        <f t="array" ref="D306">CLASSIFY_CREDIT(B306,C306)</f>
        <v>Reject</v>
      </c>
      <c r="E306" t="str">
        <f t="shared" si="8"/>
        <v>N/A</v>
      </c>
      <c r="F306" t="str">
        <f t="shared" si="9"/>
        <v>Reject</v>
      </c>
    </row>
    <row r="307" spans="1:6" x14ac:dyDescent="0.25">
      <c r="A307" t="str">
        <f>SCORING_ENGINE!A307</f>
        <v>APP306</v>
      </c>
      <c r="B307" t="str">
        <f>SCORING_ENGINE!H307</f>
        <v>ELIGIBLE</v>
      </c>
      <c r="C307">
        <f>SCORING_ENGINE!S307</f>
        <v>74</v>
      </c>
      <c r="D307" t="str" cm="1">
        <f t="array" ref="D307">CLASSIFY_CREDIT(B307,C307)</f>
        <v>Approve</v>
      </c>
      <c r="E307" t="str">
        <f t="shared" si="8"/>
        <v>High</v>
      </c>
      <c r="F307" t="str">
        <f t="shared" si="9"/>
        <v>Approve</v>
      </c>
    </row>
    <row r="308" spans="1:6" x14ac:dyDescent="0.25">
      <c r="A308" t="str">
        <f>SCORING_ENGINE!A308</f>
        <v>APP307</v>
      </c>
      <c r="B308" t="str">
        <f>SCORING_ENGINE!H308</f>
        <v>INELIGIBLE</v>
      </c>
      <c r="C308">
        <f>SCORING_ENGINE!S308</f>
        <v>68</v>
      </c>
      <c r="D308" t="str" cm="1">
        <f t="array" ref="D308">CLASSIFY_CREDIT(B308,C308)</f>
        <v>Reject</v>
      </c>
      <c r="E308" t="str">
        <f t="shared" si="8"/>
        <v>N/A</v>
      </c>
      <c r="F308" t="str">
        <f t="shared" si="9"/>
        <v>Reject</v>
      </c>
    </row>
    <row r="309" spans="1:6" x14ac:dyDescent="0.25">
      <c r="A309" t="str">
        <f>SCORING_ENGINE!A309</f>
        <v>APP308</v>
      </c>
      <c r="B309" t="str">
        <f>SCORING_ENGINE!H309</f>
        <v>INELIGIBLE</v>
      </c>
      <c r="C309">
        <f>SCORING_ENGINE!S309</f>
        <v>62</v>
      </c>
      <c r="D309" t="str" cm="1">
        <f t="array" ref="D309">CLASSIFY_CREDIT(B309,C309)</f>
        <v>Reject</v>
      </c>
      <c r="E309" t="str">
        <f t="shared" si="8"/>
        <v>N/A</v>
      </c>
      <c r="F309" t="str">
        <f t="shared" si="9"/>
        <v>Reject</v>
      </c>
    </row>
    <row r="310" spans="1:6" x14ac:dyDescent="0.25">
      <c r="A310" t="str">
        <f>SCORING_ENGINE!A310</f>
        <v>APP309</v>
      </c>
      <c r="B310" t="str">
        <f>SCORING_ENGINE!H310</f>
        <v>INELIGIBLE</v>
      </c>
      <c r="C310">
        <f>SCORING_ENGINE!S310</f>
        <v>82</v>
      </c>
      <c r="D310" t="str" cm="1">
        <f t="array" ref="D310">CLASSIFY_CREDIT(B310,C310)</f>
        <v>Reject</v>
      </c>
      <c r="E310" t="str">
        <f t="shared" si="8"/>
        <v>N/A</v>
      </c>
      <c r="F310" t="str">
        <f t="shared" si="9"/>
        <v>Reject</v>
      </c>
    </row>
    <row r="311" spans="1:6" x14ac:dyDescent="0.25">
      <c r="A311" t="str">
        <f>SCORING_ENGINE!A311</f>
        <v>APP310</v>
      </c>
      <c r="B311" t="str">
        <f>SCORING_ENGINE!H311</f>
        <v>INELIGIBLE</v>
      </c>
      <c r="C311">
        <f>SCORING_ENGINE!S311</f>
        <v>72</v>
      </c>
      <c r="D311" t="str" cm="1">
        <f t="array" ref="D311">CLASSIFY_CREDIT(B311,C311)</f>
        <v>Reject</v>
      </c>
      <c r="E311" t="str">
        <f t="shared" si="8"/>
        <v>N/A</v>
      </c>
      <c r="F311" t="str">
        <f t="shared" si="9"/>
        <v>Reject</v>
      </c>
    </row>
    <row r="312" spans="1:6" x14ac:dyDescent="0.25">
      <c r="A312" t="str">
        <f>SCORING_ENGINE!A312</f>
        <v>APP311</v>
      </c>
      <c r="B312" t="str">
        <f>SCORING_ENGINE!H312</f>
        <v>INELIGIBLE</v>
      </c>
      <c r="C312">
        <f>SCORING_ENGINE!S312</f>
        <v>65</v>
      </c>
      <c r="D312" t="str" cm="1">
        <f t="array" ref="D312">CLASSIFY_CREDIT(B312,C312)</f>
        <v>Reject</v>
      </c>
      <c r="E312" t="str">
        <f t="shared" si="8"/>
        <v>N/A</v>
      </c>
      <c r="F312" t="str">
        <f t="shared" si="9"/>
        <v>Reject</v>
      </c>
    </row>
    <row r="313" spans="1:6" x14ac:dyDescent="0.25">
      <c r="A313" t="str">
        <f>SCORING_ENGINE!A313</f>
        <v>APP312</v>
      </c>
      <c r="B313" t="str">
        <f>SCORING_ENGINE!H313</f>
        <v>INELIGIBLE</v>
      </c>
      <c r="C313">
        <f>SCORING_ENGINE!S313</f>
        <v>55</v>
      </c>
      <c r="D313" t="str" cm="1">
        <f t="array" ref="D313">CLASSIFY_CREDIT(B313,C313)</f>
        <v>Reject</v>
      </c>
      <c r="E313" t="str">
        <f t="shared" si="8"/>
        <v>N/A</v>
      </c>
      <c r="F313" t="str">
        <f t="shared" si="9"/>
        <v>Reject</v>
      </c>
    </row>
    <row r="314" spans="1:6" x14ac:dyDescent="0.25">
      <c r="A314" t="str">
        <f>SCORING_ENGINE!A314</f>
        <v>APP313</v>
      </c>
      <c r="B314" t="str">
        <f>SCORING_ENGINE!H314</f>
        <v>INELIGIBLE</v>
      </c>
      <c r="C314">
        <f>SCORING_ENGINE!S314</f>
        <v>50</v>
      </c>
      <c r="D314" t="str" cm="1">
        <f t="array" ref="D314">CLASSIFY_CREDIT(B314,C314)</f>
        <v>Reject</v>
      </c>
      <c r="E314" t="str">
        <f t="shared" si="8"/>
        <v>N/A</v>
      </c>
      <c r="F314" t="str">
        <f t="shared" si="9"/>
        <v>Reject</v>
      </c>
    </row>
    <row r="315" spans="1:6" x14ac:dyDescent="0.25">
      <c r="A315" t="str">
        <f>SCORING_ENGINE!A315</f>
        <v>APP314</v>
      </c>
      <c r="B315" t="str">
        <f>SCORING_ENGINE!H315</f>
        <v>INELIGIBLE</v>
      </c>
      <c r="C315">
        <f>SCORING_ENGINE!S315</f>
        <v>48</v>
      </c>
      <c r="D315" t="str" cm="1">
        <f t="array" ref="D315">CLASSIFY_CREDIT(B315,C315)</f>
        <v>Reject</v>
      </c>
      <c r="E315" t="str">
        <f t="shared" si="8"/>
        <v>N/A</v>
      </c>
      <c r="F315" t="str">
        <f t="shared" si="9"/>
        <v>Reject</v>
      </c>
    </row>
    <row r="316" spans="1:6" x14ac:dyDescent="0.25">
      <c r="A316" t="str">
        <f>SCORING_ENGINE!A316</f>
        <v>APP315</v>
      </c>
      <c r="B316" t="str">
        <f>SCORING_ENGINE!H316</f>
        <v>INELIGIBLE</v>
      </c>
      <c r="C316">
        <f>SCORING_ENGINE!S316</f>
        <v>47</v>
      </c>
      <c r="D316" t="str" cm="1">
        <f t="array" ref="D316">CLASSIFY_CREDIT(B316,C316)</f>
        <v>Reject</v>
      </c>
      <c r="E316" t="str">
        <f t="shared" si="8"/>
        <v>N/A</v>
      </c>
      <c r="F316" t="str">
        <f t="shared" si="9"/>
        <v>Reject</v>
      </c>
    </row>
    <row r="317" spans="1:6" x14ac:dyDescent="0.25">
      <c r="A317" t="str">
        <f>SCORING_ENGINE!A317</f>
        <v>APP316</v>
      </c>
      <c r="B317" t="str">
        <f>SCORING_ENGINE!H317</f>
        <v>INELIGIBLE</v>
      </c>
      <c r="C317">
        <f>SCORING_ENGINE!S317</f>
        <v>58</v>
      </c>
      <c r="D317" t="str" cm="1">
        <f t="array" ref="D317">CLASSIFY_CREDIT(B317,C317)</f>
        <v>Reject</v>
      </c>
      <c r="E317" t="str">
        <f t="shared" si="8"/>
        <v>N/A</v>
      </c>
      <c r="F317" t="str">
        <f t="shared" si="9"/>
        <v>Reject</v>
      </c>
    </row>
    <row r="318" spans="1:6" x14ac:dyDescent="0.25">
      <c r="A318" t="str">
        <f>SCORING_ENGINE!A318</f>
        <v>APP317</v>
      </c>
      <c r="B318" t="str">
        <f>SCORING_ENGINE!H318</f>
        <v>INELIGIBLE</v>
      </c>
      <c r="C318">
        <f>SCORING_ENGINE!S318</f>
        <v>73</v>
      </c>
      <c r="D318" t="str" cm="1">
        <f t="array" ref="D318">CLASSIFY_CREDIT(B318,C318)</f>
        <v>Reject</v>
      </c>
      <c r="E318" t="str">
        <f t="shared" si="8"/>
        <v>N/A</v>
      </c>
      <c r="F318" t="str">
        <f t="shared" si="9"/>
        <v>Reject</v>
      </c>
    </row>
    <row r="319" spans="1:6" x14ac:dyDescent="0.25">
      <c r="A319" t="str">
        <f>SCORING_ENGINE!A319</f>
        <v>APP318</v>
      </c>
      <c r="B319" t="str">
        <f>SCORING_ENGINE!H319</f>
        <v>ELIGIBLE</v>
      </c>
      <c r="C319">
        <f>SCORING_ENGINE!S319</f>
        <v>86</v>
      </c>
      <c r="D319" t="str" cm="1">
        <f t="array" ref="D319">CLASSIFY_CREDIT(B319,C319)</f>
        <v>Approve</v>
      </c>
      <c r="E319" t="str">
        <f t="shared" si="8"/>
        <v>High</v>
      </c>
      <c r="F319" t="str">
        <f t="shared" si="9"/>
        <v>Approve</v>
      </c>
    </row>
    <row r="320" spans="1:6" x14ac:dyDescent="0.25">
      <c r="A320" t="str">
        <f>SCORING_ENGINE!A320</f>
        <v>APP319</v>
      </c>
      <c r="B320" t="str">
        <f>SCORING_ENGINE!H320</f>
        <v>INELIGIBLE</v>
      </c>
      <c r="C320">
        <f>SCORING_ENGINE!S320</f>
        <v>21</v>
      </c>
      <c r="D320" t="str" cm="1">
        <f t="array" ref="D320">CLASSIFY_CREDIT(B320,C320)</f>
        <v>Reject</v>
      </c>
      <c r="E320" t="str">
        <f t="shared" si="8"/>
        <v>N/A</v>
      </c>
      <c r="F320" t="str">
        <f t="shared" si="9"/>
        <v>Reject</v>
      </c>
    </row>
    <row r="321" spans="1:6" x14ac:dyDescent="0.25">
      <c r="A321" t="str">
        <f>SCORING_ENGINE!A321</f>
        <v>APP320</v>
      </c>
      <c r="B321" t="str">
        <f>SCORING_ENGINE!H321</f>
        <v>ELIGIBLE</v>
      </c>
      <c r="C321">
        <f>SCORING_ENGINE!S321</f>
        <v>70</v>
      </c>
      <c r="D321" t="str" cm="1">
        <f t="array" ref="D321">CLASSIFY_CREDIT(B321,C321)</f>
        <v>Approve</v>
      </c>
      <c r="E321" t="str">
        <f t="shared" si="8"/>
        <v>High</v>
      </c>
      <c r="F321" t="str">
        <f t="shared" si="9"/>
        <v>Approve</v>
      </c>
    </row>
    <row r="322" spans="1:6" x14ac:dyDescent="0.25">
      <c r="A322" t="str">
        <f>SCORING_ENGINE!A322</f>
        <v>APP321</v>
      </c>
      <c r="B322" t="str">
        <f>SCORING_ENGINE!H322</f>
        <v>INELIGIBLE</v>
      </c>
      <c r="C322">
        <f>SCORING_ENGINE!S322</f>
        <v>68</v>
      </c>
      <c r="D322" t="str" cm="1">
        <f t="array" ref="D322">CLASSIFY_CREDIT(B322,C322)</f>
        <v>Reject</v>
      </c>
      <c r="E322" t="str">
        <f t="shared" si="8"/>
        <v>N/A</v>
      </c>
      <c r="F322" t="str">
        <f t="shared" si="9"/>
        <v>Reject</v>
      </c>
    </row>
    <row r="323" spans="1:6" x14ac:dyDescent="0.25">
      <c r="A323" t="str">
        <f>SCORING_ENGINE!A323</f>
        <v>APP322</v>
      </c>
      <c r="B323" t="str">
        <f>SCORING_ENGINE!H323</f>
        <v>INELIGIBLE</v>
      </c>
      <c r="C323">
        <f>SCORING_ENGINE!S323</f>
        <v>66</v>
      </c>
      <c r="D323" t="str" cm="1">
        <f t="array" ref="D323">CLASSIFY_CREDIT(B323,C323)</f>
        <v>Reject</v>
      </c>
      <c r="E323" t="str">
        <f t="shared" ref="E323:E386" si="10">IF(B323="INELIGIBLE","N/A",IF(C323&gt;=70,"High",IF(C323&gt;=50,"Medium","Low")))</f>
        <v>N/A</v>
      </c>
      <c r="F323" t="str">
        <f t="shared" ref="F323:F386" si="11">D323</f>
        <v>Reject</v>
      </c>
    </row>
    <row r="324" spans="1:6" x14ac:dyDescent="0.25">
      <c r="A324" t="str">
        <f>SCORING_ENGINE!A324</f>
        <v>APP323</v>
      </c>
      <c r="B324" t="str">
        <f>SCORING_ENGINE!H324</f>
        <v>ELIGIBLE</v>
      </c>
      <c r="C324">
        <f>SCORING_ENGINE!S324</f>
        <v>86</v>
      </c>
      <c r="D324" t="str" cm="1">
        <f t="array" ref="D324">CLASSIFY_CREDIT(B324,C324)</f>
        <v>Approve</v>
      </c>
      <c r="E324" t="str">
        <f t="shared" si="10"/>
        <v>High</v>
      </c>
      <c r="F324" t="str">
        <f t="shared" si="11"/>
        <v>Approve</v>
      </c>
    </row>
    <row r="325" spans="1:6" x14ac:dyDescent="0.25">
      <c r="A325" t="str">
        <f>SCORING_ENGINE!A325</f>
        <v>APP324</v>
      </c>
      <c r="B325" t="str">
        <f>SCORING_ENGINE!H325</f>
        <v>INELIGIBLE</v>
      </c>
      <c r="C325">
        <f>SCORING_ENGINE!S325</f>
        <v>69</v>
      </c>
      <c r="D325" t="str" cm="1">
        <f t="array" ref="D325">CLASSIFY_CREDIT(B325,C325)</f>
        <v>Reject</v>
      </c>
      <c r="E325" t="str">
        <f t="shared" si="10"/>
        <v>N/A</v>
      </c>
      <c r="F325" t="str">
        <f t="shared" si="11"/>
        <v>Reject</v>
      </c>
    </row>
    <row r="326" spans="1:6" x14ac:dyDescent="0.25">
      <c r="A326" t="str">
        <f>SCORING_ENGINE!A326</f>
        <v>APP325</v>
      </c>
      <c r="B326" t="str">
        <f>SCORING_ENGINE!H326</f>
        <v>INELIGIBLE</v>
      </c>
      <c r="C326">
        <f>SCORING_ENGINE!S326</f>
        <v>61</v>
      </c>
      <c r="D326" t="str" cm="1">
        <f t="array" ref="D326">CLASSIFY_CREDIT(B326,C326)</f>
        <v>Reject</v>
      </c>
      <c r="E326" t="str">
        <f t="shared" si="10"/>
        <v>N/A</v>
      </c>
      <c r="F326" t="str">
        <f t="shared" si="11"/>
        <v>Reject</v>
      </c>
    </row>
    <row r="327" spans="1:6" x14ac:dyDescent="0.25">
      <c r="A327" t="str">
        <f>SCORING_ENGINE!A327</f>
        <v>APP326</v>
      </c>
      <c r="B327" t="str">
        <f>SCORING_ENGINE!H327</f>
        <v>INELIGIBLE</v>
      </c>
      <c r="C327">
        <f>SCORING_ENGINE!S327</f>
        <v>63</v>
      </c>
      <c r="D327" t="str" cm="1">
        <f t="array" ref="D327">CLASSIFY_CREDIT(B327,C327)</f>
        <v>Reject</v>
      </c>
      <c r="E327" t="str">
        <f t="shared" si="10"/>
        <v>N/A</v>
      </c>
      <c r="F327" t="str">
        <f t="shared" si="11"/>
        <v>Reject</v>
      </c>
    </row>
    <row r="328" spans="1:6" x14ac:dyDescent="0.25">
      <c r="A328" t="str">
        <f>SCORING_ENGINE!A328</f>
        <v>APP327</v>
      </c>
      <c r="B328" t="str">
        <f>SCORING_ENGINE!H328</f>
        <v>INELIGIBLE</v>
      </c>
      <c r="C328">
        <f>SCORING_ENGINE!S328</f>
        <v>68</v>
      </c>
      <c r="D328" t="str" cm="1">
        <f t="array" ref="D328">CLASSIFY_CREDIT(B328,C328)</f>
        <v>Reject</v>
      </c>
      <c r="E328" t="str">
        <f t="shared" si="10"/>
        <v>N/A</v>
      </c>
      <c r="F328" t="str">
        <f t="shared" si="11"/>
        <v>Reject</v>
      </c>
    </row>
    <row r="329" spans="1:6" x14ac:dyDescent="0.25">
      <c r="A329" t="str">
        <f>SCORING_ENGINE!A329</f>
        <v>APP328</v>
      </c>
      <c r="B329" t="str">
        <f>SCORING_ENGINE!H329</f>
        <v>INELIGIBLE</v>
      </c>
      <c r="C329">
        <f>SCORING_ENGINE!S329</f>
        <v>73</v>
      </c>
      <c r="D329" t="str" cm="1">
        <f t="array" ref="D329">CLASSIFY_CREDIT(B329,C329)</f>
        <v>Reject</v>
      </c>
      <c r="E329" t="str">
        <f t="shared" si="10"/>
        <v>N/A</v>
      </c>
      <c r="F329" t="str">
        <f t="shared" si="11"/>
        <v>Reject</v>
      </c>
    </row>
    <row r="330" spans="1:6" x14ac:dyDescent="0.25">
      <c r="A330" t="str">
        <f>SCORING_ENGINE!A330</f>
        <v>APP329</v>
      </c>
      <c r="B330" t="str">
        <f>SCORING_ENGINE!H330</f>
        <v>INELIGIBLE</v>
      </c>
      <c r="C330">
        <f>SCORING_ENGINE!S330</f>
        <v>43</v>
      </c>
      <c r="D330" t="str" cm="1">
        <f t="array" ref="D330">CLASSIFY_CREDIT(B330,C330)</f>
        <v>Reject</v>
      </c>
      <c r="E330" t="str">
        <f t="shared" si="10"/>
        <v>N/A</v>
      </c>
      <c r="F330" t="str">
        <f t="shared" si="11"/>
        <v>Reject</v>
      </c>
    </row>
    <row r="331" spans="1:6" x14ac:dyDescent="0.25">
      <c r="A331" t="str">
        <f>SCORING_ENGINE!A331</f>
        <v>APP330</v>
      </c>
      <c r="B331" t="str">
        <f>SCORING_ENGINE!H331</f>
        <v>INELIGIBLE</v>
      </c>
      <c r="C331">
        <f>SCORING_ENGINE!S331</f>
        <v>67</v>
      </c>
      <c r="D331" t="str" cm="1">
        <f t="array" ref="D331">CLASSIFY_CREDIT(B331,C331)</f>
        <v>Reject</v>
      </c>
      <c r="E331" t="str">
        <f t="shared" si="10"/>
        <v>N/A</v>
      </c>
      <c r="F331" t="str">
        <f t="shared" si="11"/>
        <v>Reject</v>
      </c>
    </row>
    <row r="332" spans="1:6" x14ac:dyDescent="0.25">
      <c r="A332" t="str">
        <f>SCORING_ENGINE!A332</f>
        <v>APP331</v>
      </c>
      <c r="B332" t="str">
        <f>SCORING_ENGINE!H332</f>
        <v>INELIGIBLE</v>
      </c>
      <c r="C332">
        <f>SCORING_ENGINE!S332</f>
        <v>75</v>
      </c>
      <c r="D332" t="str" cm="1">
        <f t="array" ref="D332">CLASSIFY_CREDIT(B332,C332)</f>
        <v>Reject</v>
      </c>
      <c r="E332" t="str">
        <f t="shared" si="10"/>
        <v>N/A</v>
      </c>
      <c r="F332" t="str">
        <f t="shared" si="11"/>
        <v>Reject</v>
      </c>
    </row>
    <row r="333" spans="1:6" x14ac:dyDescent="0.25">
      <c r="A333" t="str">
        <f>SCORING_ENGINE!A333</f>
        <v>APP332</v>
      </c>
      <c r="B333" t="str">
        <f>SCORING_ENGINE!H333</f>
        <v>INELIGIBLE</v>
      </c>
      <c r="C333">
        <f>SCORING_ENGINE!S333</f>
        <v>63</v>
      </c>
      <c r="D333" t="str" cm="1">
        <f t="array" ref="D333">CLASSIFY_CREDIT(B333,C333)</f>
        <v>Reject</v>
      </c>
      <c r="E333" t="str">
        <f t="shared" si="10"/>
        <v>N/A</v>
      </c>
      <c r="F333" t="str">
        <f t="shared" si="11"/>
        <v>Reject</v>
      </c>
    </row>
    <row r="334" spans="1:6" x14ac:dyDescent="0.25">
      <c r="A334" t="str">
        <f>SCORING_ENGINE!A334</f>
        <v>APP333</v>
      </c>
      <c r="B334" t="str">
        <f>SCORING_ENGINE!H334</f>
        <v>ELIGIBLE</v>
      </c>
      <c r="C334">
        <f>SCORING_ENGINE!S334</f>
        <v>84</v>
      </c>
      <c r="D334" t="str" cm="1">
        <f t="array" ref="D334">CLASSIFY_CREDIT(B334,C334)</f>
        <v>Approve</v>
      </c>
      <c r="E334" t="str">
        <f t="shared" si="10"/>
        <v>High</v>
      </c>
      <c r="F334" t="str">
        <f t="shared" si="11"/>
        <v>Approve</v>
      </c>
    </row>
    <row r="335" spans="1:6" x14ac:dyDescent="0.25">
      <c r="A335" t="str">
        <f>SCORING_ENGINE!A335</f>
        <v>APP334</v>
      </c>
      <c r="B335" t="str">
        <f>SCORING_ENGINE!H335</f>
        <v>INELIGIBLE</v>
      </c>
      <c r="C335">
        <f>SCORING_ENGINE!S335</f>
        <v>58</v>
      </c>
      <c r="D335" t="str" cm="1">
        <f t="array" ref="D335">CLASSIFY_CREDIT(B335,C335)</f>
        <v>Reject</v>
      </c>
      <c r="E335" t="str">
        <f t="shared" si="10"/>
        <v>N/A</v>
      </c>
      <c r="F335" t="str">
        <f t="shared" si="11"/>
        <v>Reject</v>
      </c>
    </row>
    <row r="336" spans="1:6" x14ac:dyDescent="0.25">
      <c r="A336" t="str">
        <f>SCORING_ENGINE!A336</f>
        <v>APP335</v>
      </c>
      <c r="B336" t="str">
        <f>SCORING_ENGINE!H336</f>
        <v>ELIGIBLE</v>
      </c>
      <c r="C336">
        <f>SCORING_ENGINE!S336</f>
        <v>94</v>
      </c>
      <c r="D336" t="str" cm="1">
        <f t="array" ref="D336">CLASSIFY_CREDIT(B336,C336)</f>
        <v>Approve</v>
      </c>
      <c r="E336" t="str">
        <f t="shared" si="10"/>
        <v>High</v>
      </c>
      <c r="F336" t="str">
        <f t="shared" si="11"/>
        <v>Approve</v>
      </c>
    </row>
    <row r="337" spans="1:6" x14ac:dyDescent="0.25">
      <c r="A337" t="str">
        <f>SCORING_ENGINE!A337</f>
        <v>APP336</v>
      </c>
      <c r="B337" t="str">
        <f>SCORING_ENGINE!H337</f>
        <v>ELIGIBLE</v>
      </c>
      <c r="C337">
        <f>SCORING_ENGINE!S337</f>
        <v>75</v>
      </c>
      <c r="D337" t="str" cm="1">
        <f t="array" ref="D337">CLASSIFY_CREDIT(B337,C337)</f>
        <v>Approve</v>
      </c>
      <c r="E337" t="str">
        <f t="shared" si="10"/>
        <v>High</v>
      </c>
      <c r="F337" t="str">
        <f t="shared" si="11"/>
        <v>Approve</v>
      </c>
    </row>
    <row r="338" spans="1:6" x14ac:dyDescent="0.25">
      <c r="A338" t="str">
        <f>SCORING_ENGINE!A338</f>
        <v>APP337</v>
      </c>
      <c r="B338" t="str">
        <f>SCORING_ENGINE!H338</f>
        <v>INELIGIBLE</v>
      </c>
      <c r="C338">
        <f>SCORING_ENGINE!S338</f>
        <v>21</v>
      </c>
      <c r="D338" t="str" cm="1">
        <f t="array" ref="D338">CLASSIFY_CREDIT(B338,C338)</f>
        <v>Reject</v>
      </c>
      <c r="E338" t="str">
        <f t="shared" si="10"/>
        <v>N/A</v>
      </c>
      <c r="F338" t="str">
        <f t="shared" si="11"/>
        <v>Reject</v>
      </c>
    </row>
    <row r="339" spans="1:6" x14ac:dyDescent="0.25">
      <c r="A339" t="str">
        <f>SCORING_ENGINE!A339</f>
        <v>APP338</v>
      </c>
      <c r="B339" t="str">
        <f>SCORING_ENGINE!H339</f>
        <v>INELIGIBLE</v>
      </c>
      <c r="C339">
        <f>SCORING_ENGINE!S339</f>
        <v>73</v>
      </c>
      <c r="D339" t="str" cm="1">
        <f t="array" ref="D339">CLASSIFY_CREDIT(B339,C339)</f>
        <v>Reject</v>
      </c>
      <c r="E339" t="str">
        <f t="shared" si="10"/>
        <v>N/A</v>
      </c>
      <c r="F339" t="str">
        <f t="shared" si="11"/>
        <v>Reject</v>
      </c>
    </row>
    <row r="340" spans="1:6" x14ac:dyDescent="0.25">
      <c r="A340" t="str">
        <f>SCORING_ENGINE!A340</f>
        <v>APP339</v>
      </c>
      <c r="B340" t="str">
        <f>SCORING_ENGINE!H340</f>
        <v>INELIGIBLE</v>
      </c>
      <c r="C340">
        <f>SCORING_ENGINE!S340</f>
        <v>60</v>
      </c>
      <c r="D340" t="str" cm="1">
        <f t="array" ref="D340">CLASSIFY_CREDIT(B340,C340)</f>
        <v>Reject</v>
      </c>
      <c r="E340" t="str">
        <f t="shared" si="10"/>
        <v>N/A</v>
      </c>
      <c r="F340" t="str">
        <f t="shared" si="11"/>
        <v>Reject</v>
      </c>
    </row>
    <row r="341" spans="1:6" x14ac:dyDescent="0.25">
      <c r="A341" t="str">
        <f>SCORING_ENGINE!A341</f>
        <v>APP340</v>
      </c>
      <c r="B341" t="str">
        <f>SCORING_ENGINE!H341</f>
        <v>INELIGIBLE</v>
      </c>
      <c r="C341">
        <f>SCORING_ENGINE!S341</f>
        <v>66</v>
      </c>
      <c r="D341" t="str" cm="1">
        <f t="array" ref="D341">CLASSIFY_CREDIT(B341,C341)</f>
        <v>Reject</v>
      </c>
      <c r="E341" t="str">
        <f t="shared" si="10"/>
        <v>N/A</v>
      </c>
      <c r="F341" t="str">
        <f t="shared" si="11"/>
        <v>Reject</v>
      </c>
    </row>
    <row r="342" spans="1:6" x14ac:dyDescent="0.25">
      <c r="A342" t="str">
        <f>SCORING_ENGINE!A342</f>
        <v>APP341</v>
      </c>
      <c r="B342" t="str">
        <f>SCORING_ENGINE!H342</f>
        <v>INELIGIBLE</v>
      </c>
      <c r="C342">
        <f>SCORING_ENGINE!S342</f>
        <v>64</v>
      </c>
      <c r="D342" t="str" cm="1">
        <f t="array" ref="D342">CLASSIFY_CREDIT(B342,C342)</f>
        <v>Reject</v>
      </c>
      <c r="E342" t="str">
        <f t="shared" si="10"/>
        <v>N/A</v>
      </c>
      <c r="F342" t="str">
        <f t="shared" si="11"/>
        <v>Reject</v>
      </c>
    </row>
    <row r="343" spans="1:6" x14ac:dyDescent="0.25">
      <c r="A343" t="str">
        <f>SCORING_ENGINE!A343</f>
        <v>APP342</v>
      </c>
      <c r="B343" t="str">
        <f>SCORING_ENGINE!H343</f>
        <v>INELIGIBLE</v>
      </c>
      <c r="C343">
        <f>SCORING_ENGINE!S343</f>
        <v>52</v>
      </c>
      <c r="D343" t="str" cm="1">
        <f t="array" ref="D343">CLASSIFY_CREDIT(B343,C343)</f>
        <v>Reject</v>
      </c>
      <c r="E343" t="str">
        <f t="shared" si="10"/>
        <v>N/A</v>
      </c>
      <c r="F343" t="str">
        <f t="shared" si="11"/>
        <v>Reject</v>
      </c>
    </row>
    <row r="344" spans="1:6" x14ac:dyDescent="0.25">
      <c r="A344" t="str">
        <f>SCORING_ENGINE!A344</f>
        <v>APP343</v>
      </c>
      <c r="B344" t="str">
        <f>SCORING_ENGINE!H344</f>
        <v>INELIGIBLE</v>
      </c>
      <c r="C344">
        <f>SCORING_ENGINE!S344</f>
        <v>48</v>
      </c>
      <c r="D344" t="str" cm="1">
        <f t="array" ref="D344">CLASSIFY_CREDIT(B344,C344)</f>
        <v>Reject</v>
      </c>
      <c r="E344" t="str">
        <f t="shared" si="10"/>
        <v>N/A</v>
      </c>
      <c r="F344" t="str">
        <f t="shared" si="11"/>
        <v>Reject</v>
      </c>
    </row>
    <row r="345" spans="1:6" x14ac:dyDescent="0.25">
      <c r="A345" t="str">
        <f>SCORING_ENGINE!A345</f>
        <v>APP344</v>
      </c>
      <c r="B345" t="str">
        <f>SCORING_ENGINE!H345</f>
        <v>ELIGIBLE</v>
      </c>
      <c r="C345">
        <f>SCORING_ENGINE!S345</f>
        <v>71</v>
      </c>
      <c r="D345" t="str" cm="1">
        <f t="array" ref="D345">CLASSIFY_CREDIT(B345,C345)</f>
        <v>Approve</v>
      </c>
      <c r="E345" t="str">
        <f t="shared" si="10"/>
        <v>High</v>
      </c>
      <c r="F345" t="str">
        <f t="shared" si="11"/>
        <v>Approve</v>
      </c>
    </row>
    <row r="346" spans="1:6" x14ac:dyDescent="0.25">
      <c r="A346" t="str">
        <f>SCORING_ENGINE!A346</f>
        <v>APP345</v>
      </c>
      <c r="B346" t="str">
        <f>SCORING_ENGINE!H346</f>
        <v>ELIGIBLE</v>
      </c>
      <c r="C346">
        <f>SCORING_ENGINE!S346</f>
        <v>73</v>
      </c>
      <c r="D346" t="str" cm="1">
        <f t="array" ref="D346">CLASSIFY_CREDIT(B346,C346)</f>
        <v>Approve</v>
      </c>
      <c r="E346" t="str">
        <f t="shared" si="10"/>
        <v>High</v>
      </c>
      <c r="F346" t="str">
        <f t="shared" si="11"/>
        <v>Approve</v>
      </c>
    </row>
    <row r="347" spans="1:6" x14ac:dyDescent="0.25">
      <c r="A347" t="str">
        <f>SCORING_ENGINE!A347</f>
        <v>APP346</v>
      </c>
      <c r="B347" t="str">
        <f>SCORING_ENGINE!H347</f>
        <v>INELIGIBLE</v>
      </c>
      <c r="C347">
        <f>SCORING_ENGINE!S347</f>
        <v>67</v>
      </c>
      <c r="D347" t="str" cm="1">
        <f t="array" ref="D347">CLASSIFY_CREDIT(B347,C347)</f>
        <v>Reject</v>
      </c>
      <c r="E347" t="str">
        <f t="shared" si="10"/>
        <v>N/A</v>
      </c>
      <c r="F347" t="str">
        <f t="shared" si="11"/>
        <v>Reject</v>
      </c>
    </row>
    <row r="348" spans="1:6" x14ac:dyDescent="0.25">
      <c r="A348" t="str">
        <f>SCORING_ENGINE!A348</f>
        <v>APP347</v>
      </c>
      <c r="B348" t="str">
        <f>SCORING_ENGINE!H348</f>
        <v>INELIGIBLE</v>
      </c>
      <c r="C348">
        <f>SCORING_ENGINE!S348</f>
        <v>71</v>
      </c>
      <c r="D348" t="str" cm="1">
        <f t="array" ref="D348">CLASSIFY_CREDIT(B348,C348)</f>
        <v>Reject</v>
      </c>
      <c r="E348" t="str">
        <f t="shared" si="10"/>
        <v>N/A</v>
      </c>
      <c r="F348" t="str">
        <f t="shared" si="11"/>
        <v>Reject</v>
      </c>
    </row>
    <row r="349" spans="1:6" x14ac:dyDescent="0.25">
      <c r="A349" t="str">
        <f>SCORING_ENGINE!A349</f>
        <v>APP348</v>
      </c>
      <c r="B349" t="str">
        <f>SCORING_ENGINE!H349</f>
        <v>INELIGIBLE</v>
      </c>
      <c r="C349">
        <f>SCORING_ENGINE!S349</f>
        <v>62</v>
      </c>
      <c r="D349" t="str" cm="1">
        <f t="array" ref="D349">CLASSIFY_CREDIT(B349,C349)</f>
        <v>Reject</v>
      </c>
      <c r="E349" t="str">
        <f t="shared" si="10"/>
        <v>N/A</v>
      </c>
      <c r="F349" t="str">
        <f t="shared" si="11"/>
        <v>Reject</v>
      </c>
    </row>
    <row r="350" spans="1:6" x14ac:dyDescent="0.25">
      <c r="A350" t="str">
        <f>SCORING_ENGINE!A350</f>
        <v>APP349</v>
      </c>
      <c r="B350" t="str">
        <f>SCORING_ENGINE!H350</f>
        <v>ELIGIBLE</v>
      </c>
      <c r="C350">
        <f>SCORING_ENGINE!S350</f>
        <v>61</v>
      </c>
      <c r="D350" t="str" cm="1">
        <f t="array" ref="D350">CLASSIFY_CREDIT(B350,C350)</f>
        <v>Review</v>
      </c>
      <c r="E350" t="str">
        <f t="shared" si="10"/>
        <v>Medium</v>
      </c>
      <c r="F350" t="str">
        <f t="shared" si="11"/>
        <v>Review</v>
      </c>
    </row>
    <row r="351" spans="1:6" x14ac:dyDescent="0.25">
      <c r="A351" t="str">
        <f>SCORING_ENGINE!A351</f>
        <v>APP350</v>
      </c>
      <c r="B351" t="str">
        <f>SCORING_ENGINE!H351</f>
        <v>INELIGIBLE</v>
      </c>
      <c r="C351">
        <f>SCORING_ENGINE!S351</f>
        <v>66</v>
      </c>
      <c r="D351" t="str" cm="1">
        <f t="array" ref="D351">CLASSIFY_CREDIT(B351,C351)</f>
        <v>Reject</v>
      </c>
      <c r="E351" t="str">
        <f t="shared" si="10"/>
        <v>N/A</v>
      </c>
      <c r="F351" t="str">
        <f t="shared" si="11"/>
        <v>Reject</v>
      </c>
    </row>
    <row r="352" spans="1:6" x14ac:dyDescent="0.25">
      <c r="A352" t="str">
        <f>SCORING_ENGINE!A352</f>
        <v>APP351</v>
      </c>
      <c r="B352" t="str">
        <f>SCORING_ENGINE!H352</f>
        <v>INELIGIBLE</v>
      </c>
      <c r="C352">
        <f>SCORING_ENGINE!S352</f>
        <v>68</v>
      </c>
      <c r="D352" t="str" cm="1">
        <f t="array" ref="D352">CLASSIFY_CREDIT(B352,C352)</f>
        <v>Reject</v>
      </c>
      <c r="E352" t="str">
        <f t="shared" si="10"/>
        <v>N/A</v>
      </c>
      <c r="F352" t="str">
        <f t="shared" si="11"/>
        <v>Reject</v>
      </c>
    </row>
    <row r="353" spans="1:6" x14ac:dyDescent="0.25">
      <c r="A353" t="str">
        <f>SCORING_ENGINE!A353</f>
        <v>APP352</v>
      </c>
      <c r="B353" t="str">
        <f>SCORING_ENGINE!H353</f>
        <v>INELIGIBLE</v>
      </c>
      <c r="C353">
        <f>SCORING_ENGINE!S353</f>
        <v>55</v>
      </c>
      <c r="D353" t="str" cm="1">
        <f t="array" ref="D353">CLASSIFY_CREDIT(B353,C353)</f>
        <v>Reject</v>
      </c>
      <c r="E353" t="str">
        <f t="shared" si="10"/>
        <v>N/A</v>
      </c>
      <c r="F353" t="str">
        <f t="shared" si="11"/>
        <v>Reject</v>
      </c>
    </row>
    <row r="354" spans="1:6" x14ac:dyDescent="0.25">
      <c r="A354" t="str">
        <f>SCORING_ENGINE!A354</f>
        <v>APP353</v>
      </c>
      <c r="B354" t="str">
        <f>SCORING_ENGINE!H354</f>
        <v>INELIGIBLE</v>
      </c>
      <c r="C354">
        <f>SCORING_ENGINE!S354</f>
        <v>64</v>
      </c>
      <c r="D354" t="str" cm="1">
        <f t="array" ref="D354">CLASSIFY_CREDIT(B354,C354)</f>
        <v>Reject</v>
      </c>
      <c r="E354" t="str">
        <f t="shared" si="10"/>
        <v>N/A</v>
      </c>
      <c r="F354" t="str">
        <f t="shared" si="11"/>
        <v>Reject</v>
      </c>
    </row>
    <row r="355" spans="1:6" x14ac:dyDescent="0.25">
      <c r="A355" t="str">
        <f>SCORING_ENGINE!A355</f>
        <v>APP354</v>
      </c>
      <c r="B355" t="str">
        <f>SCORING_ENGINE!H355</f>
        <v>ELIGIBLE</v>
      </c>
      <c r="C355">
        <f>SCORING_ENGINE!S355</f>
        <v>78</v>
      </c>
      <c r="D355" t="str" cm="1">
        <f t="array" ref="D355">CLASSIFY_CREDIT(B355,C355)</f>
        <v>Approve</v>
      </c>
      <c r="E355" t="str">
        <f t="shared" si="10"/>
        <v>High</v>
      </c>
      <c r="F355" t="str">
        <f t="shared" si="11"/>
        <v>Approve</v>
      </c>
    </row>
    <row r="356" spans="1:6" x14ac:dyDescent="0.25">
      <c r="A356" t="str">
        <f>SCORING_ENGINE!A356</f>
        <v>APP355</v>
      </c>
      <c r="B356" t="str">
        <f>SCORING_ENGINE!H356</f>
        <v>ELIGIBLE</v>
      </c>
      <c r="C356">
        <f>SCORING_ENGINE!S356</f>
        <v>68</v>
      </c>
      <c r="D356" t="str" cm="1">
        <f t="array" ref="D356">CLASSIFY_CREDIT(B356,C356)</f>
        <v>Review</v>
      </c>
      <c r="E356" t="str">
        <f t="shared" si="10"/>
        <v>Medium</v>
      </c>
      <c r="F356" t="str">
        <f t="shared" si="11"/>
        <v>Review</v>
      </c>
    </row>
    <row r="357" spans="1:6" x14ac:dyDescent="0.25">
      <c r="A357" t="str">
        <f>SCORING_ENGINE!A357</f>
        <v>APP356</v>
      </c>
      <c r="B357" t="str">
        <f>SCORING_ENGINE!H357</f>
        <v>ELIGIBLE</v>
      </c>
      <c r="C357">
        <f>SCORING_ENGINE!S357</f>
        <v>88</v>
      </c>
      <c r="D357" t="str" cm="1">
        <f t="array" ref="D357">CLASSIFY_CREDIT(B357,C357)</f>
        <v>Approve</v>
      </c>
      <c r="E357" t="str">
        <f t="shared" si="10"/>
        <v>High</v>
      </c>
      <c r="F357" t="str">
        <f t="shared" si="11"/>
        <v>Approve</v>
      </c>
    </row>
    <row r="358" spans="1:6" x14ac:dyDescent="0.25">
      <c r="A358" t="str">
        <f>SCORING_ENGINE!A358</f>
        <v>APP357</v>
      </c>
      <c r="B358" t="str">
        <f>SCORING_ENGINE!H358</f>
        <v>ELIGIBLE</v>
      </c>
      <c r="C358">
        <f>SCORING_ENGINE!S358</f>
        <v>71</v>
      </c>
      <c r="D358" t="str" cm="1">
        <f t="array" ref="D358">CLASSIFY_CREDIT(B358,C358)</f>
        <v>Approve</v>
      </c>
      <c r="E358" t="str">
        <f t="shared" si="10"/>
        <v>High</v>
      </c>
      <c r="F358" t="str">
        <f t="shared" si="11"/>
        <v>Approve</v>
      </c>
    </row>
    <row r="359" spans="1:6" x14ac:dyDescent="0.25">
      <c r="A359" t="str">
        <f>SCORING_ENGINE!A359</f>
        <v>APP358</v>
      </c>
      <c r="B359" t="str">
        <f>SCORING_ENGINE!H359</f>
        <v>INELIGIBLE</v>
      </c>
      <c r="C359">
        <f>SCORING_ENGINE!S359</f>
        <v>59</v>
      </c>
      <c r="D359" t="str" cm="1">
        <f t="array" ref="D359">CLASSIFY_CREDIT(B359,C359)</f>
        <v>Reject</v>
      </c>
      <c r="E359" t="str">
        <f t="shared" si="10"/>
        <v>N/A</v>
      </c>
      <c r="F359" t="str">
        <f t="shared" si="11"/>
        <v>Reject</v>
      </c>
    </row>
    <row r="360" spans="1:6" x14ac:dyDescent="0.25">
      <c r="A360" t="str">
        <f>SCORING_ENGINE!A360</f>
        <v>APP359</v>
      </c>
      <c r="B360" t="str">
        <f>SCORING_ENGINE!H360</f>
        <v>INELIGIBLE</v>
      </c>
      <c r="C360">
        <f>SCORING_ENGINE!S360</f>
        <v>54</v>
      </c>
      <c r="D360" t="str" cm="1">
        <f t="array" ref="D360">CLASSIFY_CREDIT(B360,C360)</f>
        <v>Reject</v>
      </c>
      <c r="E360" t="str">
        <f t="shared" si="10"/>
        <v>N/A</v>
      </c>
      <c r="F360" t="str">
        <f t="shared" si="11"/>
        <v>Reject</v>
      </c>
    </row>
    <row r="361" spans="1:6" x14ac:dyDescent="0.25">
      <c r="A361" t="str">
        <f>SCORING_ENGINE!A361</f>
        <v>APP360</v>
      </c>
      <c r="B361" t="str">
        <f>SCORING_ENGINE!H361</f>
        <v>INELIGIBLE</v>
      </c>
      <c r="C361">
        <f>SCORING_ENGINE!S361</f>
        <v>54</v>
      </c>
      <c r="D361" t="str" cm="1">
        <f t="array" ref="D361">CLASSIFY_CREDIT(B361,C361)</f>
        <v>Reject</v>
      </c>
      <c r="E361" t="str">
        <f t="shared" si="10"/>
        <v>N/A</v>
      </c>
      <c r="F361" t="str">
        <f t="shared" si="11"/>
        <v>Reject</v>
      </c>
    </row>
    <row r="362" spans="1:6" x14ac:dyDescent="0.25">
      <c r="A362" t="str">
        <f>SCORING_ENGINE!A362</f>
        <v>APP361</v>
      </c>
      <c r="B362" t="str">
        <f>SCORING_ENGINE!H362</f>
        <v>INELIGIBLE</v>
      </c>
      <c r="C362">
        <f>SCORING_ENGINE!S362</f>
        <v>74</v>
      </c>
      <c r="D362" t="str" cm="1">
        <f t="array" ref="D362">CLASSIFY_CREDIT(B362,C362)</f>
        <v>Reject</v>
      </c>
      <c r="E362" t="str">
        <f t="shared" si="10"/>
        <v>N/A</v>
      </c>
      <c r="F362" t="str">
        <f t="shared" si="11"/>
        <v>Reject</v>
      </c>
    </row>
    <row r="363" spans="1:6" x14ac:dyDescent="0.25">
      <c r="A363" t="str">
        <f>SCORING_ENGINE!A363</f>
        <v>APP362</v>
      </c>
      <c r="B363" t="str">
        <f>SCORING_ENGINE!H363</f>
        <v>INELIGIBLE</v>
      </c>
      <c r="C363">
        <f>SCORING_ENGINE!S363</f>
        <v>66</v>
      </c>
      <c r="D363" t="str" cm="1">
        <f t="array" ref="D363">CLASSIFY_CREDIT(B363,C363)</f>
        <v>Reject</v>
      </c>
      <c r="E363" t="str">
        <f t="shared" si="10"/>
        <v>N/A</v>
      </c>
      <c r="F363" t="str">
        <f t="shared" si="11"/>
        <v>Reject</v>
      </c>
    </row>
    <row r="364" spans="1:6" x14ac:dyDescent="0.25">
      <c r="A364" t="str">
        <f>SCORING_ENGINE!A364</f>
        <v>APP363</v>
      </c>
      <c r="B364" t="str">
        <f>SCORING_ENGINE!H364</f>
        <v>ELIGIBLE</v>
      </c>
      <c r="C364">
        <f>SCORING_ENGINE!S364</f>
        <v>92</v>
      </c>
      <c r="D364" t="str" cm="1">
        <f t="array" ref="D364">CLASSIFY_CREDIT(B364,C364)</f>
        <v>Approve</v>
      </c>
      <c r="E364" t="str">
        <f t="shared" si="10"/>
        <v>High</v>
      </c>
      <c r="F364" t="str">
        <f t="shared" si="11"/>
        <v>Approve</v>
      </c>
    </row>
    <row r="365" spans="1:6" x14ac:dyDescent="0.25">
      <c r="A365" t="str">
        <f>SCORING_ENGINE!A365</f>
        <v>APP364</v>
      </c>
      <c r="B365" t="str">
        <f>SCORING_ENGINE!H365</f>
        <v>INELIGIBLE</v>
      </c>
      <c r="C365">
        <f>SCORING_ENGINE!S365</f>
        <v>75</v>
      </c>
      <c r="D365" t="str" cm="1">
        <f t="array" ref="D365">CLASSIFY_CREDIT(B365,C365)</f>
        <v>Reject</v>
      </c>
      <c r="E365" t="str">
        <f t="shared" si="10"/>
        <v>N/A</v>
      </c>
      <c r="F365" t="str">
        <f t="shared" si="11"/>
        <v>Reject</v>
      </c>
    </row>
    <row r="366" spans="1:6" x14ac:dyDescent="0.25">
      <c r="A366" t="str">
        <f>SCORING_ENGINE!A366</f>
        <v>APP365</v>
      </c>
      <c r="B366" t="str">
        <f>SCORING_ENGINE!H366</f>
        <v>INELIGIBLE</v>
      </c>
      <c r="C366">
        <f>SCORING_ENGINE!S366</f>
        <v>77</v>
      </c>
      <c r="D366" t="str" cm="1">
        <f t="array" ref="D366">CLASSIFY_CREDIT(B366,C366)</f>
        <v>Reject</v>
      </c>
      <c r="E366" t="str">
        <f t="shared" si="10"/>
        <v>N/A</v>
      </c>
      <c r="F366" t="str">
        <f t="shared" si="11"/>
        <v>Reject</v>
      </c>
    </row>
    <row r="367" spans="1:6" x14ac:dyDescent="0.25">
      <c r="A367" t="str">
        <f>SCORING_ENGINE!A367</f>
        <v>APP366</v>
      </c>
      <c r="B367" t="str">
        <f>SCORING_ENGINE!H367</f>
        <v>ELIGIBLE</v>
      </c>
      <c r="C367">
        <f>SCORING_ENGINE!S367</f>
        <v>70</v>
      </c>
      <c r="D367" t="str" cm="1">
        <f t="array" ref="D367">CLASSIFY_CREDIT(B367,C367)</f>
        <v>Approve</v>
      </c>
      <c r="E367" t="str">
        <f t="shared" si="10"/>
        <v>High</v>
      </c>
      <c r="F367" t="str">
        <f t="shared" si="11"/>
        <v>Approve</v>
      </c>
    </row>
    <row r="368" spans="1:6" x14ac:dyDescent="0.25">
      <c r="A368" t="str">
        <f>SCORING_ENGINE!A368</f>
        <v>APP367</v>
      </c>
      <c r="B368" t="str">
        <f>SCORING_ENGINE!H368</f>
        <v>ELIGIBLE</v>
      </c>
      <c r="C368">
        <f>SCORING_ENGINE!S368</f>
        <v>66</v>
      </c>
      <c r="D368" t="str" cm="1">
        <f t="array" ref="D368">CLASSIFY_CREDIT(B368,C368)</f>
        <v>Review</v>
      </c>
      <c r="E368" t="str">
        <f t="shared" si="10"/>
        <v>Medium</v>
      </c>
      <c r="F368" t="str">
        <f t="shared" si="11"/>
        <v>Review</v>
      </c>
    </row>
    <row r="369" spans="1:6" x14ac:dyDescent="0.25">
      <c r="A369" t="str">
        <f>SCORING_ENGINE!A369</f>
        <v>APP368</v>
      </c>
      <c r="B369" t="str">
        <f>SCORING_ENGINE!H369</f>
        <v>INELIGIBLE</v>
      </c>
      <c r="C369">
        <f>SCORING_ENGINE!S369</f>
        <v>57</v>
      </c>
      <c r="D369" t="str" cm="1">
        <f t="array" ref="D369">CLASSIFY_CREDIT(B369,C369)</f>
        <v>Reject</v>
      </c>
      <c r="E369" t="str">
        <f t="shared" si="10"/>
        <v>N/A</v>
      </c>
      <c r="F369" t="str">
        <f t="shared" si="11"/>
        <v>Reject</v>
      </c>
    </row>
    <row r="370" spans="1:6" x14ac:dyDescent="0.25">
      <c r="A370" t="str">
        <f>SCORING_ENGINE!A370</f>
        <v>APP369</v>
      </c>
      <c r="B370" t="str">
        <f>SCORING_ENGINE!H370</f>
        <v>INELIGIBLE</v>
      </c>
      <c r="C370">
        <f>SCORING_ENGINE!S370</f>
        <v>72</v>
      </c>
      <c r="D370" t="str" cm="1">
        <f t="array" ref="D370">CLASSIFY_CREDIT(B370,C370)</f>
        <v>Reject</v>
      </c>
      <c r="E370" t="str">
        <f t="shared" si="10"/>
        <v>N/A</v>
      </c>
      <c r="F370" t="str">
        <f t="shared" si="11"/>
        <v>Reject</v>
      </c>
    </row>
    <row r="371" spans="1:6" x14ac:dyDescent="0.25">
      <c r="A371" t="str">
        <f>SCORING_ENGINE!A371</f>
        <v>APP370</v>
      </c>
      <c r="B371" t="str">
        <f>SCORING_ENGINE!H371</f>
        <v>INELIGIBLE</v>
      </c>
      <c r="C371">
        <f>SCORING_ENGINE!S371</f>
        <v>62</v>
      </c>
      <c r="D371" t="str" cm="1">
        <f t="array" ref="D371">CLASSIFY_CREDIT(B371,C371)</f>
        <v>Reject</v>
      </c>
      <c r="E371" t="str">
        <f t="shared" si="10"/>
        <v>N/A</v>
      </c>
      <c r="F371" t="str">
        <f t="shared" si="11"/>
        <v>Reject</v>
      </c>
    </row>
    <row r="372" spans="1:6" x14ac:dyDescent="0.25">
      <c r="A372" t="str">
        <f>SCORING_ENGINE!A372</f>
        <v>APP371</v>
      </c>
      <c r="B372" t="str">
        <f>SCORING_ENGINE!H372</f>
        <v>ELIGIBLE</v>
      </c>
      <c r="C372">
        <f>SCORING_ENGINE!S372</f>
        <v>85</v>
      </c>
      <c r="D372" t="str" cm="1">
        <f t="array" ref="D372">CLASSIFY_CREDIT(B372,C372)</f>
        <v>Approve</v>
      </c>
      <c r="E372" t="str">
        <f t="shared" si="10"/>
        <v>High</v>
      </c>
      <c r="F372" t="str">
        <f t="shared" si="11"/>
        <v>Approve</v>
      </c>
    </row>
    <row r="373" spans="1:6" x14ac:dyDescent="0.25">
      <c r="A373" t="str">
        <f>SCORING_ENGINE!A373</f>
        <v>APP372</v>
      </c>
      <c r="B373" t="str">
        <f>SCORING_ENGINE!H373</f>
        <v>ELIGIBLE</v>
      </c>
      <c r="C373">
        <f>SCORING_ENGINE!S373</f>
        <v>95</v>
      </c>
      <c r="D373" t="str" cm="1">
        <f t="array" ref="D373">CLASSIFY_CREDIT(B373,C373)</f>
        <v>Approve</v>
      </c>
      <c r="E373" t="str">
        <f t="shared" si="10"/>
        <v>High</v>
      </c>
      <c r="F373" t="str">
        <f t="shared" si="11"/>
        <v>Approve</v>
      </c>
    </row>
    <row r="374" spans="1:6" x14ac:dyDescent="0.25">
      <c r="A374" t="str">
        <f>SCORING_ENGINE!A374</f>
        <v>APP373</v>
      </c>
      <c r="B374" t="str">
        <f>SCORING_ENGINE!H374</f>
        <v>INELIGIBLE</v>
      </c>
      <c r="C374">
        <f>SCORING_ENGINE!S374</f>
        <v>53</v>
      </c>
      <c r="D374" t="str" cm="1">
        <f t="array" ref="D374">CLASSIFY_CREDIT(B374,C374)</f>
        <v>Reject</v>
      </c>
      <c r="E374" t="str">
        <f t="shared" si="10"/>
        <v>N/A</v>
      </c>
      <c r="F374" t="str">
        <f t="shared" si="11"/>
        <v>Reject</v>
      </c>
    </row>
    <row r="375" spans="1:6" x14ac:dyDescent="0.25">
      <c r="A375" t="str">
        <f>SCORING_ENGINE!A375</f>
        <v>APP374</v>
      </c>
      <c r="B375" t="str">
        <f>SCORING_ENGINE!H375</f>
        <v>INELIGIBLE</v>
      </c>
      <c r="C375">
        <f>SCORING_ENGINE!S375</f>
        <v>42</v>
      </c>
      <c r="D375" t="str" cm="1">
        <f t="array" ref="D375">CLASSIFY_CREDIT(B375,C375)</f>
        <v>Reject</v>
      </c>
      <c r="E375" t="str">
        <f t="shared" si="10"/>
        <v>N/A</v>
      </c>
      <c r="F375" t="str">
        <f t="shared" si="11"/>
        <v>Reject</v>
      </c>
    </row>
    <row r="376" spans="1:6" x14ac:dyDescent="0.25">
      <c r="A376" t="str">
        <f>SCORING_ENGINE!A376</f>
        <v>APP375</v>
      </c>
      <c r="B376" t="str">
        <f>SCORING_ENGINE!H376</f>
        <v>INELIGIBLE</v>
      </c>
      <c r="C376">
        <f>SCORING_ENGINE!S376</f>
        <v>63</v>
      </c>
      <c r="D376" t="str" cm="1">
        <f t="array" ref="D376">CLASSIFY_CREDIT(B376,C376)</f>
        <v>Reject</v>
      </c>
      <c r="E376" t="str">
        <f t="shared" si="10"/>
        <v>N/A</v>
      </c>
      <c r="F376" t="str">
        <f t="shared" si="11"/>
        <v>Reject</v>
      </c>
    </row>
    <row r="377" spans="1:6" x14ac:dyDescent="0.25">
      <c r="A377" t="str">
        <f>SCORING_ENGINE!A377</f>
        <v>APP376</v>
      </c>
      <c r="B377" t="str">
        <f>SCORING_ENGINE!H377</f>
        <v>INELIGIBLE</v>
      </c>
      <c r="C377">
        <f>SCORING_ENGINE!S377</f>
        <v>68</v>
      </c>
      <c r="D377" t="str" cm="1">
        <f t="array" ref="D377">CLASSIFY_CREDIT(B377,C377)</f>
        <v>Reject</v>
      </c>
      <c r="E377" t="str">
        <f t="shared" si="10"/>
        <v>N/A</v>
      </c>
      <c r="F377" t="str">
        <f t="shared" si="11"/>
        <v>Reject</v>
      </c>
    </row>
    <row r="378" spans="1:6" x14ac:dyDescent="0.25">
      <c r="A378" t="str">
        <f>SCORING_ENGINE!A378</f>
        <v>APP377</v>
      </c>
      <c r="B378" t="str">
        <f>SCORING_ENGINE!H378</f>
        <v>INELIGIBLE</v>
      </c>
      <c r="C378">
        <f>SCORING_ENGINE!S378</f>
        <v>61</v>
      </c>
      <c r="D378" t="str" cm="1">
        <f t="array" ref="D378">CLASSIFY_CREDIT(B378,C378)</f>
        <v>Reject</v>
      </c>
      <c r="E378" t="str">
        <f t="shared" si="10"/>
        <v>N/A</v>
      </c>
      <c r="F378" t="str">
        <f t="shared" si="11"/>
        <v>Reject</v>
      </c>
    </row>
    <row r="379" spans="1:6" x14ac:dyDescent="0.25">
      <c r="A379" t="str">
        <f>SCORING_ENGINE!A379</f>
        <v>APP378</v>
      </c>
      <c r="B379" t="str">
        <f>SCORING_ENGINE!H379</f>
        <v>INELIGIBLE</v>
      </c>
      <c r="C379">
        <f>SCORING_ENGINE!S379</f>
        <v>70</v>
      </c>
      <c r="D379" t="str" cm="1">
        <f t="array" ref="D379">CLASSIFY_CREDIT(B379,C379)</f>
        <v>Reject</v>
      </c>
      <c r="E379" t="str">
        <f t="shared" si="10"/>
        <v>N/A</v>
      </c>
      <c r="F379" t="str">
        <f t="shared" si="11"/>
        <v>Reject</v>
      </c>
    </row>
    <row r="380" spans="1:6" x14ac:dyDescent="0.25">
      <c r="A380" t="str">
        <f>SCORING_ENGINE!A380</f>
        <v>APP379</v>
      </c>
      <c r="B380" t="str">
        <f>SCORING_ENGINE!H380</f>
        <v>INELIGIBLE</v>
      </c>
      <c r="C380">
        <f>SCORING_ENGINE!S380</f>
        <v>46</v>
      </c>
      <c r="D380" t="str" cm="1">
        <f t="array" ref="D380">CLASSIFY_CREDIT(B380,C380)</f>
        <v>Reject</v>
      </c>
      <c r="E380" t="str">
        <f t="shared" si="10"/>
        <v>N/A</v>
      </c>
      <c r="F380" t="str">
        <f t="shared" si="11"/>
        <v>Reject</v>
      </c>
    </row>
    <row r="381" spans="1:6" x14ac:dyDescent="0.25">
      <c r="A381" t="str">
        <f>SCORING_ENGINE!A381</f>
        <v>APP380</v>
      </c>
      <c r="B381" t="str">
        <f>SCORING_ENGINE!H381</f>
        <v>INELIGIBLE</v>
      </c>
      <c r="C381">
        <f>SCORING_ENGINE!S381</f>
        <v>55</v>
      </c>
      <c r="D381" t="str" cm="1">
        <f t="array" ref="D381">CLASSIFY_CREDIT(B381,C381)</f>
        <v>Reject</v>
      </c>
      <c r="E381" t="str">
        <f t="shared" si="10"/>
        <v>N/A</v>
      </c>
      <c r="F381" t="str">
        <f t="shared" si="11"/>
        <v>Reject</v>
      </c>
    </row>
    <row r="382" spans="1:6" x14ac:dyDescent="0.25">
      <c r="A382" t="str">
        <f>SCORING_ENGINE!A382</f>
        <v>APP381</v>
      </c>
      <c r="B382" t="str">
        <f>SCORING_ENGINE!H382</f>
        <v>ELIGIBLE</v>
      </c>
      <c r="C382">
        <f>SCORING_ENGINE!S382</f>
        <v>58</v>
      </c>
      <c r="D382" t="str" cm="1">
        <f t="array" ref="D382">CLASSIFY_CREDIT(B382,C382)</f>
        <v>Review</v>
      </c>
      <c r="E382" t="str">
        <f t="shared" si="10"/>
        <v>Medium</v>
      </c>
      <c r="F382" t="str">
        <f t="shared" si="11"/>
        <v>Review</v>
      </c>
    </row>
    <row r="383" spans="1:6" x14ac:dyDescent="0.25">
      <c r="A383" t="str">
        <f>SCORING_ENGINE!A383</f>
        <v>APP382</v>
      </c>
      <c r="B383" t="str">
        <f>SCORING_ENGINE!H383</f>
        <v>INELIGIBLE</v>
      </c>
      <c r="C383">
        <f>SCORING_ENGINE!S383</f>
        <v>68</v>
      </c>
      <c r="D383" t="str" cm="1">
        <f t="array" ref="D383">CLASSIFY_CREDIT(B383,C383)</f>
        <v>Reject</v>
      </c>
      <c r="E383" t="str">
        <f t="shared" si="10"/>
        <v>N/A</v>
      </c>
      <c r="F383" t="str">
        <f t="shared" si="11"/>
        <v>Reject</v>
      </c>
    </row>
    <row r="384" spans="1:6" x14ac:dyDescent="0.25">
      <c r="A384" t="str">
        <f>SCORING_ENGINE!A384</f>
        <v>APP383</v>
      </c>
      <c r="B384" t="str">
        <f>SCORING_ENGINE!H384</f>
        <v>INELIGIBLE</v>
      </c>
      <c r="C384">
        <f>SCORING_ENGINE!S384</f>
        <v>60</v>
      </c>
      <c r="D384" t="str" cm="1">
        <f t="array" ref="D384">CLASSIFY_CREDIT(B384,C384)</f>
        <v>Reject</v>
      </c>
      <c r="E384" t="str">
        <f t="shared" si="10"/>
        <v>N/A</v>
      </c>
      <c r="F384" t="str">
        <f t="shared" si="11"/>
        <v>Reject</v>
      </c>
    </row>
    <row r="385" spans="1:6" x14ac:dyDescent="0.25">
      <c r="A385" t="str">
        <f>SCORING_ENGINE!A385</f>
        <v>APP384</v>
      </c>
      <c r="B385" t="str">
        <f>SCORING_ENGINE!H385</f>
        <v>INELIGIBLE</v>
      </c>
      <c r="C385">
        <f>SCORING_ENGINE!S385</f>
        <v>54</v>
      </c>
      <c r="D385" t="str" cm="1">
        <f t="array" ref="D385">CLASSIFY_CREDIT(B385,C385)</f>
        <v>Reject</v>
      </c>
      <c r="E385" t="str">
        <f t="shared" si="10"/>
        <v>N/A</v>
      </c>
      <c r="F385" t="str">
        <f t="shared" si="11"/>
        <v>Reject</v>
      </c>
    </row>
    <row r="386" spans="1:6" x14ac:dyDescent="0.25">
      <c r="A386" t="str">
        <f>SCORING_ENGINE!A386</f>
        <v>APP385</v>
      </c>
      <c r="B386" t="str">
        <f>SCORING_ENGINE!H386</f>
        <v>INELIGIBLE</v>
      </c>
      <c r="C386">
        <f>SCORING_ENGINE!S386</f>
        <v>70</v>
      </c>
      <c r="D386" t="str" cm="1">
        <f t="array" ref="D386">CLASSIFY_CREDIT(B386,C386)</f>
        <v>Reject</v>
      </c>
      <c r="E386" t="str">
        <f t="shared" si="10"/>
        <v>N/A</v>
      </c>
      <c r="F386" t="str">
        <f t="shared" si="11"/>
        <v>Reject</v>
      </c>
    </row>
    <row r="387" spans="1:6" x14ac:dyDescent="0.25">
      <c r="A387" t="str">
        <f>SCORING_ENGINE!A387</f>
        <v>APP386</v>
      </c>
      <c r="B387" t="str">
        <f>SCORING_ENGINE!H387</f>
        <v>ELIGIBLE</v>
      </c>
      <c r="C387">
        <f>SCORING_ENGINE!S387</f>
        <v>85</v>
      </c>
      <c r="D387" t="str" cm="1">
        <f t="array" ref="D387">CLASSIFY_CREDIT(B387,C387)</f>
        <v>Approve</v>
      </c>
      <c r="E387" t="str">
        <f t="shared" ref="E387:E450" si="12">IF(B387="INELIGIBLE","N/A",IF(C387&gt;=70,"High",IF(C387&gt;=50,"Medium","Low")))</f>
        <v>High</v>
      </c>
      <c r="F387" t="str">
        <f t="shared" ref="F387:F450" si="13">D387</f>
        <v>Approve</v>
      </c>
    </row>
    <row r="388" spans="1:6" x14ac:dyDescent="0.25">
      <c r="A388" t="str">
        <f>SCORING_ENGINE!A388</f>
        <v>APP387</v>
      </c>
      <c r="B388" t="str">
        <f>SCORING_ENGINE!H388</f>
        <v>INELIGIBLE</v>
      </c>
      <c r="C388">
        <f>SCORING_ENGINE!S388</f>
        <v>36</v>
      </c>
      <c r="D388" t="str" cm="1">
        <f t="array" ref="D388">CLASSIFY_CREDIT(B388,C388)</f>
        <v>Reject</v>
      </c>
      <c r="E388" t="str">
        <f t="shared" si="12"/>
        <v>N/A</v>
      </c>
      <c r="F388" t="str">
        <f t="shared" si="13"/>
        <v>Reject</v>
      </c>
    </row>
    <row r="389" spans="1:6" x14ac:dyDescent="0.25">
      <c r="A389" t="str">
        <f>SCORING_ENGINE!A389</f>
        <v>APP388</v>
      </c>
      <c r="B389" t="str">
        <f>SCORING_ENGINE!H389</f>
        <v>INELIGIBLE</v>
      </c>
      <c r="C389">
        <f>SCORING_ENGINE!S389</f>
        <v>63</v>
      </c>
      <c r="D389" t="str" cm="1">
        <f t="array" ref="D389">CLASSIFY_CREDIT(B389,C389)</f>
        <v>Reject</v>
      </c>
      <c r="E389" t="str">
        <f t="shared" si="12"/>
        <v>N/A</v>
      </c>
      <c r="F389" t="str">
        <f t="shared" si="13"/>
        <v>Reject</v>
      </c>
    </row>
    <row r="390" spans="1:6" x14ac:dyDescent="0.25">
      <c r="A390" t="str">
        <f>SCORING_ENGINE!A390</f>
        <v>APP389</v>
      </c>
      <c r="B390" t="str">
        <f>SCORING_ENGINE!H390</f>
        <v>INELIGIBLE</v>
      </c>
      <c r="C390">
        <f>SCORING_ENGINE!S390</f>
        <v>76</v>
      </c>
      <c r="D390" t="str" cm="1">
        <f t="array" ref="D390">CLASSIFY_CREDIT(B390,C390)</f>
        <v>Reject</v>
      </c>
      <c r="E390" t="str">
        <f t="shared" si="12"/>
        <v>N/A</v>
      </c>
      <c r="F390" t="str">
        <f t="shared" si="13"/>
        <v>Reject</v>
      </c>
    </row>
    <row r="391" spans="1:6" x14ac:dyDescent="0.25">
      <c r="A391" t="str">
        <f>SCORING_ENGINE!A391</f>
        <v>APP390</v>
      </c>
      <c r="B391" t="str">
        <f>SCORING_ENGINE!H391</f>
        <v>INELIGIBLE</v>
      </c>
      <c r="C391">
        <f>SCORING_ENGINE!S391</f>
        <v>33</v>
      </c>
      <c r="D391" t="str" cm="1">
        <f t="array" ref="D391">CLASSIFY_CREDIT(B391,C391)</f>
        <v>Reject</v>
      </c>
      <c r="E391" t="str">
        <f t="shared" si="12"/>
        <v>N/A</v>
      </c>
      <c r="F391" t="str">
        <f t="shared" si="13"/>
        <v>Reject</v>
      </c>
    </row>
    <row r="392" spans="1:6" x14ac:dyDescent="0.25">
      <c r="A392" t="str">
        <f>SCORING_ENGINE!A392</f>
        <v>APP391</v>
      </c>
      <c r="B392" t="str">
        <f>SCORING_ENGINE!H392</f>
        <v>INELIGIBLE</v>
      </c>
      <c r="C392">
        <f>SCORING_ENGINE!S392</f>
        <v>62</v>
      </c>
      <c r="D392" t="str" cm="1">
        <f t="array" ref="D392">CLASSIFY_CREDIT(B392,C392)</f>
        <v>Reject</v>
      </c>
      <c r="E392" t="str">
        <f t="shared" si="12"/>
        <v>N/A</v>
      </c>
      <c r="F392" t="str">
        <f t="shared" si="13"/>
        <v>Reject</v>
      </c>
    </row>
    <row r="393" spans="1:6" x14ac:dyDescent="0.25">
      <c r="A393" t="str">
        <f>SCORING_ENGINE!A393</f>
        <v>APP392</v>
      </c>
      <c r="B393" t="str">
        <f>SCORING_ENGINE!H393</f>
        <v>INELIGIBLE</v>
      </c>
      <c r="C393">
        <f>SCORING_ENGINE!S393</f>
        <v>63</v>
      </c>
      <c r="D393" t="str" cm="1">
        <f t="array" ref="D393">CLASSIFY_CREDIT(B393,C393)</f>
        <v>Reject</v>
      </c>
      <c r="E393" t="str">
        <f t="shared" si="12"/>
        <v>N/A</v>
      </c>
      <c r="F393" t="str">
        <f t="shared" si="13"/>
        <v>Reject</v>
      </c>
    </row>
    <row r="394" spans="1:6" x14ac:dyDescent="0.25">
      <c r="A394" t="str">
        <f>SCORING_ENGINE!A394</f>
        <v>APP393</v>
      </c>
      <c r="B394" t="str">
        <f>SCORING_ENGINE!H394</f>
        <v>INELIGIBLE</v>
      </c>
      <c r="C394">
        <f>SCORING_ENGINE!S394</f>
        <v>79</v>
      </c>
      <c r="D394" t="str" cm="1">
        <f t="array" ref="D394">CLASSIFY_CREDIT(B394,C394)</f>
        <v>Reject</v>
      </c>
      <c r="E394" t="str">
        <f t="shared" si="12"/>
        <v>N/A</v>
      </c>
      <c r="F394" t="str">
        <f t="shared" si="13"/>
        <v>Reject</v>
      </c>
    </row>
    <row r="395" spans="1:6" x14ac:dyDescent="0.25">
      <c r="A395" t="str">
        <f>SCORING_ENGINE!A395</f>
        <v>APP394</v>
      </c>
      <c r="B395" t="str">
        <f>SCORING_ENGINE!H395</f>
        <v>INELIGIBLE</v>
      </c>
      <c r="C395">
        <f>SCORING_ENGINE!S395</f>
        <v>54</v>
      </c>
      <c r="D395" t="str" cm="1">
        <f t="array" ref="D395">CLASSIFY_CREDIT(B395,C395)</f>
        <v>Reject</v>
      </c>
      <c r="E395" t="str">
        <f t="shared" si="12"/>
        <v>N/A</v>
      </c>
      <c r="F395" t="str">
        <f t="shared" si="13"/>
        <v>Reject</v>
      </c>
    </row>
    <row r="396" spans="1:6" x14ac:dyDescent="0.25">
      <c r="A396" t="str">
        <f>SCORING_ENGINE!A396</f>
        <v>APP395</v>
      </c>
      <c r="B396" t="str">
        <f>SCORING_ENGINE!H396</f>
        <v>INELIGIBLE</v>
      </c>
      <c r="C396">
        <f>SCORING_ENGINE!S396</f>
        <v>52</v>
      </c>
      <c r="D396" t="str" cm="1">
        <f t="array" ref="D396">CLASSIFY_CREDIT(B396,C396)</f>
        <v>Reject</v>
      </c>
      <c r="E396" t="str">
        <f t="shared" si="12"/>
        <v>N/A</v>
      </c>
      <c r="F396" t="str">
        <f t="shared" si="13"/>
        <v>Reject</v>
      </c>
    </row>
    <row r="397" spans="1:6" x14ac:dyDescent="0.25">
      <c r="A397" t="str">
        <f>SCORING_ENGINE!A397</f>
        <v>APP396</v>
      </c>
      <c r="B397" t="str">
        <f>SCORING_ENGINE!H397</f>
        <v>INELIGIBLE</v>
      </c>
      <c r="C397">
        <f>SCORING_ENGINE!S397</f>
        <v>52</v>
      </c>
      <c r="D397" t="str" cm="1">
        <f t="array" ref="D397">CLASSIFY_CREDIT(B397,C397)</f>
        <v>Reject</v>
      </c>
      <c r="E397" t="str">
        <f t="shared" si="12"/>
        <v>N/A</v>
      </c>
      <c r="F397" t="str">
        <f t="shared" si="13"/>
        <v>Reject</v>
      </c>
    </row>
    <row r="398" spans="1:6" x14ac:dyDescent="0.25">
      <c r="A398" t="str">
        <f>SCORING_ENGINE!A398</f>
        <v>APP397</v>
      </c>
      <c r="B398" t="str">
        <f>SCORING_ENGINE!H398</f>
        <v>ELIGIBLE</v>
      </c>
      <c r="C398">
        <f>SCORING_ENGINE!S398</f>
        <v>82</v>
      </c>
      <c r="D398" t="str" cm="1">
        <f t="array" ref="D398">CLASSIFY_CREDIT(B398,C398)</f>
        <v>Approve</v>
      </c>
      <c r="E398" t="str">
        <f t="shared" si="12"/>
        <v>High</v>
      </c>
      <c r="F398" t="str">
        <f t="shared" si="13"/>
        <v>Approve</v>
      </c>
    </row>
    <row r="399" spans="1:6" x14ac:dyDescent="0.25">
      <c r="A399" t="str">
        <f>SCORING_ENGINE!A399</f>
        <v>APP398</v>
      </c>
      <c r="B399" t="str">
        <f>SCORING_ENGINE!H399</f>
        <v>ELIGIBLE</v>
      </c>
      <c r="C399">
        <f>SCORING_ENGINE!S399</f>
        <v>77</v>
      </c>
      <c r="D399" t="str" cm="1">
        <f t="array" ref="D399">CLASSIFY_CREDIT(B399,C399)</f>
        <v>Approve</v>
      </c>
      <c r="E399" t="str">
        <f t="shared" si="12"/>
        <v>High</v>
      </c>
      <c r="F399" t="str">
        <f t="shared" si="13"/>
        <v>Approve</v>
      </c>
    </row>
    <row r="400" spans="1:6" x14ac:dyDescent="0.25">
      <c r="A400" t="str">
        <f>SCORING_ENGINE!A400</f>
        <v>APP399</v>
      </c>
      <c r="B400" t="str">
        <f>SCORING_ENGINE!H400</f>
        <v>ELIGIBLE</v>
      </c>
      <c r="C400">
        <f>SCORING_ENGINE!S400</f>
        <v>81</v>
      </c>
      <c r="D400" t="str" cm="1">
        <f t="array" ref="D400">CLASSIFY_CREDIT(B400,C400)</f>
        <v>Approve</v>
      </c>
      <c r="E400" t="str">
        <f t="shared" si="12"/>
        <v>High</v>
      </c>
      <c r="F400" t="str">
        <f t="shared" si="13"/>
        <v>Approve</v>
      </c>
    </row>
    <row r="401" spans="1:6" x14ac:dyDescent="0.25">
      <c r="A401" t="str">
        <f>SCORING_ENGINE!A401</f>
        <v>APP400</v>
      </c>
      <c r="B401" t="str">
        <f>SCORING_ENGINE!H401</f>
        <v>ELIGIBLE</v>
      </c>
      <c r="C401">
        <f>SCORING_ENGINE!S401</f>
        <v>84</v>
      </c>
      <c r="D401" t="str" cm="1">
        <f t="array" ref="D401">CLASSIFY_CREDIT(B401,C401)</f>
        <v>Approve</v>
      </c>
      <c r="E401" t="str">
        <f t="shared" si="12"/>
        <v>High</v>
      </c>
      <c r="F401" t="str">
        <f t="shared" si="13"/>
        <v>Approve</v>
      </c>
    </row>
    <row r="402" spans="1:6" x14ac:dyDescent="0.25">
      <c r="A402" t="str">
        <f>SCORING_ENGINE!A402</f>
        <v>APP401</v>
      </c>
      <c r="B402" t="str">
        <f>SCORING_ENGINE!H402</f>
        <v>INELIGIBLE</v>
      </c>
      <c r="C402">
        <f>SCORING_ENGINE!S402</f>
        <v>52</v>
      </c>
      <c r="D402" t="str" cm="1">
        <f t="array" ref="D402">CLASSIFY_CREDIT(B402,C402)</f>
        <v>Reject</v>
      </c>
      <c r="E402" t="str">
        <f t="shared" si="12"/>
        <v>N/A</v>
      </c>
      <c r="F402" t="str">
        <f t="shared" si="13"/>
        <v>Reject</v>
      </c>
    </row>
    <row r="403" spans="1:6" x14ac:dyDescent="0.25">
      <c r="A403" t="str">
        <f>SCORING_ENGINE!A403</f>
        <v>APP402</v>
      </c>
      <c r="B403" t="str">
        <f>SCORING_ENGINE!H403</f>
        <v>INELIGIBLE</v>
      </c>
      <c r="C403">
        <f>SCORING_ENGINE!S403</f>
        <v>51</v>
      </c>
      <c r="D403" t="str" cm="1">
        <f t="array" ref="D403">CLASSIFY_CREDIT(B403,C403)</f>
        <v>Reject</v>
      </c>
      <c r="E403" t="str">
        <f t="shared" si="12"/>
        <v>N/A</v>
      </c>
      <c r="F403" t="str">
        <f t="shared" si="13"/>
        <v>Reject</v>
      </c>
    </row>
    <row r="404" spans="1:6" x14ac:dyDescent="0.25">
      <c r="A404" t="str">
        <f>SCORING_ENGINE!A404</f>
        <v>APP403</v>
      </c>
      <c r="B404" t="str">
        <f>SCORING_ENGINE!H404</f>
        <v>INELIGIBLE</v>
      </c>
      <c r="C404">
        <f>SCORING_ENGINE!S404</f>
        <v>68</v>
      </c>
      <c r="D404" t="str" cm="1">
        <f t="array" ref="D404">CLASSIFY_CREDIT(B404,C404)</f>
        <v>Reject</v>
      </c>
      <c r="E404" t="str">
        <f t="shared" si="12"/>
        <v>N/A</v>
      </c>
      <c r="F404" t="str">
        <f t="shared" si="13"/>
        <v>Reject</v>
      </c>
    </row>
    <row r="405" spans="1:6" x14ac:dyDescent="0.25">
      <c r="A405" t="str">
        <f>SCORING_ENGINE!A405</f>
        <v>APP404</v>
      </c>
      <c r="B405" t="str">
        <f>SCORING_ENGINE!H405</f>
        <v>INELIGIBLE</v>
      </c>
      <c r="C405">
        <f>SCORING_ENGINE!S405</f>
        <v>61</v>
      </c>
      <c r="D405" t="str" cm="1">
        <f t="array" ref="D405">CLASSIFY_CREDIT(B405,C405)</f>
        <v>Reject</v>
      </c>
      <c r="E405" t="str">
        <f t="shared" si="12"/>
        <v>N/A</v>
      </c>
      <c r="F405" t="str">
        <f t="shared" si="13"/>
        <v>Reject</v>
      </c>
    </row>
    <row r="406" spans="1:6" x14ac:dyDescent="0.25">
      <c r="A406" t="str">
        <f>SCORING_ENGINE!A406</f>
        <v>APP405</v>
      </c>
      <c r="B406" t="str">
        <f>SCORING_ENGINE!H406</f>
        <v>INELIGIBLE</v>
      </c>
      <c r="C406">
        <f>SCORING_ENGINE!S406</f>
        <v>65</v>
      </c>
      <c r="D406" t="str" cm="1">
        <f t="array" ref="D406">CLASSIFY_CREDIT(B406,C406)</f>
        <v>Reject</v>
      </c>
      <c r="E406" t="str">
        <f t="shared" si="12"/>
        <v>N/A</v>
      </c>
      <c r="F406" t="str">
        <f t="shared" si="13"/>
        <v>Reject</v>
      </c>
    </row>
    <row r="407" spans="1:6" x14ac:dyDescent="0.25">
      <c r="A407" t="str">
        <f>SCORING_ENGINE!A407</f>
        <v>APP406</v>
      </c>
      <c r="B407" t="str">
        <f>SCORING_ENGINE!H407</f>
        <v>ELIGIBLE</v>
      </c>
      <c r="C407">
        <f>SCORING_ENGINE!S407</f>
        <v>83</v>
      </c>
      <c r="D407" t="str" cm="1">
        <f t="array" ref="D407">CLASSIFY_CREDIT(B407,C407)</f>
        <v>Approve</v>
      </c>
      <c r="E407" t="str">
        <f t="shared" si="12"/>
        <v>High</v>
      </c>
      <c r="F407" t="str">
        <f t="shared" si="13"/>
        <v>Approve</v>
      </c>
    </row>
    <row r="408" spans="1:6" x14ac:dyDescent="0.25">
      <c r="A408" t="str">
        <f>SCORING_ENGINE!A408</f>
        <v>APP407</v>
      </c>
      <c r="B408" t="str">
        <f>SCORING_ENGINE!H408</f>
        <v>INELIGIBLE</v>
      </c>
      <c r="C408">
        <f>SCORING_ENGINE!S408</f>
        <v>73</v>
      </c>
      <c r="D408" t="str" cm="1">
        <f t="array" ref="D408">CLASSIFY_CREDIT(B408,C408)</f>
        <v>Reject</v>
      </c>
      <c r="E408" t="str">
        <f t="shared" si="12"/>
        <v>N/A</v>
      </c>
      <c r="F408" t="str">
        <f t="shared" si="13"/>
        <v>Reject</v>
      </c>
    </row>
    <row r="409" spans="1:6" x14ac:dyDescent="0.25">
      <c r="A409" t="str">
        <f>SCORING_ENGINE!A409</f>
        <v>APP408</v>
      </c>
      <c r="B409" t="str">
        <f>SCORING_ENGINE!H409</f>
        <v>INELIGIBLE</v>
      </c>
      <c r="C409">
        <f>SCORING_ENGINE!S409</f>
        <v>64</v>
      </c>
      <c r="D409" t="str" cm="1">
        <f t="array" ref="D409">CLASSIFY_CREDIT(B409,C409)</f>
        <v>Reject</v>
      </c>
      <c r="E409" t="str">
        <f t="shared" si="12"/>
        <v>N/A</v>
      </c>
      <c r="F409" t="str">
        <f t="shared" si="13"/>
        <v>Reject</v>
      </c>
    </row>
    <row r="410" spans="1:6" x14ac:dyDescent="0.25">
      <c r="A410" t="str">
        <f>SCORING_ENGINE!A410</f>
        <v>APP409</v>
      </c>
      <c r="B410" t="str">
        <f>SCORING_ENGINE!H410</f>
        <v>ELIGIBLE</v>
      </c>
      <c r="C410">
        <f>SCORING_ENGINE!S410</f>
        <v>73</v>
      </c>
      <c r="D410" t="str" cm="1">
        <f t="array" ref="D410">CLASSIFY_CREDIT(B410,C410)</f>
        <v>Approve</v>
      </c>
      <c r="E410" t="str">
        <f t="shared" si="12"/>
        <v>High</v>
      </c>
      <c r="F410" t="str">
        <f t="shared" si="13"/>
        <v>Approve</v>
      </c>
    </row>
    <row r="411" spans="1:6" x14ac:dyDescent="0.25">
      <c r="A411" t="str">
        <f>SCORING_ENGINE!A411</f>
        <v>APP410</v>
      </c>
      <c r="B411" t="str">
        <f>SCORING_ENGINE!H411</f>
        <v>INELIGIBLE</v>
      </c>
      <c r="C411">
        <f>SCORING_ENGINE!S411</f>
        <v>87</v>
      </c>
      <c r="D411" t="str" cm="1">
        <f t="array" ref="D411">CLASSIFY_CREDIT(B411,C411)</f>
        <v>Reject</v>
      </c>
      <c r="E411" t="str">
        <f t="shared" si="12"/>
        <v>N/A</v>
      </c>
      <c r="F411" t="str">
        <f t="shared" si="13"/>
        <v>Reject</v>
      </c>
    </row>
    <row r="412" spans="1:6" x14ac:dyDescent="0.25">
      <c r="A412" t="str">
        <f>SCORING_ENGINE!A412</f>
        <v>APP411</v>
      </c>
      <c r="B412" t="str">
        <f>SCORING_ENGINE!H412</f>
        <v>ELIGIBLE</v>
      </c>
      <c r="C412">
        <f>SCORING_ENGINE!S412</f>
        <v>89</v>
      </c>
      <c r="D412" t="str" cm="1">
        <f t="array" ref="D412">CLASSIFY_CREDIT(B412,C412)</f>
        <v>Approve</v>
      </c>
      <c r="E412" t="str">
        <f t="shared" si="12"/>
        <v>High</v>
      </c>
      <c r="F412" t="str">
        <f t="shared" si="13"/>
        <v>Approve</v>
      </c>
    </row>
    <row r="413" spans="1:6" x14ac:dyDescent="0.25">
      <c r="A413" t="str">
        <f>SCORING_ENGINE!A413</f>
        <v>APP412</v>
      </c>
      <c r="B413" t="str">
        <f>SCORING_ENGINE!H413</f>
        <v>ELIGIBLE</v>
      </c>
      <c r="C413">
        <f>SCORING_ENGINE!S413</f>
        <v>59</v>
      </c>
      <c r="D413" t="str" cm="1">
        <f t="array" ref="D413">CLASSIFY_CREDIT(B413,C413)</f>
        <v>Review</v>
      </c>
      <c r="E413" t="str">
        <f t="shared" si="12"/>
        <v>Medium</v>
      </c>
      <c r="F413" t="str">
        <f t="shared" si="13"/>
        <v>Review</v>
      </c>
    </row>
    <row r="414" spans="1:6" x14ac:dyDescent="0.25">
      <c r="A414" t="str">
        <f>SCORING_ENGINE!A414</f>
        <v>APP413</v>
      </c>
      <c r="B414" t="str">
        <f>SCORING_ENGINE!H414</f>
        <v>INELIGIBLE</v>
      </c>
      <c r="C414">
        <f>SCORING_ENGINE!S414</f>
        <v>66</v>
      </c>
      <c r="D414" t="str" cm="1">
        <f t="array" ref="D414">CLASSIFY_CREDIT(B414,C414)</f>
        <v>Reject</v>
      </c>
      <c r="E414" t="str">
        <f t="shared" si="12"/>
        <v>N/A</v>
      </c>
      <c r="F414" t="str">
        <f t="shared" si="13"/>
        <v>Reject</v>
      </c>
    </row>
    <row r="415" spans="1:6" x14ac:dyDescent="0.25">
      <c r="A415" t="str">
        <f>SCORING_ENGINE!A415</f>
        <v>APP414</v>
      </c>
      <c r="B415" t="str">
        <f>SCORING_ENGINE!H415</f>
        <v>INELIGIBLE</v>
      </c>
      <c r="C415">
        <f>SCORING_ENGINE!S415</f>
        <v>32</v>
      </c>
      <c r="D415" t="str" cm="1">
        <f t="array" ref="D415">CLASSIFY_CREDIT(B415,C415)</f>
        <v>Reject</v>
      </c>
      <c r="E415" t="str">
        <f t="shared" si="12"/>
        <v>N/A</v>
      </c>
      <c r="F415" t="str">
        <f t="shared" si="13"/>
        <v>Reject</v>
      </c>
    </row>
    <row r="416" spans="1:6" x14ac:dyDescent="0.25">
      <c r="A416" t="str">
        <f>SCORING_ENGINE!A416</f>
        <v>APP415</v>
      </c>
      <c r="B416" t="str">
        <f>SCORING_ENGINE!H416</f>
        <v>INELIGIBLE</v>
      </c>
      <c r="C416">
        <f>SCORING_ENGINE!S416</f>
        <v>43</v>
      </c>
      <c r="D416" t="str" cm="1">
        <f t="array" ref="D416">CLASSIFY_CREDIT(B416,C416)</f>
        <v>Reject</v>
      </c>
      <c r="E416" t="str">
        <f t="shared" si="12"/>
        <v>N/A</v>
      </c>
      <c r="F416" t="str">
        <f t="shared" si="13"/>
        <v>Reject</v>
      </c>
    </row>
    <row r="417" spans="1:6" x14ac:dyDescent="0.25">
      <c r="A417" t="str">
        <f>SCORING_ENGINE!A417</f>
        <v>APP416</v>
      </c>
      <c r="B417" t="str">
        <f>SCORING_ENGINE!H417</f>
        <v>INELIGIBLE</v>
      </c>
      <c r="C417">
        <f>SCORING_ENGINE!S417</f>
        <v>65</v>
      </c>
      <c r="D417" t="str" cm="1">
        <f t="array" ref="D417">CLASSIFY_CREDIT(B417,C417)</f>
        <v>Reject</v>
      </c>
      <c r="E417" t="str">
        <f t="shared" si="12"/>
        <v>N/A</v>
      </c>
      <c r="F417" t="str">
        <f t="shared" si="13"/>
        <v>Reject</v>
      </c>
    </row>
    <row r="418" spans="1:6" x14ac:dyDescent="0.25">
      <c r="A418" t="str">
        <f>SCORING_ENGINE!A418</f>
        <v>APP417</v>
      </c>
      <c r="B418" t="str">
        <f>SCORING_ENGINE!H418</f>
        <v>INELIGIBLE</v>
      </c>
      <c r="C418">
        <f>SCORING_ENGINE!S418</f>
        <v>62</v>
      </c>
      <c r="D418" t="str" cm="1">
        <f t="array" ref="D418">CLASSIFY_CREDIT(B418,C418)</f>
        <v>Reject</v>
      </c>
      <c r="E418" t="str">
        <f t="shared" si="12"/>
        <v>N/A</v>
      </c>
      <c r="F418" t="str">
        <f t="shared" si="13"/>
        <v>Reject</v>
      </c>
    </row>
    <row r="419" spans="1:6" x14ac:dyDescent="0.25">
      <c r="A419" t="str">
        <f>SCORING_ENGINE!A419</f>
        <v>APP418</v>
      </c>
      <c r="B419" t="str">
        <f>SCORING_ENGINE!H419</f>
        <v>ELIGIBLE</v>
      </c>
      <c r="C419">
        <f>SCORING_ENGINE!S419</f>
        <v>78</v>
      </c>
      <c r="D419" t="str" cm="1">
        <f t="array" ref="D419">CLASSIFY_CREDIT(B419,C419)</f>
        <v>Approve</v>
      </c>
      <c r="E419" t="str">
        <f t="shared" si="12"/>
        <v>High</v>
      </c>
      <c r="F419" t="str">
        <f t="shared" si="13"/>
        <v>Approve</v>
      </c>
    </row>
    <row r="420" spans="1:6" x14ac:dyDescent="0.25">
      <c r="A420" t="str">
        <f>SCORING_ENGINE!A420</f>
        <v>APP419</v>
      </c>
      <c r="B420" t="str">
        <f>SCORING_ENGINE!H420</f>
        <v>ELIGIBLE</v>
      </c>
      <c r="C420">
        <f>SCORING_ENGINE!S420</f>
        <v>86</v>
      </c>
      <c r="D420" t="str" cm="1">
        <f t="array" ref="D420">CLASSIFY_CREDIT(B420,C420)</f>
        <v>Approve</v>
      </c>
      <c r="E420" t="str">
        <f t="shared" si="12"/>
        <v>High</v>
      </c>
      <c r="F420" t="str">
        <f t="shared" si="13"/>
        <v>Approve</v>
      </c>
    </row>
    <row r="421" spans="1:6" x14ac:dyDescent="0.25">
      <c r="A421" t="str">
        <f>SCORING_ENGINE!A421</f>
        <v>APP420</v>
      </c>
      <c r="B421" t="str">
        <f>SCORING_ENGINE!H421</f>
        <v>INELIGIBLE</v>
      </c>
      <c r="C421">
        <f>SCORING_ENGINE!S421</f>
        <v>42</v>
      </c>
      <c r="D421" t="str" cm="1">
        <f t="array" ref="D421">CLASSIFY_CREDIT(B421,C421)</f>
        <v>Reject</v>
      </c>
      <c r="E421" t="str">
        <f t="shared" si="12"/>
        <v>N/A</v>
      </c>
      <c r="F421" t="str">
        <f t="shared" si="13"/>
        <v>Reject</v>
      </c>
    </row>
    <row r="422" spans="1:6" x14ac:dyDescent="0.25">
      <c r="A422" t="str">
        <f>SCORING_ENGINE!A422</f>
        <v>APP421</v>
      </c>
      <c r="B422" t="str">
        <f>SCORING_ENGINE!H422</f>
        <v>INELIGIBLE</v>
      </c>
      <c r="C422">
        <f>SCORING_ENGINE!S422</f>
        <v>74</v>
      </c>
      <c r="D422" t="str" cm="1">
        <f t="array" ref="D422">CLASSIFY_CREDIT(B422,C422)</f>
        <v>Reject</v>
      </c>
      <c r="E422" t="str">
        <f t="shared" si="12"/>
        <v>N/A</v>
      </c>
      <c r="F422" t="str">
        <f t="shared" si="13"/>
        <v>Reject</v>
      </c>
    </row>
    <row r="423" spans="1:6" x14ac:dyDescent="0.25">
      <c r="A423" t="str">
        <f>SCORING_ENGINE!A423</f>
        <v>APP422</v>
      </c>
      <c r="B423" t="str">
        <f>SCORING_ENGINE!H423</f>
        <v>INELIGIBLE</v>
      </c>
      <c r="C423">
        <f>SCORING_ENGINE!S423</f>
        <v>61</v>
      </c>
      <c r="D423" t="str" cm="1">
        <f t="array" ref="D423">CLASSIFY_CREDIT(B423,C423)</f>
        <v>Reject</v>
      </c>
      <c r="E423" t="str">
        <f t="shared" si="12"/>
        <v>N/A</v>
      </c>
      <c r="F423" t="str">
        <f t="shared" si="13"/>
        <v>Reject</v>
      </c>
    </row>
    <row r="424" spans="1:6" x14ac:dyDescent="0.25">
      <c r="A424" t="str">
        <f>SCORING_ENGINE!A424</f>
        <v>APP423</v>
      </c>
      <c r="B424" t="str">
        <f>SCORING_ENGINE!H424</f>
        <v>ELIGIBLE</v>
      </c>
      <c r="C424">
        <f>SCORING_ENGINE!S424</f>
        <v>54</v>
      </c>
      <c r="D424" t="str" cm="1">
        <f t="array" ref="D424">CLASSIFY_CREDIT(B424,C424)</f>
        <v>Review</v>
      </c>
      <c r="E424" t="str">
        <f t="shared" si="12"/>
        <v>Medium</v>
      </c>
      <c r="F424" t="str">
        <f t="shared" si="13"/>
        <v>Review</v>
      </c>
    </row>
    <row r="425" spans="1:6" x14ac:dyDescent="0.25">
      <c r="A425" t="str">
        <f>SCORING_ENGINE!A425</f>
        <v>APP424</v>
      </c>
      <c r="B425" t="str">
        <f>SCORING_ENGINE!H425</f>
        <v>INELIGIBLE</v>
      </c>
      <c r="C425">
        <f>SCORING_ENGINE!S425</f>
        <v>58</v>
      </c>
      <c r="D425" t="str" cm="1">
        <f t="array" ref="D425">CLASSIFY_CREDIT(B425,C425)</f>
        <v>Reject</v>
      </c>
      <c r="E425" t="str">
        <f t="shared" si="12"/>
        <v>N/A</v>
      </c>
      <c r="F425" t="str">
        <f t="shared" si="13"/>
        <v>Reject</v>
      </c>
    </row>
    <row r="426" spans="1:6" x14ac:dyDescent="0.25">
      <c r="A426" t="str">
        <f>SCORING_ENGINE!A426</f>
        <v>APP425</v>
      </c>
      <c r="B426" t="str">
        <f>SCORING_ENGINE!H426</f>
        <v>INELIGIBLE</v>
      </c>
      <c r="C426">
        <f>SCORING_ENGINE!S426</f>
        <v>71</v>
      </c>
      <c r="D426" t="str" cm="1">
        <f t="array" ref="D426">CLASSIFY_CREDIT(B426,C426)</f>
        <v>Reject</v>
      </c>
      <c r="E426" t="str">
        <f t="shared" si="12"/>
        <v>N/A</v>
      </c>
      <c r="F426" t="str">
        <f t="shared" si="13"/>
        <v>Reject</v>
      </c>
    </row>
    <row r="427" spans="1:6" x14ac:dyDescent="0.25">
      <c r="A427" t="str">
        <f>SCORING_ENGINE!A427</f>
        <v>APP426</v>
      </c>
      <c r="B427" t="str">
        <f>SCORING_ENGINE!H427</f>
        <v>ELIGIBLE</v>
      </c>
      <c r="C427">
        <f>SCORING_ENGINE!S427</f>
        <v>81</v>
      </c>
      <c r="D427" t="str" cm="1">
        <f t="array" ref="D427">CLASSIFY_CREDIT(B427,C427)</f>
        <v>Approve</v>
      </c>
      <c r="E427" t="str">
        <f t="shared" si="12"/>
        <v>High</v>
      </c>
      <c r="F427" t="str">
        <f t="shared" si="13"/>
        <v>Approve</v>
      </c>
    </row>
    <row r="428" spans="1:6" x14ac:dyDescent="0.25">
      <c r="A428" t="str">
        <f>SCORING_ENGINE!A428</f>
        <v>APP427</v>
      </c>
      <c r="B428" t="str">
        <f>SCORING_ENGINE!H428</f>
        <v>INELIGIBLE</v>
      </c>
      <c r="C428">
        <f>SCORING_ENGINE!S428</f>
        <v>58</v>
      </c>
      <c r="D428" t="str" cm="1">
        <f t="array" ref="D428">CLASSIFY_CREDIT(B428,C428)</f>
        <v>Reject</v>
      </c>
      <c r="E428" t="str">
        <f t="shared" si="12"/>
        <v>N/A</v>
      </c>
      <c r="F428" t="str">
        <f t="shared" si="13"/>
        <v>Reject</v>
      </c>
    </row>
    <row r="429" spans="1:6" x14ac:dyDescent="0.25">
      <c r="A429" t="str">
        <f>SCORING_ENGINE!A429</f>
        <v>APP428</v>
      </c>
      <c r="B429" t="str">
        <f>SCORING_ENGINE!H429</f>
        <v>INELIGIBLE</v>
      </c>
      <c r="C429">
        <f>SCORING_ENGINE!S429</f>
        <v>59</v>
      </c>
      <c r="D429" t="str" cm="1">
        <f t="array" ref="D429">CLASSIFY_CREDIT(B429,C429)</f>
        <v>Reject</v>
      </c>
      <c r="E429" t="str">
        <f t="shared" si="12"/>
        <v>N/A</v>
      </c>
      <c r="F429" t="str">
        <f t="shared" si="13"/>
        <v>Reject</v>
      </c>
    </row>
    <row r="430" spans="1:6" x14ac:dyDescent="0.25">
      <c r="A430" t="str">
        <f>SCORING_ENGINE!A430</f>
        <v>APP429</v>
      </c>
      <c r="B430" t="str">
        <f>SCORING_ENGINE!H430</f>
        <v>INELIGIBLE</v>
      </c>
      <c r="C430">
        <f>SCORING_ENGINE!S430</f>
        <v>87</v>
      </c>
      <c r="D430" t="str" cm="1">
        <f t="array" ref="D430">CLASSIFY_CREDIT(B430,C430)</f>
        <v>Reject</v>
      </c>
      <c r="E430" t="str">
        <f t="shared" si="12"/>
        <v>N/A</v>
      </c>
      <c r="F430" t="str">
        <f t="shared" si="13"/>
        <v>Reject</v>
      </c>
    </row>
    <row r="431" spans="1:6" x14ac:dyDescent="0.25">
      <c r="A431" t="str">
        <f>SCORING_ENGINE!A431</f>
        <v>APP430</v>
      </c>
      <c r="B431" t="str">
        <f>SCORING_ENGINE!H431</f>
        <v>INELIGIBLE</v>
      </c>
      <c r="C431">
        <f>SCORING_ENGINE!S431</f>
        <v>69</v>
      </c>
      <c r="D431" t="str" cm="1">
        <f t="array" ref="D431">CLASSIFY_CREDIT(B431,C431)</f>
        <v>Reject</v>
      </c>
      <c r="E431" t="str">
        <f t="shared" si="12"/>
        <v>N/A</v>
      </c>
      <c r="F431" t="str">
        <f t="shared" si="13"/>
        <v>Reject</v>
      </c>
    </row>
    <row r="432" spans="1:6" x14ac:dyDescent="0.25">
      <c r="A432" t="str">
        <f>SCORING_ENGINE!A432</f>
        <v>APP431</v>
      </c>
      <c r="B432" t="str">
        <f>SCORING_ENGINE!H432</f>
        <v>INELIGIBLE</v>
      </c>
      <c r="C432">
        <f>SCORING_ENGINE!S432</f>
        <v>59</v>
      </c>
      <c r="D432" t="str" cm="1">
        <f t="array" ref="D432">CLASSIFY_CREDIT(B432,C432)</f>
        <v>Reject</v>
      </c>
      <c r="E432" t="str">
        <f t="shared" si="12"/>
        <v>N/A</v>
      </c>
      <c r="F432" t="str">
        <f t="shared" si="13"/>
        <v>Reject</v>
      </c>
    </row>
    <row r="433" spans="1:6" x14ac:dyDescent="0.25">
      <c r="A433" t="str">
        <f>SCORING_ENGINE!A433</f>
        <v>APP432</v>
      </c>
      <c r="B433" t="str">
        <f>SCORING_ENGINE!H433</f>
        <v>INELIGIBLE</v>
      </c>
      <c r="C433">
        <f>SCORING_ENGINE!S433</f>
        <v>65</v>
      </c>
      <c r="D433" t="str" cm="1">
        <f t="array" ref="D433">CLASSIFY_CREDIT(B433,C433)</f>
        <v>Reject</v>
      </c>
      <c r="E433" t="str">
        <f t="shared" si="12"/>
        <v>N/A</v>
      </c>
      <c r="F433" t="str">
        <f t="shared" si="13"/>
        <v>Reject</v>
      </c>
    </row>
    <row r="434" spans="1:6" x14ac:dyDescent="0.25">
      <c r="A434" t="str">
        <f>SCORING_ENGINE!A434</f>
        <v>APP433</v>
      </c>
      <c r="B434" t="str">
        <f>SCORING_ENGINE!H434</f>
        <v>ELIGIBLE</v>
      </c>
      <c r="C434">
        <f>SCORING_ENGINE!S434</f>
        <v>72</v>
      </c>
      <c r="D434" t="str" cm="1">
        <f t="array" ref="D434">CLASSIFY_CREDIT(B434,C434)</f>
        <v>Approve</v>
      </c>
      <c r="E434" t="str">
        <f t="shared" si="12"/>
        <v>High</v>
      </c>
      <c r="F434" t="str">
        <f t="shared" si="13"/>
        <v>Approve</v>
      </c>
    </row>
    <row r="435" spans="1:6" x14ac:dyDescent="0.25">
      <c r="A435" t="str">
        <f>SCORING_ENGINE!A435</f>
        <v>APP434</v>
      </c>
      <c r="B435" t="str">
        <f>SCORING_ENGINE!H435</f>
        <v>INELIGIBLE</v>
      </c>
      <c r="C435">
        <f>SCORING_ENGINE!S435</f>
        <v>38</v>
      </c>
      <c r="D435" t="str" cm="1">
        <f t="array" ref="D435">CLASSIFY_CREDIT(B435,C435)</f>
        <v>Reject</v>
      </c>
      <c r="E435" t="str">
        <f t="shared" si="12"/>
        <v>N/A</v>
      </c>
      <c r="F435" t="str">
        <f t="shared" si="13"/>
        <v>Reject</v>
      </c>
    </row>
    <row r="436" spans="1:6" x14ac:dyDescent="0.25">
      <c r="A436" t="str">
        <f>SCORING_ENGINE!A436</f>
        <v>APP435</v>
      </c>
      <c r="B436" t="str">
        <f>SCORING_ENGINE!H436</f>
        <v>INELIGIBLE</v>
      </c>
      <c r="C436">
        <f>SCORING_ENGINE!S436</f>
        <v>75</v>
      </c>
      <c r="D436" t="str" cm="1">
        <f t="array" ref="D436">CLASSIFY_CREDIT(B436,C436)</f>
        <v>Reject</v>
      </c>
      <c r="E436" t="str">
        <f t="shared" si="12"/>
        <v>N/A</v>
      </c>
      <c r="F436" t="str">
        <f t="shared" si="13"/>
        <v>Reject</v>
      </c>
    </row>
    <row r="437" spans="1:6" x14ac:dyDescent="0.25">
      <c r="A437" t="str">
        <f>SCORING_ENGINE!A437</f>
        <v>APP436</v>
      </c>
      <c r="B437" t="str">
        <f>SCORING_ENGINE!H437</f>
        <v>INELIGIBLE</v>
      </c>
      <c r="C437">
        <f>SCORING_ENGINE!S437</f>
        <v>70</v>
      </c>
      <c r="D437" t="str" cm="1">
        <f t="array" ref="D437">CLASSIFY_CREDIT(B437,C437)</f>
        <v>Reject</v>
      </c>
      <c r="E437" t="str">
        <f t="shared" si="12"/>
        <v>N/A</v>
      </c>
      <c r="F437" t="str">
        <f t="shared" si="13"/>
        <v>Reject</v>
      </c>
    </row>
    <row r="438" spans="1:6" x14ac:dyDescent="0.25">
      <c r="A438" t="str">
        <f>SCORING_ENGINE!A438</f>
        <v>APP437</v>
      </c>
      <c r="B438" t="str">
        <f>SCORING_ENGINE!H438</f>
        <v>INELIGIBLE</v>
      </c>
      <c r="C438">
        <f>SCORING_ENGINE!S438</f>
        <v>59</v>
      </c>
      <c r="D438" t="str" cm="1">
        <f t="array" ref="D438">CLASSIFY_CREDIT(B438,C438)</f>
        <v>Reject</v>
      </c>
      <c r="E438" t="str">
        <f t="shared" si="12"/>
        <v>N/A</v>
      </c>
      <c r="F438" t="str">
        <f t="shared" si="13"/>
        <v>Reject</v>
      </c>
    </row>
    <row r="439" spans="1:6" x14ac:dyDescent="0.25">
      <c r="A439" t="str">
        <f>SCORING_ENGINE!A439</f>
        <v>APP438</v>
      </c>
      <c r="B439" t="str">
        <f>SCORING_ENGINE!H439</f>
        <v>INELIGIBLE</v>
      </c>
      <c r="C439">
        <f>SCORING_ENGINE!S439</f>
        <v>57</v>
      </c>
      <c r="D439" t="str" cm="1">
        <f t="array" ref="D439">CLASSIFY_CREDIT(B439,C439)</f>
        <v>Reject</v>
      </c>
      <c r="E439" t="str">
        <f t="shared" si="12"/>
        <v>N/A</v>
      </c>
      <c r="F439" t="str">
        <f t="shared" si="13"/>
        <v>Reject</v>
      </c>
    </row>
    <row r="440" spans="1:6" x14ac:dyDescent="0.25">
      <c r="A440" t="str">
        <f>SCORING_ENGINE!A440</f>
        <v>APP439</v>
      </c>
      <c r="B440" t="str">
        <f>SCORING_ENGINE!H440</f>
        <v>ELIGIBLE</v>
      </c>
      <c r="C440">
        <f>SCORING_ENGINE!S440</f>
        <v>80</v>
      </c>
      <c r="D440" t="str" cm="1">
        <f t="array" ref="D440">CLASSIFY_CREDIT(B440,C440)</f>
        <v>Approve</v>
      </c>
      <c r="E440" t="str">
        <f t="shared" si="12"/>
        <v>High</v>
      </c>
      <c r="F440" t="str">
        <f t="shared" si="13"/>
        <v>Approve</v>
      </c>
    </row>
    <row r="441" spans="1:6" x14ac:dyDescent="0.25">
      <c r="A441" t="str">
        <f>SCORING_ENGINE!A441</f>
        <v>APP440</v>
      </c>
      <c r="B441" t="str">
        <f>SCORING_ENGINE!H441</f>
        <v>INELIGIBLE</v>
      </c>
      <c r="C441">
        <f>SCORING_ENGINE!S441</f>
        <v>68</v>
      </c>
      <c r="D441" t="str" cm="1">
        <f t="array" ref="D441">CLASSIFY_CREDIT(B441,C441)</f>
        <v>Reject</v>
      </c>
      <c r="E441" t="str">
        <f t="shared" si="12"/>
        <v>N/A</v>
      </c>
      <c r="F441" t="str">
        <f t="shared" si="13"/>
        <v>Reject</v>
      </c>
    </row>
    <row r="442" spans="1:6" x14ac:dyDescent="0.25">
      <c r="A442" t="str">
        <f>SCORING_ENGINE!A442</f>
        <v>APP441</v>
      </c>
      <c r="B442" t="str">
        <f>SCORING_ENGINE!H442</f>
        <v>INELIGIBLE</v>
      </c>
      <c r="C442">
        <f>SCORING_ENGINE!S442</f>
        <v>56</v>
      </c>
      <c r="D442" t="str" cm="1">
        <f t="array" ref="D442">CLASSIFY_CREDIT(B442,C442)</f>
        <v>Reject</v>
      </c>
      <c r="E442" t="str">
        <f t="shared" si="12"/>
        <v>N/A</v>
      </c>
      <c r="F442" t="str">
        <f t="shared" si="13"/>
        <v>Reject</v>
      </c>
    </row>
    <row r="443" spans="1:6" x14ac:dyDescent="0.25">
      <c r="A443" t="str">
        <f>SCORING_ENGINE!A443</f>
        <v>APP442</v>
      </c>
      <c r="B443" t="str">
        <f>SCORING_ENGINE!H443</f>
        <v>ELIGIBLE</v>
      </c>
      <c r="C443">
        <f>SCORING_ENGINE!S443</f>
        <v>69</v>
      </c>
      <c r="D443" t="str" cm="1">
        <f t="array" ref="D443">CLASSIFY_CREDIT(B443,C443)</f>
        <v>Review</v>
      </c>
      <c r="E443" t="str">
        <f t="shared" si="12"/>
        <v>Medium</v>
      </c>
      <c r="F443" t="str">
        <f t="shared" si="13"/>
        <v>Review</v>
      </c>
    </row>
    <row r="444" spans="1:6" x14ac:dyDescent="0.25">
      <c r="A444" t="str">
        <f>SCORING_ENGINE!A444</f>
        <v>APP443</v>
      </c>
      <c r="B444" t="str">
        <f>SCORING_ENGINE!H444</f>
        <v>INELIGIBLE</v>
      </c>
      <c r="C444">
        <f>SCORING_ENGINE!S444</f>
        <v>61</v>
      </c>
      <c r="D444" t="str" cm="1">
        <f t="array" ref="D444">CLASSIFY_CREDIT(B444,C444)</f>
        <v>Reject</v>
      </c>
      <c r="E444" t="str">
        <f t="shared" si="12"/>
        <v>N/A</v>
      </c>
      <c r="F444" t="str">
        <f t="shared" si="13"/>
        <v>Reject</v>
      </c>
    </row>
    <row r="445" spans="1:6" x14ac:dyDescent="0.25">
      <c r="A445" t="str">
        <f>SCORING_ENGINE!A445</f>
        <v>APP444</v>
      </c>
      <c r="B445" t="str">
        <f>SCORING_ENGINE!H445</f>
        <v>ELIGIBLE</v>
      </c>
      <c r="C445">
        <f>SCORING_ENGINE!S445</f>
        <v>85</v>
      </c>
      <c r="D445" t="str" cm="1">
        <f t="array" ref="D445">CLASSIFY_CREDIT(B445,C445)</f>
        <v>Approve</v>
      </c>
      <c r="E445" t="str">
        <f t="shared" si="12"/>
        <v>High</v>
      </c>
      <c r="F445" t="str">
        <f t="shared" si="13"/>
        <v>Approve</v>
      </c>
    </row>
    <row r="446" spans="1:6" x14ac:dyDescent="0.25">
      <c r="A446" t="str">
        <f>SCORING_ENGINE!A446</f>
        <v>APP445</v>
      </c>
      <c r="B446" t="str">
        <f>SCORING_ENGINE!H446</f>
        <v>ELIGIBLE</v>
      </c>
      <c r="C446">
        <f>SCORING_ENGINE!S446</f>
        <v>88</v>
      </c>
      <c r="D446" t="str" cm="1">
        <f t="array" ref="D446">CLASSIFY_CREDIT(B446,C446)</f>
        <v>Approve</v>
      </c>
      <c r="E446" t="str">
        <f t="shared" si="12"/>
        <v>High</v>
      </c>
      <c r="F446" t="str">
        <f t="shared" si="13"/>
        <v>Approve</v>
      </c>
    </row>
    <row r="447" spans="1:6" x14ac:dyDescent="0.25">
      <c r="A447" t="str">
        <f>SCORING_ENGINE!A447</f>
        <v>APP446</v>
      </c>
      <c r="B447" t="str">
        <f>SCORING_ENGINE!H447</f>
        <v>INELIGIBLE</v>
      </c>
      <c r="C447">
        <f>SCORING_ENGINE!S447</f>
        <v>35</v>
      </c>
      <c r="D447" t="str" cm="1">
        <f t="array" ref="D447">CLASSIFY_CREDIT(B447,C447)</f>
        <v>Reject</v>
      </c>
      <c r="E447" t="str">
        <f t="shared" si="12"/>
        <v>N/A</v>
      </c>
      <c r="F447" t="str">
        <f t="shared" si="13"/>
        <v>Reject</v>
      </c>
    </row>
    <row r="448" spans="1:6" x14ac:dyDescent="0.25">
      <c r="A448" t="str">
        <f>SCORING_ENGINE!A448</f>
        <v>APP447</v>
      </c>
      <c r="B448" t="str">
        <f>SCORING_ENGINE!H448</f>
        <v>ELIGIBLE</v>
      </c>
      <c r="C448">
        <f>SCORING_ENGINE!S448</f>
        <v>84</v>
      </c>
      <c r="D448" t="str" cm="1">
        <f t="array" ref="D448">CLASSIFY_CREDIT(B448,C448)</f>
        <v>Approve</v>
      </c>
      <c r="E448" t="str">
        <f t="shared" si="12"/>
        <v>High</v>
      </c>
      <c r="F448" t="str">
        <f t="shared" si="13"/>
        <v>Approve</v>
      </c>
    </row>
    <row r="449" spans="1:6" x14ac:dyDescent="0.25">
      <c r="A449" t="str">
        <f>SCORING_ENGINE!A449</f>
        <v>APP448</v>
      </c>
      <c r="B449" t="str">
        <f>SCORING_ENGINE!H449</f>
        <v>ELIGIBLE</v>
      </c>
      <c r="C449">
        <f>SCORING_ENGINE!S449</f>
        <v>40</v>
      </c>
      <c r="D449" t="str" cm="1">
        <f t="array" ref="D449">CLASSIFY_CREDIT(B449,C449)</f>
        <v>Reject</v>
      </c>
      <c r="E449" t="str">
        <f t="shared" si="12"/>
        <v>Low</v>
      </c>
      <c r="F449" t="str">
        <f t="shared" si="13"/>
        <v>Reject</v>
      </c>
    </row>
    <row r="450" spans="1:6" x14ac:dyDescent="0.25">
      <c r="A450" t="str">
        <f>SCORING_ENGINE!A450</f>
        <v>APP449</v>
      </c>
      <c r="B450" t="str">
        <f>SCORING_ENGINE!H450</f>
        <v>INELIGIBLE</v>
      </c>
      <c r="C450">
        <f>SCORING_ENGINE!S450</f>
        <v>62</v>
      </c>
      <c r="D450" t="str" cm="1">
        <f t="array" ref="D450">CLASSIFY_CREDIT(B450,C450)</f>
        <v>Reject</v>
      </c>
      <c r="E450" t="str">
        <f t="shared" si="12"/>
        <v>N/A</v>
      </c>
      <c r="F450" t="str">
        <f t="shared" si="13"/>
        <v>Reject</v>
      </c>
    </row>
    <row r="451" spans="1:6" x14ac:dyDescent="0.25">
      <c r="A451" t="str">
        <f>SCORING_ENGINE!A451</f>
        <v>APP450</v>
      </c>
      <c r="B451" t="str">
        <f>SCORING_ENGINE!H451</f>
        <v>INELIGIBLE</v>
      </c>
      <c r="C451">
        <f>SCORING_ENGINE!S451</f>
        <v>57</v>
      </c>
      <c r="D451" t="str" cm="1">
        <f t="array" ref="D451">CLASSIFY_CREDIT(B451,C451)</f>
        <v>Reject</v>
      </c>
      <c r="E451" t="str">
        <f t="shared" ref="E451:E501" si="14">IF(B451="INELIGIBLE","N/A",IF(C451&gt;=70,"High",IF(C451&gt;=50,"Medium","Low")))</f>
        <v>N/A</v>
      </c>
      <c r="F451" t="str">
        <f t="shared" ref="F451:F501" si="15">D451</f>
        <v>Reject</v>
      </c>
    </row>
    <row r="452" spans="1:6" x14ac:dyDescent="0.25">
      <c r="A452" t="str">
        <f>SCORING_ENGINE!A452</f>
        <v>APP451</v>
      </c>
      <c r="B452" t="str">
        <f>SCORING_ENGINE!H452</f>
        <v>INELIGIBLE</v>
      </c>
      <c r="C452">
        <f>SCORING_ENGINE!S452</f>
        <v>71</v>
      </c>
      <c r="D452" t="str" cm="1">
        <f t="array" ref="D452">CLASSIFY_CREDIT(B452,C452)</f>
        <v>Reject</v>
      </c>
      <c r="E452" t="str">
        <f t="shared" si="14"/>
        <v>N/A</v>
      </c>
      <c r="F452" t="str">
        <f t="shared" si="15"/>
        <v>Reject</v>
      </c>
    </row>
    <row r="453" spans="1:6" x14ac:dyDescent="0.25">
      <c r="A453" t="str">
        <f>SCORING_ENGINE!A453</f>
        <v>APP452</v>
      </c>
      <c r="B453" t="str">
        <f>SCORING_ENGINE!H453</f>
        <v>INELIGIBLE</v>
      </c>
      <c r="C453">
        <f>SCORING_ENGINE!S453</f>
        <v>64</v>
      </c>
      <c r="D453" t="str" cm="1">
        <f t="array" ref="D453">CLASSIFY_CREDIT(B453,C453)</f>
        <v>Reject</v>
      </c>
      <c r="E453" t="str">
        <f t="shared" si="14"/>
        <v>N/A</v>
      </c>
      <c r="F453" t="str">
        <f t="shared" si="15"/>
        <v>Reject</v>
      </c>
    </row>
    <row r="454" spans="1:6" x14ac:dyDescent="0.25">
      <c r="A454" t="str">
        <f>SCORING_ENGINE!A454</f>
        <v>APP453</v>
      </c>
      <c r="B454" t="str">
        <f>SCORING_ENGINE!H454</f>
        <v>ELIGIBLE</v>
      </c>
      <c r="C454">
        <f>SCORING_ENGINE!S454</f>
        <v>93</v>
      </c>
      <c r="D454" t="str" cm="1">
        <f t="array" ref="D454">CLASSIFY_CREDIT(B454,C454)</f>
        <v>Approve</v>
      </c>
      <c r="E454" t="str">
        <f t="shared" si="14"/>
        <v>High</v>
      </c>
      <c r="F454" t="str">
        <f t="shared" si="15"/>
        <v>Approve</v>
      </c>
    </row>
    <row r="455" spans="1:6" x14ac:dyDescent="0.25">
      <c r="A455" t="str">
        <f>SCORING_ENGINE!A455</f>
        <v>APP454</v>
      </c>
      <c r="B455" t="str">
        <f>SCORING_ENGINE!H455</f>
        <v>ELIGIBLE</v>
      </c>
      <c r="C455">
        <f>SCORING_ENGINE!S455</f>
        <v>91</v>
      </c>
      <c r="D455" t="str" cm="1">
        <f t="array" ref="D455">CLASSIFY_CREDIT(B455,C455)</f>
        <v>Approve</v>
      </c>
      <c r="E455" t="str">
        <f t="shared" si="14"/>
        <v>High</v>
      </c>
      <c r="F455" t="str">
        <f t="shared" si="15"/>
        <v>Approve</v>
      </c>
    </row>
    <row r="456" spans="1:6" x14ac:dyDescent="0.25">
      <c r="A456" t="str">
        <f>SCORING_ENGINE!A456</f>
        <v>APP455</v>
      </c>
      <c r="B456" t="str">
        <f>SCORING_ENGINE!H456</f>
        <v>ELIGIBLE</v>
      </c>
      <c r="C456">
        <f>SCORING_ENGINE!S456</f>
        <v>75</v>
      </c>
      <c r="D456" t="str" cm="1">
        <f t="array" ref="D456">CLASSIFY_CREDIT(B456,C456)</f>
        <v>Approve</v>
      </c>
      <c r="E456" t="str">
        <f t="shared" si="14"/>
        <v>High</v>
      </c>
      <c r="F456" t="str">
        <f t="shared" si="15"/>
        <v>Approve</v>
      </c>
    </row>
    <row r="457" spans="1:6" x14ac:dyDescent="0.25">
      <c r="A457" t="str">
        <f>SCORING_ENGINE!A457</f>
        <v>APP456</v>
      </c>
      <c r="B457" t="str">
        <f>SCORING_ENGINE!H457</f>
        <v>INELIGIBLE</v>
      </c>
      <c r="C457">
        <f>SCORING_ENGINE!S457</f>
        <v>64</v>
      </c>
      <c r="D457" t="str" cm="1">
        <f t="array" ref="D457">CLASSIFY_CREDIT(B457,C457)</f>
        <v>Reject</v>
      </c>
      <c r="E457" t="str">
        <f t="shared" si="14"/>
        <v>N/A</v>
      </c>
      <c r="F457" t="str">
        <f t="shared" si="15"/>
        <v>Reject</v>
      </c>
    </row>
    <row r="458" spans="1:6" x14ac:dyDescent="0.25">
      <c r="A458" t="str">
        <f>SCORING_ENGINE!A458</f>
        <v>APP457</v>
      </c>
      <c r="B458" t="str">
        <f>SCORING_ENGINE!H458</f>
        <v>INELIGIBLE</v>
      </c>
      <c r="C458">
        <f>SCORING_ENGINE!S458</f>
        <v>65</v>
      </c>
      <c r="D458" t="str" cm="1">
        <f t="array" ref="D458">CLASSIFY_CREDIT(B458,C458)</f>
        <v>Reject</v>
      </c>
      <c r="E458" t="str">
        <f t="shared" si="14"/>
        <v>N/A</v>
      </c>
      <c r="F458" t="str">
        <f t="shared" si="15"/>
        <v>Reject</v>
      </c>
    </row>
    <row r="459" spans="1:6" x14ac:dyDescent="0.25">
      <c r="A459" t="str">
        <f>SCORING_ENGINE!A459</f>
        <v>APP458</v>
      </c>
      <c r="B459" t="str">
        <f>SCORING_ENGINE!H459</f>
        <v>ELIGIBLE</v>
      </c>
      <c r="C459">
        <f>SCORING_ENGINE!S459</f>
        <v>75</v>
      </c>
      <c r="D459" t="str" cm="1">
        <f t="array" ref="D459">CLASSIFY_CREDIT(B459,C459)</f>
        <v>Approve</v>
      </c>
      <c r="E459" t="str">
        <f t="shared" si="14"/>
        <v>High</v>
      </c>
      <c r="F459" t="str">
        <f t="shared" si="15"/>
        <v>Approve</v>
      </c>
    </row>
    <row r="460" spans="1:6" x14ac:dyDescent="0.25">
      <c r="A460" t="str">
        <f>SCORING_ENGINE!A460</f>
        <v>APP459</v>
      </c>
      <c r="B460" t="str">
        <f>SCORING_ENGINE!H460</f>
        <v>INELIGIBLE</v>
      </c>
      <c r="C460">
        <f>SCORING_ENGINE!S460</f>
        <v>70</v>
      </c>
      <c r="D460" t="str" cm="1">
        <f t="array" ref="D460">CLASSIFY_CREDIT(B460,C460)</f>
        <v>Reject</v>
      </c>
      <c r="E460" t="str">
        <f t="shared" si="14"/>
        <v>N/A</v>
      </c>
      <c r="F460" t="str">
        <f t="shared" si="15"/>
        <v>Reject</v>
      </c>
    </row>
    <row r="461" spans="1:6" x14ac:dyDescent="0.25">
      <c r="A461" t="str">
        <f>SCORING_ENGINE!A461</f>
        <v>APP460</v>
      </c>
      <c r="B461" t="str">
        <f>SCORING_ENGINE!H461</f>
        <v>INELIGIBLE</v>
      </c>
      <c r="C461">
        <f>SCORING_ENGINE!S461</f>
        <v>65</v>
      </c>
      <c r="D461" t="str" cm="1">
        <f t="array" ref="D461">CLASSIFY_CREDIT(B461,C461)</f>
        <v>Reject</v>
      </c>
      <c r="E461" t="str">
        <f t="shared" si="14"/>
        <v>N/A</v>
      </c>
      <c r="F461" t="str">
        <f t="shared" si="15"/>
        <v>Reject</v>
      </c>
    </row>
    <row r="462" spans="1:6" x14ac:dyDescent="0.25">
      <c r="A462" t="str">
        <f>SCORING_ENGINE!A462</f>
        <v>APP461</v>
      </c>
      <c r="B462" t="str">
        <f>SCORING_ENGINE!H462</f>
        <v>INELIGIBLE</v>
      </c>
      <c r="C462">
        <f>SCORING_ENGINE!S462</f>
        <v>60</v>
      </c>
      <c r="D462" t="str" cm="1">
        <f t="array" ref="D462">CLASSIFY_CREDIT(B462,C462)</f>
        <v>Reject</v>
      </c>
      <c r="E462" t="str">
        <f t="shared" si="14"/>
        <v>N/A</v>
      </c>
      <c r="F462" t="str">
        <f t="shared" si="15"/>
        <v>Reject</v>
      </c>
    </row>
    <row r="463" spans="1:6" x14ac:dyDescent="0.25">
      <c r="A463" t="str">
        <f>SCORING_ENGINE!A463</f>
        <v>APP462</v>
      </c>
      <c r="B463" t="str">
        <f>SCORING_ENGINE!H463</f>
        <v>INELIGIBLE</v>
      </c>
      <c r="C463">
        <f>SCORING_ENGINE!S463</f>
        <v>70</v>
      </c>
      <c r="D463" t="str" cm="1">
        <f t="array" ref="D463">CLASSIFY_CREDIT(B463,C463)</f>
        <v>Reject</v>
      </c>
      <c r="E463" t="str">
        <f t="shared" si="14"/>
        <v>N/A</v>
      </c>
      <c r="F463" t="str">
        <f t="shared" si="15"/>
        <v>Reject</v>
      </c>
    </row>
    <row r="464" spans="1:6" x14ac:dyDescent="0.25">
      <c r="A464" t="str">
        <f>SCORING_ENGINE!A464</f>
        <v>APP463</v>
      </c>
      <c r="B464" t="str">
        <f>SCORING_ENGINE!H464</f>
        <v>ELIGIBLE</v>
      </c>
      <c r="C464">
        <f>SCORING_ENGINE!S464</f>
        <v>93</v>
      </c>
      <c r="D464" t="str" cm="1">
        <f t="array" ref="D464">CLASSIFY_CREDIT(B464,C464)</f>
        <v>Approve</v>
      </c>
      <c r="E464" t="str">
        <f t="shared" si="14"/>
        <v>High</v>
      </c>
      <c r="F464" t="str">
        <f t="shared" si="15"/>
        <v>Approve</v>
      </c>
    </row>
    <row r="465" spans="1:6" x14ac:dyDescent="0.25">
      <c r="A465" t="str">
        <f>SCORING_ENGINE!A465</f>
        <v>APP464</v>
      </c>
      <c r="B465" t="str">
        <f>SCORING_ENGINE!H465</f>
        <v>INELIGIBLE</v>
      </c>
      <c r="C465">
        <f>SCORING_ENGINE!S465</f>
        <v>68</v>
      </c>
      <c r="D465" t="str" cm="1">
        <f t="array" ref="D465">CLASSIFY_CREDIT(B465,C465)</f>
        <v>Reject</v>
      </c>
      <c r="E465" t="str">
        <f t="shared" si="14"/>
        <v>N/A</v>
      </c>
      <c r="F465" t="str">
        <f t="shared" si="15"/>
        <v>Reject</v>
      </c>
    </row>
    <row r="466" spans="1:6" x14ac:dyDescent="0.25">
      <c r="A466" t="str">
        <f>SCORING_ENGINE!A466</f>
        <v>APP465</v>
      </c>
      <c r="B466" t="str">
        <f>SCORING_ENGINE!H466</f>
        <v>INELIGIBLE</v>
      </c>
      <c r="C466">
        <f>SCORING_ENGINE!S466</f>
        <v>68</v>
      </c>
      <c r="D466" t="str" cm="1">
        <f t="array" ref="D466">CLASSIFY_CREDIT(B466,C466)</f>
        <v>Reject</v>
      </c>
      <c r="E466" t="str">
        <f t="shared" si="14"/>
        <v>N/A</v>
      </c>
      <c r="F466" t="str">
        <f t="shared" si="15"/>
        <v>Reject</v>
      </c>
    </row>
    <row r="467" spans="1:6" x14ac:dyDescent="0.25">
      <c r="A467" t="str">
        <f>SCORING_ENGINE!A467</f>
        <v>APP466</v>
      </c>
      <c r="B467" t="str">
        <f>SCORING_ENGINE!H467</f>
        <v>ELIGIBLE</v>
      </c>
      <c r="C467">
        <f>SCORING_ENGINE!S467</f>
        <v>76</v>
      </c>
      <c r="D467" t="str" cm="1">
        <f t="array" ref="D467">CLASSIFY_CREDIT(B467,C467)</f>
        <v>Approve</v>
      </c>
      <c r="E467" t="str">
        <f t="shared" si="14"/>
        <v>High</v>
      </c>
      <c r="F467" t="str">
        <f t="shared" si="15"/>
        <v>Approve</v>
      </c>
    </row>
    <row r="468" spans="1:6" x14ac:dyDescent="0.25">
      <c r="A468" t="str">
        <f>SCORING_ENGINE!A468</f>
        <v>APP467</v>
      </c>
      <c r="B468" t="str">
        <f>SCORING_ENGINE!H468</f>
        <v>INELIGIBLE</v>
      </c>
      <c r="C468">
        <f>SCORING_ENGINE!S468</f>
        <v>50</v>
      </c>
      <c r="D468" t="str" cm="1">
        <f t="array" ref="D468">CLASSIFY_CREDIT(B468,C468)</f>
        <v>Reject</v>
      </c>
      <c r="E468" t="str">
        <f t="shared" si="14"/>
        <v>N/A</v>
      </c>
      <c r="F468" t="str">
        <f t="shared" si="15"/>
        <v>Reject</v>
      </c>
    </row>
    <row r="469" spans="1:6" x14ac:dyDescent="0.25">
      <c r="A469" t="str">
        <f>SCORING_ENGINE!A469</f>
        <v>APP468</v>
      </c>
      <c r="B469" t="str">
        <f>SCORING_ENGINE!H469</f>
        <v>ELIGIBLE</v>
      </c>
      <c r="C469">
        <f>SCORING_ENGINE!S469</f>
        <v>88</v>
      </c>
      <c r="D469" t="str" cm="1">
        <f t="array" ref="D469">CLASSIFY_CREDIT(B469,C469)</f>
        <v>Approve</v>
      </c>
      <c r="E469" t="str">
        <f t="shared" si="14"/>
        <v>High</v>
      </c>
      <c r="F469" t="str">
        <f t="shared" si="15"/>
        <v>Approve</v>
      </c>
    </row>
    <row r="470" spans="1:6" x14ac:dyDescent="0.25">
      <c r="A470" t="str">
        <f>SCORING_ENGINE!A470</f>
        <v>APP469</v>
      </c>
      <c r="B470" t="str">
        <f>SCORING_ENGINE!H470</f>
        <v>INELIGIBLE</v>
      </c>
      <c r="C470">
        <f>SCORING_ENGINE!S470</f>
        <v>63</v>
      </c>
      <c r="D470" t="str" cm="1">
        <f t="array" ref="D470">CLASSIFY_CREDIT(B470,C470)</f>
        <v>Reject</v>
      </c>
      <c r="E470" t="str">
        <f t="shared" si="14"/>
        <v>N/A</v>
      </c>
      <c r="F470" t="str">
        <f t="shared" si="15"/>
        <v>Reject</v>
      </c>
    </row>
    <row r="471" spans="1:6" x14ac:dyDescent="0.25">
      <c r="A471" t="str">
        <f>SCORING_ENGINE!A471</f>
        <v>APP470</v>
      </c>
      <c r="B471" t="str">
        <f>SCORING_ENGINE!H471</f>
        <v>INELIGIBLE</v>
      </c>
      <c r="C471">
        <f>SCORING_ENGINE!S471</f>
        <v>45</v>
      </c>
      <c r="D471" t="str" cm="1">
        <f t="array" ref="D471">CLASSIFY_CREDIT(B471,C471)</f>
        <v>Reject</v>
      </c>
      <c r="E471" t="str">
        <f t="shared" si="14"/>
        <v>N/A</v>
      </c>
      <c r="F471" t="str">
        <f t="shared" si="15"/>
        <v>Reject</v>
      </c>
    </row>
    <row r="472" spans="1:6" x14ac:dyDescent="0.25">
      <c r="A472" t="str">
        <f>SCORING_ENGINE!A472</f>
        <v>APP471</v>
      </c>
      <c r="B472" t="str">
        <f>SCORING_ENGINE!H472</f>
        <v>INELIGIBLE</v>
      </c>
      <c r="C472">
        <f>SCORING_ENGINE!S472</f>
        <v>57</v>
      </c>
      <c r="D472" t="str" cm="1">
        <f t="array" ref="D472">CLASSIFY_CREDIT(B472,C472)</f>
        <v>Reject</v>
      </c>
      <c r="E472" t="str">
        <f t="shared" si="14"/>
        <v>N/A</v>
      </c>
      <c r="F472" t="str">
        <f t="shared" si="15"/>
        <v>Reject</v>
      </c>
    </row>
    <row r="473" spans="1:6" x14ac:dyDescent="0.25">
      <c r="A473" t="str">
        <f>SCORING_ENGINE!A473</f>
        <v>APP472</v>
      </c>
      <c r="B473" t="str">
        <f>SCORING_ENGINE!H473</f>
        <v>INELIGIBLE</v>
      </c>
      <c r="C473">
        <f>SCORING_ENGINE!S473</f>
        <v>70</v>
      </c>
      <c r="D473" t="str" cm="1">
        <f t="array" ref="D473">CLASSIFY_CREDIT(B473,C473)</f>
        <v>Reject</v>
      </c>
      <c r="E473" t="str">
        <f t="shared" si="14"/>
        <v>N/A</v>
      </c>
      <c r="F473" t="str">
        <f t="shared" si="15"/>
        <v>Reject</v>
      </c>
    </row>
    <row r="474" spans="1:6" x14ac:dyDescent="0.25">
      <c r="A474" t="str">
        <f>SCORING_ENGINE!A474</f>
        <v>APP473</v>
      </c>
      <c r="B474" t="str">
        <f>SCORING_ENGINE!H474</f>
        <v>INELIGIBLE</v>
      </c>
      <c r="C474">
        <f>SCORING_ENGINE!S474</f>
        <v>62</v>
      </c>
      <c r="D474" t="str" cm="1">
        <f t="array" ref="D474">CLASSIFY_CREDIT(B474,C474)</f>
        <v>Reject</v>
      </c>
      <c r="E474" t="str">
        <f t="shared" si="14"/>
        <v>N/A</v>
      </c>
      <c r="F474" t="str">
        <f t="shared" si="15"/>
        <v>Reject</v>
      </c>
    </row>
    <row r="475" spans="1:6" x14ac:dyDescent="0.25">
      <c r="A475" t="str">
        <f>SCORING_ENGINE!A475</f>
        <v>APP474</v>
      </c>
      <c r="B475" t="str">
        <f>SCORING_ENGINE!H475</f>
        <v>INELIGIBLE</v>
      </c>
      <c r="C475">
        <f>SCORING_ENGINE!S475</f>
        <v>71</v>
      </c>
      <c r="D475" t="str" cm="1">
        <f t="array" ref="D475">CLASSIFY_CREDIT(B475,C475)</f>
        <v>Reject</v>
      </c>
      <c r="E475" t="str">
        <f t="shared" si="14"/>
        <v>N/A</v>
      </c>
      <c r="F475" t="str">
        <f t="shared" si="15"/>
        <v>Reject</v>
      </c>
    </row>
    <row r="476" spans="1:6" x14ac:dyDescent="0.25">
      <c r="A476" t="str">
        <f>SCORING_ENGINE!A476</f>
        <v>APP475</v>
      </c>
      <c r="B476" t="str">
        <f>SCORING_ENGINE!H476</f>
        <v>INELIGIBLE</v>
      </c>
      <c r="C476">
        <f>SCORING_ENGINE!S476</f>
        <v>63</v>
      </c>
      <c r="D476" t="str" cm="1">
        <f t="array" ref="D476">CLASSIFY_CREDIT(B476,C476)</f>
        <v>Reject</v>
      </c>
      <c r="E476" t="str">
        <f t="shared" si="14"/>
        <v>N/A</v>
      </c>
      <c r="F476" t="str">
        <f t="shared" si="15"/>
        <v>Reject</v>
      </c>
    </row>
    <row r="477" spans="1:6" x14ac:dyDescent="0.25">
      <c r="A477" t="str">
        <f>SCORING_ENGINE!A477</f>
        <v>APP476</v>
      </c>
      <c r="B477" t="str">
        <f>SCORING_ENGINE!H477</f>
        <v>INELIGIBLE</v>
      </c>
      <c r="C477">
        <f>SCORING_ENGINE!S477</f>
        <v>71</v>
      </c>
      <c r="D477" t="str" cm="1">
        <f t="array" ref="D477">CLASSIFY_CREDIT(B477,C477)</f>
        <v>Reject</v>
      </c>
      <c r="E477" t="str">
        <f t="shared" si="14"/>
        <v>N/A</v>
      </c>
      <c r="F477" t="str">
        <f t="shared" si="15"/>
        <v>Reject</v>
      </c>
    </row>
    <row r="478" spans="1:6" x14ac:dyDescent="0.25">
      <c r="A478" t="str">
        <f>SCORING_ENGINE!A478</f>
        <v>APP477</v>
      </c>
      <c r="B478" t="str">
        <f>SCORING_ENGINE!H478</f>
        <v>ELIGIBLE</v>
      </c>
      <c r="C478">
        <f>SCORING_ENGINE!S478</f>
        <v>82</v>
      </c>
      <c r="D478" t="str" cm="1">
        <f t="array" ref="D478">CLASSIFY_CREDIT(B478,C478)</f>
        <v>Approve</v>
      </c>
      <c r="E478" t="str">
        <f t="shared" si="14"/>
        <v>High</v>
      </c>
      <c r="F478" t="str">
        <f t="shared" si="15"/>
        <v>Approve</v>
      </c>
    </row>
    <row r="479" spans="1:6" x14ac:dyDescent="0.25">
      <c r="A479" t="str">
        <f>SCORING_ENGINE!A479</f>
        <v>APP478</v>
      </c>
      <c r="B479" t="str">
        <f>SCORING_ENGINE!H479</f>
        <v>INELIGIBLE</v>
      </c>
      <c r="C479">
        <f>SCORING_ENGINE!S479</f>
        <v>31</v>
      </c>
      <c r="D479" t="str" cm="1">
        <f t="array" ref="D479">CLASSIFY_CREDIT(B479,C479)</f>
        <v>Reject</v>
      </c>
      <c r="E479" t="str">
        <f t="shared" si="14"/>
        <v>N/A</v>
      </c>
      <c r="F479" t="str">
        <f t="shared" si="15"/>
        <v>Reject</v>
      </c>
    </row>
    <row r="480" spans="1:6" x14ac:dyDescent="0.25">
      <c r="A480" t="str">
        <f>SCORING_ENGINE!A480</f>
        <v>APP479</v>
      </c>
      <c r="B480" t="str">
        <f>SCORING_ENGINE!H480</f>
        <v>ELIGIBLE</v>
      </c>
      <c r="C480">
        <f>SCORING_ENGINE!S480</f>
        <v>92</v>
      </c>
      <c r="D480" t="str" cm="1">
        <f t="array" ref="D480">CLASSIFY_CREDIT(B480,C480)</f>
        <v>Approve</v>
      </c>
      <c r="E480" t="str">
        <f t="shared" si="14"/>
        <v>High</v>
      </c>
      <c r="F480" t="str">
        <f t="shared" si="15"/>
        <v>Approve</v>
      </c>
    </row>
    <row r="481" spans="1:6" x14ac:dyDescent="0.25">
      <c r="A481" t="str">
        <f>SCORING_ENGINE!A481</f>
        <v>APP480</v>
      </c>
      <c r="B481" t="str">
        <f>SCORING_ENGINE!H481</f>
        <v>INELIGIBLE</v>
      </c>
      <c r="C481">
        <f>SCORING_ENGINE!S481</f>
        <v>49</v>
      </c>
      <c r="D481" t="str" cm="1">
        <f t="array" ref="D481">CLASSIFY_CREDIT(B481,C481)</f>
        <v>Reject</v>
      </c>
      <c r="E481" t="str">
        <f t="shared" si="14"/>
        <v>N/A</v>
      </c>
      <c r="F481" t="str">
        <f t="shared" si="15"/>
        <v>Reject</v>
      </c>
    </row>
    <row r="482" spans="1:6" x14ac:dyDescent="0.25">
      <c r="A482" t="str">
        <f>SCORING_ENGINE!A482</f>
        <v>APP481</v>
      </c>
      <c r="B482" t="str">
        <f>SCORING_ENGINE!H482</f>
        <v>INELIGIBLE</v>
      </c>
      <c r="C482">
        <f>SCORING_ENGINE!S482</f>
        <v>66</v>
      </c>
      <c r="D482" t="str" cm="1">
        <f t="array" ref="D482">CLASSIFY_CREDIT(B482,C482)</f>
        <v>Reject</v>
      </c>
      <c r="E482" t="str">
        <f t="shared" si="14"/>
        <v>N/A</v>
      </c>
      <c r="F482" t="str">
        <f t="shared" si="15"/>
        <v>Reject</v>
      </c>
    </row>
    <row r="483" spans="1:6" x14ac:dyDescent="0.25">
      <c r="A483" t="str">
        <f>SCORING_ENGINE!A483</f>
        <v>APP482</v>
      </c>
      <c r="B483" t="str">
        <f>SCORING_ENGINE!H483</f>
        <v>INELIGIBLE</v>
      </c>
      <c r="C483">
        <f>SCORING_ENGINE!S483</f>
        <v>62</v>
      </c>
      <c r="D483" t="str" cm="1">
        <f t="array" ref="D483">CLASSIFY_CREDIT(B483,C483)</f>
        <v>Reject</v>
      </c>
      <c r="E483" t="str">
        <f t="shared" si="14"/>
        <v>N/A</v>
      </c>
      <c r="F483" t="str">
        <f t="shared" si="15"/>
        <v>Reject</v>
      </c>
    </row>
    <row r="484" spans="1:6" x14ac:dyDescent="0.25">
      <c r="A484" t="str">
        <f>SCORING_ENGINE!A484</f>
        <v>APP483</v>
      </c>
      <c r="B484" t="str">
        <f>SCORING_ENGINE!H484</f>
        <v>INELIGIBLE</v>
      </c>
      <c r="C484">
        <f>SCORING_ENGINE!S484</f>
        <v>43</v>
      </c>
      <c r="D484" t="str" cm="1">
        <f t="array" ref="D484">CLASSIFY_CREDIT(B484,C484)</f>
        <v>Reject</v>
      </c>
      <c r="E484" t="str">
        <f t="shared" si="14"/>
        <v>N/A</v>
      </c>
      <c r="F484" t="str">
        <f t="shared" si="15"/>
        <v>Reject</v>
      </c>
    </row>
    <row r="485" spans="1:6" x14ac:dyDescent="0.25">
      <c r="A485" t="str">
        <f>SCORING_ENGINE!A485</f>
        <v>APP484</v>
      </c>
      <c r="B485" t="str">
        <f>SCORING_ENGINE!H485</f>
        <v>ELIGIBLE</v>
      </c>
      <c r="C485">
        <f>SCORING_ENGINE!S485</f>
        <v>63</v>
      </c>
      <c r="D485" t="str" cm="1">
        <f t="array" ref="D485">CLASSIFY_CREDIT(B485,C485)</f>
        <v>Review</v>
      </c>
      <c r="E485" t="str">
        <f t="shared" si="14"/>
        <v>Medium</v>
      </c>
      <c r="F485" t="str">
        <f t="shared" si="15"/>
        <v>Review</v>
      </c>
    </row>
    <row r="486" spans="1:6" x14ac:dyDescent="0.25">
      <c r="A486" t="str">
        <f>SCORING_ENGINE!A486</f>
        <v>APP485</v>
      </c>
      <c r="B486" t="str">
        <f>SCORING_ENGINE!H486</f>
        <v>INELIGIBLE</v>
      </c>
      <c r="C486">
        <f>SCORING_ENGINE!S486</f>
        <v>56</v>
      </c>
      <c r="D486" t="str" cm="1">
        <f t="array" ref="D486">CLASSIFY_CREDIT(B486,C486)</f>
        <v>Reject</v>
      </c>
      <c r="E486" t="str">
        <f t="shared" si="14"/>
        <v>N/A</v>
      </c>
      <c r="F486" t="str">
        <f t="shared" si="15"/>
        <v>Reject</v>
      </c>
    </row>
    <row r="487" spans="1:6" x14ac:dyDescent="0.25">
      <c r="A487" t="str">
        <f>SCORING_ENGINE!A487</f>
        <v>APP486</v>
      </c>
      <c r="B487" t="str">
        <f>SCORING_ENGINE!H487</f>
        <v>INELIGIBLE</v>
      </c>
      <c r="C487">
        <f>SCORING_ENGINE!S487</f>
        <v>54</v>
      </c>
      <c r="D487" t="str" cm="1">
        <f t="array" ref="D487">CLASSIFY_CREDIT(B487,C487)</f>
        <v>Reject</v>
      </c>
      <c r="E487" t="str">
        <f t="shared" si="14"/>
        <v>N/A</v>
      </c>
      <c r="F487" t="str">
        <f t="shared" si="15"/>
        <v>Reject</v>
      </c>
    </row>
    <row r="488" spans="1:6" x14ac:dyDescent="0.25">
      <c r="A488" t="str">
        <f>SCORING_ENGINE!A488</f>
        <v>APP487</v>
      </c>
      <c r="B488" t="str">
        <f>SCORING_ENGINE!H488</f>
        <v>INELIGIBLE</v>
      </c>
      <c r="C488">
        <f>SCORING_ENGINE!S488</f>
        <v>43</v>
      </c>
      <c r="D488" t="str" cm="1">
        <f t="array" ref="D488">CLASSIFY_CREDIT(B488,C488)</f>
        <v>Reject</v>
      </c>
      <c r="E488" t="str">
        <f t="shared" si="14"/>
        <v>N/A</v>
      </c>
      <c r="F488" t="str">
        <f t="shared" si="15"/>
        <v>Reject</v>
      </c>
    </row>
    <row r="489" spans="1:6" x14ac:dyDescent="0.25">
      <c r="A489" t="str">
        <f>SCORING_ENGINE!A489</f>
        <v>APP488</v>
      </c>
      <c r="B489" t="str">
        <f>SCORING_ENGINE!H489</f>
        <v>INELIGIBLE</v>
      </c>
      <c r="C489">
        <f>SCORING_ENGINE!S489</f>
        <v>50</v>
      </c>
      <c r="D489" t="str" cm="1">
        <f t="array" ref="D489">CLASSIFY_CREDIT(B489,C489)</f>
        <v>Reject</v>
      </c>
      <c r="E489" t="str">
        <f t="shared" si="14"/>
        <v>N/A</v>
      </c>
      <c r="F489" t="str">
        <f t="shared" si="15"/>
        <v>Reject</v>
      </c>
    </row>
    <row r="490" spans="1:6" x14ac:dyDescent="0.25">
      <c r="A490" t="str">
        <f>SCORING_ENGINE!A490</f>
        <v>APP489</v>
      </c>
      <c r="B490" t="str">
        <f>SCORING_ENGINE!H490</f>
        <v>INELIGIBLE</v>
      </c>
      <c r="C490">
        <f>SCORING_ENGINE!S490</f>
        <v>57</v>
      </c>
      <c r="D490" t="str" cm="1">
        <f t="array" ref="D490">CLASSIFY_CREDIT(B490,C490)</f>
        <v>Reject</v>
      </c>
      <c r="E490" t="str">
        <f t="shared" si="14"/>
        <v>N/A</v>
      </c>
      <c r="F490" t="str">
        <f t="shared" si="15"/>
        <v>Reject</v>
      </c>
    </row>
    <row r="491" spans="1:6" x14ac:dyDescent="0.25">
      <c r="A491" t="str">
        <f>SCORING_ENGINE!A491</f>
        <v>APP490</v>
      </c>
      <c r="B491" t="str">
        <f>SCORING_ENGINE!H491</f>
        <v>INELIGIBLE</v>
      </c>
      <c r="C491">
        <f>SCORING_ENGINE!S491</f>
        <v>46</v>
      </c>
      <c r="D491" t="str" cm="1">
        <f t="array" ref="D491">CLASSIFY_CREDIT(B491,C491)</f>
        <v>Reject</v>
      </c>
      <c r="E491" t="str">
        <f t="shared" si="14"/>
        <v>N/A</v>
      </c>
      <c r="F491" t="str">
        <f t="shared" si="15"/>
        <v>Reject</v>
      </c>
    </row>
    <row r="492" spans="1:6" x14ac:dyDescent="0.25">
      <c r="A492" t="str">
        <f>SCORING_ENGINE!A492</f>
        <v>APP491</v>
      </c>
      <c r="B492" t="str">
        <f>SCORING_ENGINE!H492</f>
        <v>INELIGIBLE</v>
      </c>
      <c r="C492">
        <f>SCORING_ENGINE!S492</f>
        <v>51</v>
      </c>
      <c r="D492" t="str" cm="1">
        <f t="array" ref="D492">CLASSIFY_CREDIT(B492,C492)</f>
        <v>Reject</v>
      </c>
      <c r="E492" t="str">
        <f t="shared" si="14"/>
        <v>N/A</v>
      </c>
      <c r="F492" t="str">
        <f t="shared" si="15"/>
        <v>Reject</v>
      </c>
    </row>
    <row r="493" spans="1:6" x14ac:dyDescent="0.25">
      <c r="A493" t="str">
        <f>SCORING_ENGINE!A493</f>
        <v>APP492</v>
      </c>
      <c r="B493" t="str">
        <f>SCORING_ENGINE!H493</f>
        <v>INELIGIBLE</v>
      </c>
      <c r="C493">
        <f>SCORING_ENGINE!S493</f>
        <v>66</v>
      </c>
      <c r="D493" t="str" cm="1">
        <f t="array" ref="D493">CLASSIFY_CREDIT(B493,C493)</f>
        <v>Reject</v>
      </c>
      <c r="E493" t="str">
        <f t="shared" si="14"/>
        <v>N/A</v>
      </c>
      <c r="F493" t="str">
        <f t="shared" si="15"/>
        <v>Reject</v>
      </c>
    </row>
    <row r="494" spans="1:6" x14ac:dyDescent="0.25">
      <c r="A494" t="str">
        <f>SCORING_ENGINE!A494</f>
        <v>APP493</v>
      </c>
      <c r="B494" t="str">
        <f>SCORING_ENGINE!H494</f>
        <v>ELIGIBLE</v>
      </c>
      <c r="C494">
        <f>SCORING_ENGINE!S494</f>
        <v>90</v>
      </c>
      <c r="D494" t="str" cm="1">
        <f t="array" ref="D494">CLASSIFY_CREDIT(B494,C494)</f>
        <v>Approve</v>
      </c>
      <c r="E494" t="str">
        <f t="shared" si="14"/>
        <v>High</v>
      </c>
      <c r="F494" t="str">
        <f t="shared" si="15"/>
        <v>Approve</v>
      </c>
    </row>
    <row r="495" spans="1:6" x14ac:dyDescent="0.25">
      <c r="A495" t="str">
        <f>SCORING_ENGINE!A495</f>
        <v>APP494</v>
      </c>
      <c r="B495" t="str">
        <f>SCORING_ENGINE!H495</f>
        <v>INELIGIBLE</v>
      </c>
      <c r="C495">
        <f>SCORING_ENGINE!S495</f>
        <v>63</v>
      </c>
      <c r="D495" t="str" cm="1">
        <f t="array" ref="D495">CLASSIFY_CREDIT(B495,C495)</f>
        <v>Reject</v>
      </c>
      <c r="E495" t="str">
        <f t="shared" si="14"/>
        <v>N/A</v>
      </c>
      <c r="F495" t="str">
        <f t="shared" si="15"/>
        <v>Reject</v>
      </c>
    </row>
    <row r="496" spans="1:6" x14ac:dyDescent="0.25">
      <c r="A496" t="str">
        <f>SCORING_ENGINE!A496</f>
        <v>APP495</v>
      </c>
      <c r="B496" t="str">
        <f>SCORING_ENGINE!H496</f>
        <v>ELIGIBLE</v>
      </c>
      <c r="C496">
        <f>SCORING_ENGINE!S496</f>
        <v>57</v>
      </c>
      <c r="D496" t="str" cm="1">
        <f t="array" ref="D496">CLASSIFY_CREDIT(B496,C496)</f>
        <v>Review</v>
      </c>
      <c r="E496" t="str">
        <f t="shared" si="14"/>
        <v>Medium</v>
      </c>
      <c r="F496" t="str">
        <f t="shared" si="15"/>
        <v>Review</v>
      </c>
    </row>
    <row r="497" spans="1:6" x14ac:dyDescent="0.25">
      <c r="A497" t="str">
        <f>SCORING_ENGINE!A497</f>
        <v>APP496</v>
      </c>
      <c r="B497" t="str">
        <f>SCORING_ENGINE!H497</f>
        <v>ELIGIBLE</v>
      </c>
      <c r="C497">
        <f>SCORING_ENGINE!S497</f>
        <v>74</v>
      </c>
      <c r="D497" t="str" cm="1">
        <f t="array" ref="D497">CLASSIFY_CREDIT(B497,C497)</f>
        <v>Approve</v>
      </c>
      <c r="E497" t="str">
        <f t="shared" si="14"/>
        <v>High</v>
      </c>
      <c r="F497" t="str">
        <f t="shared" si="15"/>
        <v>Approve</v>
      </c>
    </row>
    <row r="498" spans="1:6" x14ac:dyDescent="0.25">
      <c r="A498" t="str">
        <f>SCORING_ENGINE!A498</f>
        <v>APP497</v>
      </c>
      <c r="B498" t="str">
        <f>SCORING_ENGINE!H498</f>
        <v>ELIGIBLE</v>
      </c>
      <c r="C498">
        <f>SCORING_ENGINE!S498</f>
        <v>76</v>
      </c>
      <c r="D498" t="str" cm="1">
        <f t="array" ref="D498">CLASSIFY_CREDIT(B498,C498)</f>
        <v>Approve</v>
      </c>
      <c r="E498" t="str">
        <f t="shared" si="14"/>
        <v>High</v>
      </c>
      <c r="F498" t="str">
        <f t="shared" si="15"/>
        <v>Approve</v>
      </c>
    </row>
    <row r="499" spans="1:6" x14ac:dyDescent="0.25">
      <c r="A499" t="str">
        <f>SCORING_ENGINE!A499</f>
        <v>APP498</v>
      </c>
      <c r="B499" t="str">
        <f>SCORING_ENGINE!H499</f>
        <v>INELIGIBLE</v>
      </c>
      <c r="C499">
        <f>SCORING_ENGINE!S499</f>
        <v>67</v>
      </c>
      <c r="D499" t="str" cm="1">
        <f t="array" ref="D499">CLASSIFY_CREDIT(B499,C499)</f>
        <v>Reject</v>
      </c>
      <c r="E499" t="str">
        <f t="shared" si="14"/>
        <v>N/A</v>
      </c>
      <c r="F499" t="str">
        <f t="shared" si="15"/>
        <v>Reject</v>
      </c>
    </row>
    <row r="500" spans="1:6" x14ac:dyDescent="0.25">
      <c r="A500" t="str">
        <f>SCORING_ENGINE!A500</f>
        <v>APP499</v>
      </c>
      <c r="B500" t="str">
        <f>SCORING_ENGINE!H500</f>
        <v>ELIGIBLE</v>
      </c>
      <c r="C500">
        <f>SCORING_ENGINE!S500</f>
        <v>90</v>
      </c>
      <c r="D500" t="str" cm="1">
        <f t="array" ref="D500">CLASSIFY_CREDIT(B500,C500)</f>
        <v>Approve</v>
      </c>
      <c r="E500" t="str">
        <f t="shared" si="14"/>
        <v>High</v>
      </c>
      <c r="F500" t="str">
        <f t="shared" si="15"/>
        <v>Approve</v>
      </c>
    </row>
    <row r="501" spans="1:6" x14ac:dyDescent="0.25">
      <c r="A501" t="str">
        <f>SCORING_ENGINE!A501</f>
        <v>APP500</v>
      </c>
      <c r="B501" t="str">
        <f>SCORING_ENGINE!H501</f>
        <v>INELIGIBLE</v>
      </c>
      <c r="C501">
        <f>SCORING_ENGINE!S501</f>
        <v>74</v>
      </c>
      <c r="D501" t="str" cm="1">
        <f t="array" ref="D501">CLASSIFY_CREDIT(B501,C501)</f>
        <v>Reject</v>
      </c>
      <c r="E501" t="str">
        <f t="shared" si="14"/>
        <v>N/A</v>
      </c>
      <c r="F501" t="str">
        <f t="shared" si="15"/>
        <v>Reject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3B1A-3100-42A8-BC40-5675BF3E072D}">
  <sheetPr>
    <tabColor rgb="FFFFC000"/>
  </sheetPr>
  <dimension ref="A1"/>
  <sheetViews>
    <sheetView workbookViewId="0">
      <selection activeCell="G39" sqref="G3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A3FB7-5C95-4413-859E-DA522EB3DB8F}">
  <sheetPr>
    <tabColor theme="5"/>
  </sheetPr>
  <dimension ref="A1"/>
  <sheetViews>
    <sheetView workbookViewId="0">
      <selection activeCell="E34" sqref="E3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SCORING_ENGINE</vt:lpstr>
      <vt:lpstr>DECISION_OUTPUT</vt:lpstr>
      <vt:lpstr>AUDIT_TRAIL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asawari fuse</dc:creator>
  <cp:lastModifiedBy>asawari fuse</cp:lastModifiedBy>
  <dcterms:created xsi:type="dcterms:W3CDTF">2026-06-16T05:52:56Z</dcterms:created>
  <dcterms:modified xsi:type="dcterms:W3CDTF">2026-06-19T06:54:12Z</dcterms:modified>
</cp:coreProperties>
</file>