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sus\OneDrive\Documents\PROJECTS\Credit-Risk-Scoring-System\excel\"/>
    </mc:Choice>
  </mc:AlternateContent>
  <xr:revisionPtr revIDLastSave="0" documentId="13_ncr:1_{9E57B339-CB35-45B9-B0C8-2EC66C8F4630}" xr6:coauthVersionLast="47" xr6:coauthVersionMax="47" xr10:uidLastSave="{00000000-0000-0000-0000-000000000000}"/>
  <bookViews>
    <workbookView xWindow="14235" yWindow="0" windowWidth="14670" windowHeight="17385" activeTab="1" xr2:uid="{511DA8E4-6580-4F6A-9422-34DF6C9B150E}"/>
  </bookViews>
  <sheets>
    <sheet name="RAW_DATA" sheetId="1" r:id="rId1"/>
    <sheet name="SCORING_ENGINE" sheetId="2" r:id="rId2"/>
    <sheet name="DECISION_OUTPUT" sheetId="3" r:id="rId3"/>
    <sheet name="AUDIT_TRAIL" sheetId="4" r:id="rId4"/>
    <sheet name="DASHBOARD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G360" i="2" s="1"/>
  <c r="H360" i="2" s="1"/>
  <c r="C361" i="2"/>
  <c r="G361" i="2" s="1"/>
  <c r="H361" i="2" s="1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2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3" i="2"/>
  <c r="A4" i="2"/>
  <c r="A5" i="2"/>
  <c r="A6" i="2"/>
  <c r="A7" i="2"/>
  <c r="A2" i="2"/>
  <c r="A500" i="1"/>
  <c r="A501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G334" i="2" l="1"/>
  <c r="G94" i="2"/>
  <c r="G6" i="2"/>
  <c r="I6" i="2" s="1"/>
  <c r="G110" i="2"/>
  <c r="H110" i="2" s="1"/>
  <c r="G406" i="2"/>
  <c r="I406" i="2" s="1"/>
  <c r="G154" i="2"/>
  <c r="I154" i="2" s="1"/>
  <c r="G405" i="2"/>
  <c r="I405" i="2" s="1"/>
  <c r="G333" i="2"/>
  <c r="I333" i="2" s="1"/>
  <c r="G285" i="2"/>
  <c r="I285" i="2" s="1"/>
  <c r="G237" i="2"/>
  <c r="I237" i="2" s="1"/>
  <c r="G225" i="2"/>
  <c r="I225" i="2" s="1"/>
  <c r="G201" i="2"/>
  <c r="I201" i="2" s="1"/>
  <c r="G177" i="2"/>
  <c r="G153" i="2"/>
  <c r="G141" i="2"/>
  <c r="H141" i="2" s="1"/>
  <c r="G93" i="2"/>
  <c r="I93" i="2" s="1"/>
  <c r="G81" i="2"/>
  <c r="I81" i="2" s="1"/>
  <c r="G445" i="2"/>
  <c r="H445" i="2" s="1"/>
  <c r="G109" i="2"/>
  <c r="H109" i="2" s="1"/>
  <c r="G25" i="2"/>
  <c r="H25" i="2" s="1"/>
  <c r="G478" i="2"/>
  <c r="I478" i="2" s="1"/>
  <c r="G430" i="2"/>
  <c r="H430" i="2" s="1"/>
  <c r="G286" i="2"/>
  <c r="H286" i="2" s="1"/>
  <c r="G238" i="2"/>
  <c r="I238" i="2" s="1"/>
  <c r="G142" i="2"/>
  <c r="G429" i="2"/>
  <c r="G345" i="2"/>
  <c r="G452" i="2"/>
  <c r="I452" i="2" s="1"/>
  <c r="G428" i="2"/>
  <c r="I428" i="2" s="1"/>
  <c r="G404" i="2"/>
  <c r="I404" i="2" s="1"/>
  <c r="G380" i="2"/>
  <c r="I380" i="2" s="1"/>
  <c r="G332" i="2"/>
  <c r="I332" i="2" s="1"/>
  <c r="G284" i="2"/>
  <c r="H284" i="2" s="1"/>
  <c r="G272" i="2"/>
  <c r="I272" i="2" s="1"/>
  <c r="G236" i="2"/>
  <c r="I236" i="2" s="1"/>
  <c r="G224" i="2"/>
  <c r="H224" i="2" s="1"/>
  <c r="G176" i="2"/>
  <c r="G140" i="2"/>
  <c r="G92" i="2"/>
  <c r="H92" i="2" s="1"/>
  <c r="G80" i="2"/>
  <c r="H80" i="2" s="1"/>
  <c r="G444" i="2"/>
  <c r="H444" i="2" s="1"/>
  <c r="G192" i="2"/>
  <c r="G108" i="2"/>
  <c r="I108" i="2" s="1"/>
  <c r="G24" i="2"/>
  <c r="H24" i="2" s="1"/>
  <c r="G454" i="2"/>
  <c r="H454" i="2" s="1"/>
  <c r="G346" i="2"/>
  <c r="H346" i="2" s="1"/>
  <c r="G202" i="2"/>
  <c r="I202" i="2" s="1"/>
  <c r="G453" i="2"/>
  <c r="H453" i="2" s="1"/>
  <c r="G273" i="2"/>
  <c r="G427" i="2"/>
  <c r="I427" i="2" s="1"/>
  <c r="G403" i="2"/>
  <c r="H403" i="2" s="1"/>
  <c r="G379" i="2"/>
  <c r="H379" i="2" s="1"/>
  <c r="G331" i="2"/>
  <c r="I331" i="2" s="1"/>
  <c r="G223" i="2"/>
  <c r="H223" i="2" s="1"/>
  <c r="G79" i="2"/>
  <c r="H79" i="2" s="1"/>
  <c r="G327" i="2"/>
  <c r="I327" i="2" s="1"/>
  <c r="G219" i="2"/>
  <c r="I219" i="2" s="1"/>
  <c r="G87" i="2"/>
  <c r="I87" i="2" s="1"/>
  <c r="G467" i="2"/>
  <c r="H467" i="2" s="1"/>
  <c r="G494" i="2"/>
  <c r="H494" i="2" s="1"/>
  <c r="G302" i="2"/>
  <c r="H302" i="2" s="1"/>
  <c r="G470" i="2"/>
  <c r="G169" i="2"/>
  <c r="H169" i="2" s="1"/>
  <c r="G159" i="2"/>
  <c r="G469" i="2"/>
  <c r="H469" i="2" s="1"/>
  <c r="G492" i="2"/>
  <c r="H492" i="2" s="1"/>
  <c r="G279" i="2"/>
  <c r="I279" i="2" s="1"/>
  <c r="G468" i="2"/>
  <c r="H468" i="2" s="1"/>
  <c r="G300" i="2"/>
  <c r="I300" i="2" s="1"/>
  <c r="G168" i="2"/>
  <c r="H168" i="2" s="1"/>
  <c r="G493" i="2"/>
  <c r="H493" i="2" s="1"/>
  <c r="G301" i="2"/>
  <c r="I301" i="2" s="1"/>
  <c r="G491" i="2"/>
  <c r="H491" i="2" s="1"/>
  <c r="G479" i="2"/>
  <c r="I479" i="2" s="1"/>
  <c r="G455" i="2"/>
  <c r="G443" i="2"/>
  <c r="H443" i="2" s="1"/>
  <c r="G431" i="2"/>
  <c r="I431" i="2" s="1"/>
  <c r="G419" i="2"/>
  <c r="I419" i="2" s="1"/>
  <c r="G407" i="2"/>
  <c r="H407" i="2" s="1"/>
  <c r="G395" i="2"/>
  <c r="H395" i="2" s="1"/>
  <c r="G383" i="2"/>
  <c r="I383" i="2" s="1"/>
  <c r="G371" i="2"/>
  <c r="H371" i="2" s="1"/>
  <c r="G359" i="2"/>
  <c r="H359" i="2" s="1"/>
  <c r="G347" i="2"/>
  <c r="I347" i="2" s="1"/>
  <c r="G335" i="2"/>
  <c r="G323" i="2"/>
  <c r="H323" i="2" s="1"/>
  <c r="G311" i="2"/>
  <c r="H311" i="2" s="1"/>
  <c r="G299" i="2"/>
  <c r="H299" i="2" s="1"/>
  <c r="G287" i="2"/>
  <c r="H287" i="2" s="1"/>
  <c r="G275" i="2"/>
  <c r="H275" i="2" s="1"/>
  <c r="G263" i="2"/>
  <c r="I263" i="2" s="1"/>
  <c r="G251" i="2"/>
  <c r="H251" i="2" s="1"/>
  <c r="G239" i="2"/>
  <c r="I239" i="2" s="1"/>
  <c r="G227" i="2"/>
  <c r="H227" i="2" s="1"/>
  <c r="G215" i="2"/>
  <c r="H215" i="2" s="1"/>
  <c r="G203" i="2"/>
  <c r="H203" i="2" s="1"/>
  <c r="G191" i="2"/>
  <c r="G179" i="2"/>
  <c r="H179" i="2" s="1"/>
  <c r="G167" i="2"/>
  <c r="H167" i="2" s="1"/>
  <c r="G155" i="2"/>
  <c r="H155" i="2" s="1"/>
  <c r="G143" i="2"/>
  <c r="H143" i="2" s="1"/>
  <c r="G131" i="2"/>
  <c r="H131" i="2" s="1"/>
  <c r="G119" i="2"/>
  <c r="H119" i="2" s="1"/>
  <c r="G107" i="2"/>
  <c r="I107" i="2" s="1"/>
  <c r="G95" i="2"/>
  <c r="H95" i="2" s="1"/>
  <c r="G83" i="2"/>
  <c r="H83" i="2" s="1"/>
  <c r="G71" i="2"/>
  <c r="I71" i="2" s="1"/>
  <c r="G59" i="2"/>
  <c r="H59" i="2" s="1"/>
  <c r="G47" i="2"/>
  <c r="G35" i="2"/>
  <c r="H35" i="2" s="1"/>
  <c r="G23" i="2"/>
  <c r="H23" i="2" s="1"/>
  <c r="G11" i="2"/>
  <c r="G439" i="2"/>
  <c r="H439" i="2" s="1"/>
  <c r="G415" i="2"/>
  <c r="H415" i="2" s="1"/>
  <c r="G391" i="2"/>
  <c r="H391" i="2" s="1"/>
  <c r="G367" i="2"/>
  <c r="H367" i="2" s="1"/>
  <c r="G319" i="2"/>
  <c r="I319" i="2" s="1"/>
  <c r="G283" i="2"/>
  <c r="I283" i="2" s="1"/>
  <c r="G271" i="2"/>
  <c r="H271" i="2" s="1"/>
  <c r="G235" i="2"/>
  <c r="I235" i="2" s="1"/>
  <c r="G187" i="2"/>
  <c r="G175" i="2"/>
  <c r="G139" i="2"/>
  <c r="G127" i="2"/>
  <c r="H127" i="2" s="1"/>
  <c r="G91" i="2"/>
  <c r="I91" i="2" s="1"/>
  <c r="G7" i="2"/>
  <c r="I7" i="2" s="1"/>
  <c r="G399" i="2"/>
  <c r="H399" i="2" s="1"/>
  <c r="G387" i="2"/>
  <c r="I387" i="2" s="1"/>
  <c r="G375" i="2"/>
  <c r="I375" i="2" s="1"/>
  <c r="G363" i="2"/>
  <c r="I363" i="2" s="1"/>
  <c r="G351" i="2"/>
  <c r="I351" i="2" s="1"/>
  <c r="G315" i="2"/>
  <c r="I315" i="2" s="1"/>
  <c r="G303" i="2"/>
  <c r="G267" i="2"/>
  <c r="G255" i="2"/>
  <c r="G231" i="2"/>
  <c r="G207" i="2"/>
  <c r="H207" i="2" s="1"/>
  <c r="G183" i="2"/>
  <c r="H183" i="2" s="1"/>
  <c r="G171" i="2"/>
  <c r="H171" i="2" s="1"/>
  <c r="G135" i="2"/>
  <c r="I135" i="2" s="1"/>
  <c r="G123" i="2"/>
  <c r="I123" i="2" s="1"/>
  <c r="G111" i="2"/>
  <c r="I111" i="2" s="1"/>
  <c r="G75" i="2"/>
  <c r="I75" i="2" s="1"/>
  <c r="G63" i="2"/>
  <c r="H63" i="2" s="1"/>
  <c r="G39" i="2"/>
  <c r="H39" i="2" s="1"/>
  <c r="G27" i="2"/>
  <c r="G483" i="2"/>
  <c r="I483" i="2" s="1"/>
  <c r="G447" i="2"/>
  <c r="I447" i="2" s="1"/>
  <c r="G411" i="2"/>
  <c r="H411" i="2" s="1"/>
  <c r="G339" i="2"/>
  <c r="I339" i="2" s="1"/>
  <c r="G458" i="2"/>
  <c r="I458" i="2" s="1"/>
  <c r="G422" i="2"/>
  <c r="I422" i="2" s="1"/>
  <c r="G386" i="2"/>
  <c r="I386" i="2" s="1"/>
  <c r="G350" i="2"/>
  <c r="H350" i="2" s="1"/>
  <c r="G326" i="2"/>
  <c r="H326" i="2" s="1"/>
  <c r="G314" i="2"/>
  <c r="H314" i="2" s="1"/>
  <c r="G290" i="2"/>
  <c r="I290" i="2" s="1"/>
  <c r="G254" i="2"/>
  <c r="I254" i="2" s="1"/>
  <c r="G242" i="2"/>
  <c r="H242" i="2" s="1"/>
  <c r="G230" i="2"/>
  <c r="I230" i="2" s="1"/>
  <c r="G218" i="2"/>
  <c r="I218" i="2" s="1"/>
  <c r="G206" i="2"/>
  <c r="I206" i="2" s="1"/>
  <c r="G194" i="2"/>
  <c r="H194" i="2" s="1"/>
  <c r="G182" i="2"/>
  <c r="I182" i="2" s="1"/>
  <c r="G170" i="2"/>
  <c r="H170" i="2" s="1"/>
  <c r="G158" i="2"/>
  <c r="H158" i="2" s="1"/>
  <c r="G146" i="2"/>
  <c r="H146" i="2" s="1"/>
  <c r="G134" i="2"/>
  <c r="I134" i="2" s="1"/>
  <c r="G122" i="2"/>
  <c r="I122" i="2" s="1"/>
  <c r="G98" i="2"/>
  <c r="I98" i="2" s="1"/>
  <c r="G86" i="2"/>
  <c r="H86" i="2" s="1"/>
  <c r="G74" i="2"/>
  <c r="H74" i="2" s="1"/>
  <c r="G62" i="2"/>
  <c r="H62" i="2" s="1"/>
  <c r="G50" i="2"/>
  <c r="I50" i="2" s="1"/>
  <c r="G38" i="2"/>
  <c r="I38" i="2" s="1"/>
  <c r="G26" i="2"/>
  <c r="I26" i="2" s="1"/>
  <c r="G14" i="2"/>
  <c r="I14" i="2" s="1"/>
  <c r="G466" i="2"/>
  <c r="H466" i="2" s="1"/>
  <c r="G442" i="2"/>
  <c r="I442" i="2" s="1"/>
  <c r="G418" i="2"/>
  <c r="I418" i="2" s="1"/>
  <c r="G298" i="2"/>
  <c r="H298" i="2" s="1"/>
  <c r="G250" i="2"/>
  <c r="H250" i="2" s="1"/>
  <c r="G190" i="2"/>
  <c r="H190" i="2" s="1"/>
  <c r="G106" i="2"/>
  <c r="I106" i="2" s="1"/>
  <c r="G58" i="2"/>
  <c r="H58" i="2" s="1"/>
  <c r="G46" i="2"/>
  <c r="I46" i="2" s="1"/>
  <c r="G22" i="2"/>
  <c r="H22" i="2" s="1"/>
  <c r="G426" i="2"/>
  <c r="H426" i="2" s="1"/>
  <c r="G402" i="2"/>
  <c r="I402" i="2" s="1"/>
  <c r="G378" i="2"/>
  <c r="H378" i="2" s="1"/>
  <c r="G390" i="2"/>
  <c r="H390" i="2" s="1"/>
  <c r="G413" i="2"/>
  <c r="I413" i="2" s="1"/>
  <c r="G365" i="2"/>
  <c r="I365" i="2" s="1"/>
  <c r="G471" i="2"/>
  <c r="H471" i="2" s="1"/>
  <c r="G435" i="2"/>
  <c r="I435" i="2" s="1"/>
  <c r="G243" i="2"/>
  <c r="H243" i="2" s="1"/>
  <c r="G195" i="2"/>
  <c r="H195" i="2" s="1"/>
  <c r="G147" i="2"/>
  <c r="I147" i="2" s="1"/>
  <c r="G99" i="2"/>
  <c r="I99" i="2" s="1"/>
  <c r="G482" i="2"/>
  <c r="H482" i="2" s="1"/>
  <c r="G446" i="2"/>
  <c r="H446" i="2" s="1"/>
  <c r="G410" i="2"/>
  <c r="H410" i="2" s="1"/>
  <c r="G374" i="2"/>
  <c r="I374" i="2" s="1"/>
  <c r="G338" i="2"/>
  <c r="H338" i="2" s="1"/>
  <c r="G278" i="2"/>
  <c r="I278" i="2" s="1"/>
  <c r="G481" i="2"/>
  <c r="I481" i="2" s="1"/>
  <c r="G457" i="2"/>
  <c r="H457" i="2" s="1"/>
  <c r="G433" i="2"/>
  <c r="G421" i="2"/>
  <c r="H421" i="2" s="1"/>
  <c r="G409" i="2"/>
  <c r="I409" i="2" s="1"/>
  <c r="G397" i="2"/>
  <c r="H397" i="2" s="1"/>
  <c r="G385" i="2"/>
  <c r="H385" i="2" s="1"/>
  <c r="G373" i="2"/>
  <c r="I373" i="2" s="1"/>
  <c r="G349" i="2"/>
  <c r="H349" i="2" s="1"/>
  <c r="G337" i="2"/>
  <c r="H337" i="2" s="1"/>
  <c r="G325" i="2"/>
  <c r="H325" i="2" s="1"/>
  <c r="G313" i="2"/>
  <c r="H313" i="2" s="1"/>
  <c r="G289" i="2"/>
  <c r="I289" i="2" s="1"/>
  <c r="G277" i="2"/>
  <c r="H277" i="2" s="1"/>
  <c r="G265" i="2"/>
  <c r="H265" i="2" s="1"/>
  <c r="G253" i="2"/>
  <c r="I253" i="2" s="1"/>
  <c r="G241" i="2"/>
  <c r="G229" i="2"/>
  <c r="H229" i="2" s="1"/>
  <c r="G217" i="2"/>
  <c r="H217" i="2" s="1"/>
  <c r="G205" i="2"/>
  <c r="I205" i="2" s="1"/>
  <c r="G193" i="2"/>
  <c r="I193" i="2" s="1"/>
  <c r="G181" i="2"/>
  <c r="H181" i="2" s="1"/>
  <c r="G157" i="2"/>
  <c r="H157" i="2" s="1"/>
  <c r="G145" i="2"/>
  <c r="G133" i="2"/>
  <c r="H133" i="2" s="1"/>
  <c r="G121" i="2"/>
  <c r="H121" i="2" s="1"/>
  <c r="G97" i="2"/>
  <c r="I97" i="2" s="1"/>
  <c r="G85" i="2"/>
  <c r="H85" i="2" s="1"/>
  <c r="G73" i="2"/>
  <c r="H73" i="2" s="1"/>
  <c r="G61" i="2"/>
  <c r="I61" i="2" s="1"/>
  <c r="G49" i="2"/>
  <c r="H49" i="2" s="1"/>
  <c r="G37" i="2"/>
  <c r="H37" i="2" s="1"/>
  <c r="G13" i="2"/>
  <c r="I13" i="2" s="1"/>
  <c r="G465" i="2"/>
  <c r="I465" i="2" s="1"/>
  <c r="G441" i="2"/>
  <c r="H441" i="2" s="1"/>
  <c r="G417" i="2"/>
  <c r="I417" i="2" s="1"/>
  <c r="G393" i="2"/>
  <c r="I393" i="2" s="1"/>
  <c r="G321" i="2"/>
  <c r="H321" i="2" s="1"/>
  <c r="G297" i="2"/>
  <c r="I297" i="2" s="1"/>
  <c r="G249" i="2"/>
  <c r="I249" i="2" s="1"/>
  <c r="G189" i="2"/>
  <c r="I189" i="2" s="1"/>
  <c r="G129" i="2"/>
  <c r="H129" i="2" s="1"/>
  <c r="G105" i="2"/>
  <c r="H105" i="2" s="1"/>
  <c r="G57" i="2"/>
  <c r="I57" i="2" s="1"/>
  <c r="G45" i="2"/>
  <c r="I45" i="2" s="1"/>
  <c r="G21" i="2"/>
  <c r="I21" i="2" s="1"/>
  <c r="G9" i="2"/>
  <c r="I9" i="2" s="1"/>
  <c r="G485" i="2"/>
  <c r="I485" i="2" s="1"/>
  <c r="G401" i="2"/>
  <c r="I401" i="2" s="1"/>
  <c r="G377" i="2"/>
  <c r="I377" i="2" s="1"/>
  <c r="G498" i="2"/>
  <c r="I498" i="2" s="1"/>
  <c r="G414" i="2"/>
  <c r="H414" i="2" s="1"/>
  <c r="G366" i="2"/>
  <c r="I366" i="2" s="1"/>
  <c r="G497" i="2"/>
  <c r="I497" i="2" s="1"/>
  <c r="G389" i="2"/>
  <c r="I389" i="2" s="1"/>
  <c r="G495" i="2"/>
  <c r="I495" i="2" s="1"/>
  <c r="G459" i="2"/>
  <c r="H459" i="2" s="1"/>
  <c r="G423" i="2"/>
  <c r="I423" i="2" s="1"/>
  <c r="G291" i="2"/>
  <c r="I291" i="2" s="1"/>
  <c r="G51" i="2"/>
  <c r="I51" i="2" s="1"/>
  <c r="G434" i="2"/>
  <c r="H434" i="2" s="1"/>
  <c r="G398" i="2"/>
  <c r="G362" i="2"/>
  <c r="I362" i="2" s="1"/>
  <c r="G266" i="2"/>
  <c r="H266" i="2" s="1"/>
  <c r="G480" i="2"/>
  <c r="H480" i="2" s="1"/>
  <c r="G456" i="2"/>
  <c r="H456" i="2" s="1"/>
  <c r="G432" i="2"/>
  <c r="I432" i="2" s="1"/>
  <c r="G420" i="2"/>
  <c r="H420" i="2" s="1"/>
  <c r="G408" i="2"/>
  <c r="H408" i="2" s="1"/>
  <c r="G396" i="2"/>
  <c r="I396" i="2" s="1"/>
  <c r="G384" i="2"/>
  <c r="H384" i="2" s="1"/>
  <c r="G372" i="2"/>
  <c r="H372" i="2" s="1"/>
  <c r="G348" i="2"/>
  <c r="I348" i="2" s="1"/>
  <c r="G336" i="2"/>
  <c r="I336" i="2" s="1"/>
  <c r="G324" i="2"/>
  <c r="H324" i="2" s="1"/>
  <c r="G312" i="2"/>
  <c r="I312" i="2" s="1"/>
  <c r="G288" i="2"/>
  <c r="H288" i="2" s="1"/>
  <c r="G276" i="2"/>
  <c r="H276" i="2" s="1"/>
  <c r="G264" i="2"/>
  <c r="I264" i="2" s="1"/>
  <c r="G252" i="2"/>
  <c r="H252" i="2" s="1"/>
  <c r="G240" i="2"/>
  <c r="I240" i="2" s="1"/>
  <c r="G228" i="2"/>
  <c r="H228" i="2" s="1"/>
  <c r="G216" i="2"/>
  <c r="H216" i="2" s="1"/>
  <c r="G204" i="2"/>
  <c r="I204" i="2" s="1"/>
  <c r="G180" i="2"/>
  <c r="I180" i="2" s="1"/>
  <c r="G156" i="2"/>
  <c r="H156" i="2" s="1"/>
  <c r="G144" i="2"/>
  <c r="H144" i="2" s="1"/>
  <c r="G132" i="2"/>
  <c r="H132" i="2" s="1"/>
  <c r="G120" i="2"/>
  <c r="I120" i="2" s="1"/>
  <c r="G96" i="2"/>
  <c r="H96" i="2" s="1"/>
  <c r="G84" i="2"/>
  <c r="H84" i="2" s="1"/>
  <c r="G72" i="2"/>
  <c r="I72" i="2" s="1"/>
  <c r="G60" i="2"/>
  <c r="I60" i="2" s="1"/>
  <c r="G48" i="2"/>
  <c r="I48" i="2" s="1"/>
  <c r="G36" i="2"/>
  <c r="H36" i="2" s="1"/>
  <c r="G12" i="2"/>
  <c r="H12" i="2" s="1"/>
  <c r="G440" i="2"/>
  <c r="I440" i="2" s="1"/>
  <c r="G416" i="2"/>
  <c r="I416" i="2" s="1"/>
  <c r="G392" i="2"/>
  <c r="I392" i="2" s="1"/>
  <c r="G320" i="2"/>
  <c r="H320" i="2" s="1"/>
  <c r="G188" i="2"/>
  <c r="H188" i="2" s="1"/>
  <c r="G128" i="2"/>
  <c r="I128" i="2" s="1"/>
  <c r="G44" i="2"/>
  <c r="I44" i="2" s="1"/>
  <c r="G8" i="2"/>
  <c r="I8" i="2" s="1"/>
  <c r="H455" i="2"/>
  <c r="I455" i="2"/>
  <c r="H335" i="2"/>
  <c r="I335" i="2"/>
  <c r="H187" i="2"/>
  <c r="I187" i="2"/>
  <c r="I255" i="2"/>
  <c r="H255" i="2"/>
  <c r="I334" i="2"/>
  <c r="H334" i="2"/>
  <c r="I94" i="2"/>
  <c r="H94" i="2"/>
  <c r="I92" i="2"/>
  <c r="I303" i="2"/>
  <c r="H303" i="2"/>
  <c r="I231" i="2"/>
  <c r="H231" i="2"/>
  <c r="I27" i="2"/>
  <c r="H27" i="2"/>
  <c r="I177" i="2"/>
  <c r="H177" i="2"/>
  <c r="H479" i="2"/>
  <c r="I345" i="2"/>
  <c r="H345" i="2"/>
  <c r="H175" i="2"/>
  <c r="I175" i="2"/>
  <c r="I267" i="2"/>
  <c r="H267" i="2"/>
  <c r="I183" i="2"/>
  <c r="H142" i="2"/>
  <c r="I142" i="2"/>
  <c r="I429" i="2"/>
  <c r="H429" i="2"/>
  <c r="I153" i="2"/>
  <c r="H153" i="2"/>
  <c r="I176" i="2"/>
  <c r="H176" i="2"/>
  <c r="I121" i="2"/>
  <c r="H57" i="2"/>
  <c r="H485" i="2"/>
  <c r="I140" i="2"/>
  <c r="H140" i="2"/>
  <c r="H139" i="2"/>
  <c r="I139" i="2"/>
  <c r="I420" i="2"/>
  <c r="H47" i="2"/>
  <c r="I47" i="2"/>
  <c r="G358" i="2"/>
  <c r="G214" i="2"/>
  <c r="G130" i="2"/>
  <c r="G34" i="2"/>
  <c r="G489" i="2"/>
  <c r="I360" i="2"/>
  <c r="I323" i="2"/>
  <c r="I299" i="2"/>
  <c r="I119" i="2"/>
  <c r="G490" i="2"/>
  <c r="G274" i="2"/>
  <c r="G178" i="2"/>
  <c r="G309" i="2"/>
  <c r="G213" i="2"/>
  <c r="G69" i="2"/>
  <c r="G500" i="2"/>
  <c r="G200" i="2"/>
  <c r="G116" i="2"/>
  <c r="G20" i="2"/>
  <c r="I35" i="2"/>
  <c r="I195" i="2"/>
  <c r="I141" i="2"/>
  <c r="I311" i="2"/>
  <c r="H11" i="2"/>
  <c r="I11" i="2"/>
  <c r="G310" i="2"/>
  <c r="G118" i="2"/>
  <c r="G357" i="2"/>
  <c r="G261" i="2"/>
  <c r="G464" i="2"/>
  <c r="G344" i="2"/>
  <c r="G164" i="2"/>
  <c r="G68" i="2"/>
  <c r="G499" i="2"/>
  <c r="G487" i="2"/>
  <c r="G475" i="2"/>
  <c r="G463" i="2"/>
  <c r="G451" i="2"/>
  <c r="G355" i="2"/>
  <c r="G343" i="2"/>
  <c r="G307" i="2"/>
  <c r="G295" i="2"/>
  <c r="G259" i="2"/>
  <c r="G247" i="2"/>
  <c r="G211" i="2"/>
  <c r="G199" i="2"/>
  <c r="G163" i="2"/>
  <c r="G151" i="2"/>
  <c r="G115" i="2"/>
  <c r="G103" i="2"/>
  <c r="G67" i="2"/>
  <c r="I491" i="2"/>
  <c r="I167" i="2"/>
  <c r="H427" i="2"/>
  <c r="G394" i="2"/>
  <c r="G322" i="2"/>
  <c r="G226" i="2"/>
  <c r="G10" i="2"/>
  <c r="G501" i="2"/>
  <c r="G369" i="2"/>
  <c r="G488" i="2"/>
  <c r="G356" i="2"/>
  <c r="G296" i="2"/>
  <c r="G212" i="2"/>
  <c r="G486" i="2"/>
  <c r="G474" i="2"/>
  <c r="G462" i="2"/>
  <c r="G450" i="2"/>
  <c r="G438" i="2"/>
  <c r="G354" i="2"/>
  <c r="G342" i="2"/>
  <c r="G330" i="2"/>
  <c r="G318" i="2"/>
  <c r="G306" i="2"/>
  <c r="G294" i="2"/>
  <c r="G282" i="2"/>
  <c r="G270" i="2"/>
  <c r="G258" i="2"/>
  <c r="G246" i="2"/>
  <c r="G234" i="2"/>
  <c r="G222" i="2"/>
  <c r="G210" i="2"/>
  <c r="G198" i="2"/>
  <c r="H452" i="2"/>
  <c r="I470" i="2"/>
  <c r="H470" i="2"/>
  <c r="H192" i="2"/>
  <c r="I192" i="2"/>
  <c r="H191" i="2"/>
  <c r="I191" i="2"/>
  <c r="G370" i="2"/>
  <c r="G262" i="2"/>
  <c r="G70" i="2"/>
  <c r="I361" i="2"/>
  <c r="G477" i="2"/>
  <c r="G117" i="2"/>
  <c r="G33" i="2"/>
  <c r="G476" i="2"/>
  <c r="G248" i="2"/>
  <c r="G104" i="2"/>
  <c r="G32" i="2"/>
  <c r="G473" i="2"/>
  <c r="G461" i="2"/>
  <c r="G449" i="2"/>
  <c r="G437" i="2"/>
  <c r="G425" i="2"/>
  <c r="G353" i="2"/>
  <c r="G341" i="2"/>
  <c r="G329" i="2"/>
  <c r="G317" i="2"/>
  <c r="G305" i="2"/>
  <c r="G293" i="2"/>
  <c r="G281" i="2"/>
  <c r="G269" i="2"/>
  <c r="G257" i="2"/>
  <c r="I302" i="2"/>
  <c r="I273" i="2"/>
  <c r="H273" i="2"/>
  <c r="I159" i="2"/>
  <c r="H159" i="2"/>
  <c r="G2" i="2"/>
  <c r="G382" i="2"/>
  <c r="G166" i="2"/>
  <c r="G82" i="2"/>
  <c r="G381" i="2"/>
  <c r="G165" i="2"/>
  <c r="G368" i="2"/>
  <c r="G308" i="2"/>
  <c r="G260" i="2"/>
  <c r="G152" i="2"/>
  <c r="G56" i="2"/>
  <c r="G496" i="2"/>
  <c r="G484" i="2"/>
  <c r="G472" i="2"/>
  <c r="G460" i="2"/>
  <c r="G448" i="2"/>
  <c r="G436" i="2"/>
  <c r="G424" i="2"/>
  <c r="G412" i="2"/>
  <c r="G400" i="2"/>
  <c r="G388" i="2"/>
  <c r="G376" i="2"/>
  <c r="G364" i="2"/>
  <c r="G352" i="2"/>
  <c r="G340" i="2"/>
  <c r="G328" i="2"/>
  <c r="G316" i="2"/>
  <c r="G304" i="2"/>
  <c r="G292" i="2"/>
  <c r="G280" i="2"/>
  <c r="G268" i="2"/>
  <c r="I23" i="2"/>
  <c r="G55" i="2"/>
  <c r="G43" i="2"/>
  <c r="G31" i="2"/>
  <c r="G19" i="2"/>
  <c r="G186" i="2"/>
  <c r="G174" i="2"/>
  <c r="G162" i="2"/>
  <c r="G150" i="2"/>
  <c r="G138" i="2"/>
  <c r="G126" i="2"/>
  <c r="G114" i="2"/>
  <c r="G102" i="2"/>
  <c r="G90" i="2"/>
  <c r="G78" i="2"/>
  <c r="G66" i="2"/>
  <c r="G54" i="2"/>
  <c r="G42" i="2"/>
  <c r="G30" i="2"/>
  <c r="G18" i="2"/>
  <c r="G245" i="2"/>
  <c r="G233" i="2"/>
  <c r="G221" i="2"/>
  <c r="G209" i="2"/>
  <c r="G197" i="2"/>
  <c r="G185" i="2"/>
  <c r="G173" i="2"/>
  <c r="G161" i="2"/>
  <c r="G149" i="2"/>
  <c r="G137" i="2"/>
  <c r="G125" i="2"/>
  <c r="G113" i="2"/>
  <c r="G101" i="2"/>
  <c r="G89" i="2"/>
  <c r="G77" i="2"/>
  <c r="G65" i="2"/>
  <c r="G53" i="2"/>
  <c r="G41" i="2"/>
  <c r="G29" i="2"/>
  <c r="G17" i="2"/>
  <c r="G5" i="2"/>
  <c r="G256" i="2"/>
  <c r="G244" i="2"/>
  <c r="G232" i="2"/>
  <c r="G220" i="2"/>
  <c r="G208" i="2"/>
  <c r="G196" i="2"/>
  <c r="G184" i="2"/>
  <c r="G172" i="2"/>
  <c r="G160" i="2"/>
  <c r="G148" i="2"/>
  <c r="G136" i="2"/>
  <c r="G124" i="2"/>
  <c r="G112" i="2"/>
  <c r="G100" i="2"/>
  <c r="G88" i="2"/>
  <c r="G76" i="2"/>
  <c r="G64" i="2"/>
  <c r="G52" i="2"/>
  <c r="G40" i="2"/>
  <c r="G28" i="2"/>
  <c r="G16" i="2"/>
  <c r="G4" i="2"/>
  <c r="G15" i="2"/>
  <c r="G3" i="2"/>
  <c r="I39" i="2" l="1"/>
  <c r="I171" i="2"/>
  <c r="I482" i="2"/>
  <c r="I110" i="2"/>
  <c r="H331" i="2"/>
  <c r="I379" i="2"/>
  <c r="I403" i="2"/>
  <c r="H6" i="2"/>
  <c r="I287" i="2"/>
  <c r="I80" i="2"/>
  <c r="I179" i="2"/>
  <c r="H401" i="2"/>
  <c r="H373" i="2"/>
  <c r="I397" i="2"/>
  <c r="I445" i="2"/>
  <c r="I155" i="2"/>
  <c r="I146" i="2"/>
  <c r="H428" i="2"/>
  <c r="I22" i="2"/>
  <c r="H93" i="2"/>
  <c r="I79" i="2"/>
  <c r="H495" i="2"/>
  <c r="H402" i="2"/>
  <c r="H497" i="2"/>
  <c r="I169" i="2"/>
  <c r="H48" i="2"/>
  <c r="I170" i="2"/>
  <c r="I494" i="2"/>
  <c r="H237" i="2"/>
  <c r="I157" i="2"/>
  <c r="H14" i="2"/>
  <c r="I25" i="2"/>
  <c r="I444" i="2"/>
  <c r="H219" i="2"/>
  <c r="H72" i="2"/>
  <c r="H205" i="2"/>
  <c r="I391" i="2"/>
  <c r="I453" i="2"/>
  <c r="I338" i="2"/>
  <c r="H413" i="2"/>
  <c r="H13" i="2"/>
  <c r="I459" i="2"/>
  <c r="H283" i="2"/>
  <c r="H332" i="2"/>
  <c r="H81" i="2"/>
  <c r="H432" i="2"/>
  <c r="I349" i="2"/>
  <c r="H238" i="2"/>
  <c r="H478" i="2"/>
  <c r="H202" i="2"/>
  <c r="H9" i="2"/>
  <c r="H8" i="2"/>
  <c r="H193" i="2"/>
  <c r="I85" i="2"/>
  <c r="I456" i="2"/>
  <c r="H406" i="2"/>
  <c r="I143" i="2"/>
  <c r="H405" i="2"/>
  <c r="H419" i="2"/>
  <c r="H7" i="2"/>
  <c r="I63" i="2"/>
  <c r="I59" i="2"/>
  <c r="I346" i="2"/>
  <c r="H333" i="2"/>
  <c r="H389" i="2"/>
  <c r="H327" i="2"/>
  <c r="H225" i="2"/>
  <c r="H235" i="2"/>
  <c r="I194" i="2"/>
  <c r="H272" i="2"/>
  <c r="I223" i="2"/>
  <c r="I96" i="2"/>
  <c r="H253" i="2"/>
  <c r="H347" i="2"/>
  <c r="I74" i="2"/>
  <c r="H108" i="2"/>
  <c r="H26" i="2"/>
  <c r="H201" i="2"/>
  <c r="H38" i="2"/>
  <c r="H128" i="2"/>
  <c r="I224" i="2"/>
  <c r="H301" i="2"/>
  <c r="I284" i="2"/>
  <c r="I454" i="2"/>
  <c r="I24" i="2"/>
  <c r="H404" i="2"/>
  <c r="I227" i="2"/>
  <c r="I84" i="2"/>
  <c r="I421" i="2"/>
  <c r="I129" i="2"/>
  <c r="I265" i="2"/>
  <c r="H154" i="2"/>
  <c r="I109" i="2"/>
  <c r="I203" i="2"/>
  <c r="H44" i="2"/>
  <c r="I385" i="2"/>
  <c r="I395" i="2"/>
  <c r="H230" i="2"/>
  <c r="I467" i="2"/>
  <c r="H380" i="2"/>
  <c r="H422" i="2"/>
  <c r="I229" i="2"/>
  <c r="H264" i="2"/>
  <c r="I321" i="2"/>
  <c r="H315" i="2"/>
  <c r="I426" i="2"/>
  <c r="H218" i="2"/>
  <c r="I471" i="2"/>
  <c r="H285" i="2"/>
  <c r="H236" i="2"/>
  <c r="I430" i="2"/>
  <c r="H182" i="2"/>
  <c r="I217" i="2"/>
  <c r="I62" i="2"/>
  <c r="I468" i="2"/>
  <c r="H87" i="2"/>
  <c r="I271" i="2"/>
  <c r="H312" i="2"/>
  <c r="H393" i="2"/>
  <c r="H458" i="2"/>
  <c r="I286" i="2"/>
  <c r="H99" i="2"/>
  <c r="I276" i="2"/>
  <c r="H61" i="2"/>
  <c r="I277" i="2"/>
  <c r="H254" i="2"/>
  <c r="H417" i="2"/>
  <c r="H375" i="2"/>
  <c r="I216" i="2"/>
  <c r="H263" i="2"/>
  <c r="I441" i="2"/>
  <c r="I390" i="2"/>
  <c r="H107" i="2"/>
  <c r="I350" i="2"/>
  <c r="H278" i="2"/>
  <c r="I37" i="2"/>
  <c r="H91" i="2"/>
  <c r="H431" i="2"/>
  <c r="H442" i="2"/>
  <c r="H122" i="2"/>
  <c r="H374" i="2"/>
  <c r="I207" i="2"/>
  <c r="H239" i="2"/>
  <c r="I127" i="2"/>
  <c r="I367" i="2"/>
  <c r="H383" i="2"/>
  <c r="I215" i="2"/>
  <c r="H336" i="2"/>
  <c r="H204" i="2"/>
  <c r="H481" i="2"/>
  <c r="H319" i="2"/>
  <c r="H348" i="2"/>
  <c r="H21" i="2"/>
  <c r="H123" i="2"/>
  <c r="I95" i="2"/>
  <c r="I181" i="2"/>
  <c r="H418" i="2"/>
  <c r="I384" i="2"/>
  <c r="H71" i="2"/>
  <c r="I131" i="2"/>
  <c r="I434" i="2"/>
  <c r="I326" i="2"/>
  <c r="I168" i="2"/>
  <c r="I410" i="2"/>
  <c r="H240" i="2"/>
  <c r="I275" i="2"/>
  <c r="H351" i="2"/>
  <c r="H289" i="2"/>
  <c r="I359" i="2"/>
  <c r="I49" i="2"/>
  <c r="I493" i="2"/>
  <c r="I443" i="2"/>
  <c r="I469" i="2"/>
  <c r="I446" i="2"/>
  <c r="I252" i="2"/>
  <c r="I105" i="2"/>
  <c r="H111" i="2"/>
  <c r="I378" i="2"/>
  <c r="I158" i="2"/>
  <c r="H386" i="2"/>
  <c r="H363" i="2"/>
  <c r="H98" i="2"/>
  <c r="H291" i="2"/>
  <c r="H387" i="2"/>
  <c r="I298" i="2"/>
  <c r="I314" i="2"/>
  <c r="I251" i="2"/>
  <c r="I228" i="2"/>
  <c r="H134" i="2"/>
  <c r="I325" i="2"/>
  <c r="H465" i="2"/>
  <c r="I399" i="2"/>
  <c r="I371" i="2"/>
  <c r="H300" i="2"/>
  <c r="I407" i="2"/>
  <c r="I83" i="2"/>
  <c r="H435" i="2"/>
  <c r="H135" i="2"/>
  <c r="I492" i="2"/>
  <c r="H377" i="2"/>
  <c r="I313" i="2"/>
  <c r="I466" i="2"/>
  <c r="I415" i="2"/>
  <c r="H75" i="2"/>
  <c r="I439" i="2"/>
  <c r="H279" i="2"/>
  <c r="H290" i="2"/>
  <c r="H60" i="2"/>
  <c r="H241" i="2"/>
  <c r="I241" i="2"/>
  <c r="H46" i="2"/>
  <c r="I188" i="2"/>
  <c r="H433" i="2"/>
  <c r="I433" i="2"/>
  <c r="I411" i="2"/>
  <c r="I58" i="2"/>
  <c r="I266" i="2"/>
  <c r="I398" i="2"/>
  <c r="H398" i="2"/>
  <c r="H447" i="2"/>
  <c r="H147" i="2"/>
  <c r="I243" i="2"/>
  <c r="I320" i="2"/>
  <c r="I242" i="2"/>
  <c r="H409" i="2"/>
  <c r="H339" i="2"/>
  <c r="H106" i="2"/>
  <c r="H416" i="2"/>
  <c r="I144" i="2"/>
  <c r="H249" i="2"/>
  <c r="I12" i="2"/>
  <c r="H498" i="2"/>
  <c r="I86" i="2"/>
  <c r="I156" i="2"/>
  <c r="I288" i="2"/>
  <c r="I480" i="2"/>
  <c r="H45" i="2"/>
  <c r="H297" i="2"/>
  <c r="I457" i="2"/>
  <c r="I250" i="2"/>
  <c r="H206" i="2"/>
  <c r="H362" i="2"/>
  <c r="H365" i="2"/>
  <c r="I73" i="2"/>
  <c r="H97" i="2"/>
  <c r="H50" i="2"/>
  <c r="H189" i="2"/>
  <c r="H483" i="2"/>
  <c r="I414" i="2"/>
  <c r="H366" i="2"/>
  <c r="H145" i="2"/>
  <c r="I145" i="2"/>
  <c r="H120" i="2"/>
  <c r="I190" i="2"/>
  <c r="I133" i="2"/>
  <c r="H180" i="2"/>
  <c r="H440" i="2"/>
  <c r="I408" i="2"/>
  <c r="H423" i="2"/>
  <c r="H396" i="2"/>
  <c r="I132" i="2"/>
  <c r="H392" i="2"/>
  <c r="H51" i="2"/>
  <c r="I324" i="2"/>
  <c r="I337" i="2"/>
  <c r="I36" i="2"/>
  <c r="I372" i="2"/>
  <c r="I15" i="2"/>
  <c r="H15" i="2"/>
  <c r="H66" i="2"/>
  <c r="I66" i="2"/>
  <c r="I460" i="2"/>
  <c r="H460" i="2"/>
  <c r="H358" i="2"/>
  <c r="I358" i="2"/>
  <c r="I148" i="2"/>
  <c r="H148" i="2"/>
  <c r="H274" i="2"/>
  <c r="I274" i="2"/>
  <c r="H160" i="2"/>
  <c r="I160" i="2"/>
  <c r="H55" i="2"/>
  <c r="I55" i="2"/>
  <c r="H484" i="2"/>
  <c r="I484" i="2"/>
  <c r="H449" i="2"/>
  <c r="I449" i="2"/>
  <c r="H475" i="2"/>
  <c r="I475" i="2"/>
  <c r="H490" i="2"/>
  <c r="I490" i="2"/>
  <c r="I28" i="2"/>
  <c r="H28" i="2"/>
  <c r="H197" i="2"/>
  <c r="I197" i="2"/>
  <c r="H2" i="2"/>
  <c r="I2" i="2"/>
  <c r="I356" i="2"/>
  <c r="H356" i="2"/>
  <c r="H487" i="2"/>
  <c r="I487" i="2"/>
  <c r="I65" i="2"/>
  <c r="H65" i="2"/>
  <c r="H269" i="2"/>
  <c r="I269" i="2"/>
  <c r="H52" i="2"/>
  <c r="I52" i="2"/>
  <c r="H221" i="2"/>
  <c r="I221" i="2"/>
  <c r="I32" i="2"/>
  <c r="H32" i="2"/>
  <c r="H330" i="2"/>
  <c r="I330" i="2"/>
  <c r="H233" i="2"/>
  <c r="I233" i="2"/>
  <c r="I101" i="2"/>
  <c r="H101" i="2"/>
  <c r="I150" i="2"/>
  <c r="H150" i="2"/>
  <c r="H400" i="2"/>
  <c r="I400" i="2"/>
  <c r="H305" i="2"/>
  <c r="I305" i="2"/>
  <c r="I248" i="2"/>
  <c r="H248" i="2"/>
  <c r="H210" i="2"/>
  <c r="I210" i="2"/>
  <c r="H354" i="2"/>
  <c r="I354" i="2"/>
  <c r="H259" i="2"/>
  <c r="I259" i="2"/>
  <c r="I344" i="2"/>
  <c r="H344" i="2"/>
  <c r="I69" i="2"/>
  <c r="H69" i="2"/>
  <c r="I136" i="2"/>
  <c r="H136" i="2"/>
  <c r="H31" i="2"/>
  <c r="I31" i="2"/>
  <c r="I82" i="2"/>
  <c r="H82" i="2"/>
  <c r="I425" i="2"/>
  <c r="H425" i="2"/>
  <c r="H103" i="2"/>
  <c r="I103" i="2"/>
  <c r="I310" i="2"/>
  <c r="H310" i="2"/>
  <c r="I29" i="2"/>
  <c r="H29" i="2"/>
  <c r="H115" i="2"/>
  <c r="I115" i="2"/>
  <c r="H185" i="2"/>
  <c r="I185" i="2"/>
  <c r="H340" i="2"/>
  <c r="I340" i="2"/>
  <c r="H53" i="2"/>
  <c r="I53" i="2"/>
  <c r="I352" i="2"/>
  <c r="H352" i="2"/>
  <c r="I461" i="2"/>
  <c r="H461" i="2"/>
  <c r="H306" i="2"/>
  <c r="I306" i="2"/>
  <c r="I40" i="2"/>
  <c r="H40" i="2"/>
  <c r="H77" i="2"/>
  <c r="I77" i="2"/>
  <c r="I152" i="2"/>
  <c r="H152" i="2"/>
  <c r="I68" i="2"/>
  <c r="H68" i="2"/>
  <c r="H89" i="2"/>
  <c r="I89" i="2"/>
  <c r="I388" i="2"/>
  <c r="H388" i="2"/>
  <c r="I501" i="2"/>
  <c r="H501" i="2"/>
  <c r="H247" i="2"/>
  <c r="I247" i="2"/>
  <c r="I500" i="2"/>
  <c r="H500" i="2"/>
  <c r="H76" i="2"/>
  <c r="I76" i="2"/>
  <c r="I245" i="2"/>
  <c r="H245" i="2"/>
  <c r="I308" i="2"/>
  <c r="H308" i="2"/>
  <c r="H113" i="2"/>
  <c r="I113" i="2"/>
  <c r="H268" i="2"/>
  <c r="I268" i="2"/>
  <c r="H412" i="2"/>
  <c r="I412" i="2"/>
  <c r="I368" i="2"/>
  <c r="H368" i="2"/>
  <c r="I317" i="2"/>
  <c r="H317" i="2"/>
  <c r="I476" i="2"/>
  <c r="H476" i="2"/>
  <c r="H222" i="2"/>
  <c r="I222" i="2"/>
  <c r="H438" i="2"/>
  <c r="I438" i="2"/>
  <c r="I10" i="2"/>
  <c r="H10" i="2"/>
  <c r="H295" i="2"/>
  <c r="I295" i="2"/>
  <c r="I464" i="2"/>
  <c r="H464" i="2"/>
  <c r="I213" i="2"/>
  <c r="H213" i="2"/>
  <c r="I489" i="2"/>
  <c r="H489" i="2"/>
  <c r="I316" i="2"/>
  <c r="H316" i="2"/>
  <c r="H270" i="2"/>
  <c r="I270" i="2"/>
  <c r="H451" i="2"/>
  <c r="I451" i="2"/>
  <c r="H178" i="2"/>
  <c r="I178" i="2"/>
  <c r="H78" i="2"/>
  <c r="I78" i="2"/>
  <c r="I41" i="2"/>
  <c r="H41" i="2"/>
  <c r="H382" i="2"/>
  <c r="I382" i="2"/>
  <c r="H294" i="2"/>
  <c r="I294" i="2"/>
  <c r="I262" i="2"/>
  <c r="H262" i="2"/>
  <c r="H114" i="2"/>
  <c r="I114" i="2"/>
  <c r="H318" i="2"/>
  <c r="I318" i="2"/>
  <c r="I126" i="2"/>
  <c r="H126" i="2"/>
  <c r="H211" i="2"/>
  <c r="I211" i="2"/>
  <c r="I200" i="2"/>
  <c r="H200" i="2"/>
  <c r="I293" i="2"/>
  <c r="H293" i="2"/>
  <c r="I164" i="2"/>
  <c r="H164" i="2"/>
  <c r="H88" i="2"/>
  <c r="I88" i="2"/>
  <c r="I18" i="2"/>
  <c r="H18" i="2"/>
  <c r="I244" i="2"/>
  <c r="H244" i="2"/>
  <c r="H30" i="2"/>
  <c r="I30" i="2"/>
  <c r="I280" i="2"/>
  <c r="H280" i="2"/>
  <c r="I165" i="2"/>
  <c r="H165" i="2"/>
  <c r="H329" i="2"/>
  <c r="I329" i="2"/>
  <c r="I234" i="2"/>
  <c r="H234" i="2"/>
  <c r="I450" i="2"/>
  <c r="H450" i="2"/>
  <c r="I226" i="2"/>
  <c r="H226" i="2"/>
  <c r="H307" i="2"/>
  <c r="I307" i="2"/>
  <c r="I261" i="2"/>
  <c r="H261" i="2"/>
  <c r="I309" i="2"/>
  <c r="H309" i="2"/>
  <c r="H34" i="2"/>
  <c r="I34" i="2"/>
  <c r="H161" i="2"/>
  <c r="I161" i="2"/>
  <c r="I4" i="2"/>
  <c r="H4" i="2"/>
  <c r="H43" i="2"/>
  <c r="I43" i="2"/>
  <c r="I472" i="2"/>
  <c r="H472" i="2"/>
  <c r="H437" i="2"/>
  <c r="I437" i="2"/>
  <c r="H282" i="2"/>
  <c r="I282" i="2"/>
  <c r="H463" i="2"/>
  <c r="I463" i="2"/>
  <c r="H90" i="2"/>
  <c r="I90" i="2"/>
  <c r="H70" i="2"/>
  <c r="I70" i="2"/>
  <c r="I296" i="2"/>
  <c r="H296" i="2"/>
  <c r="H151" i="2"/>
  <c r="I151" i="2"/>
  <c r="I172" i="2"/>
  <c r="H172" i="2"/>
  <c r="H102" i="2"/>
  <c r="I102" i="2"/>
  <c r="I496" i="2"/>
  <c r="H496" i="2"/>
  <c r="I257" i="2"/>
  <c r="H257" i="2"/>
  <c r="H163" i="2"/>
  <c r="I163" i="2"/>
  <c r="I20" i="2"/>
  <c r="H20" i="2"/>
  <c r="H184" i="2"/>
  <c r="I184" i="2"/>
  <c r="I364" i="2"/>
  <c r="H364" i="2"/>
  <c r="I473" i="2"/>
  <c r="H473" i="2"/>
  <c r="H199" i="2"/>
  <c r="I199" i="2"/>
  <c r="I116" i="2"/>
  <c r="H116" i="2"/>
  <c r="I369" i="2"/>
  <c r="H369" i="2"/>
  <c r="I208" i="2"/>
  <c r="H208" i="2"/>
  <c r="H138" i="2"/>
  <c r="I138" i="2"/>
  <c r="I260" i="2"/>
  <c r="H260" i="2"/>
  <c r="I104" i="2"/>
  <c r="H104" i="2"/>
  <c r="I342" i="2"/>
  <c r="H342" i="2"/>
  <c r="H220" i="2"/>
  <c r="I220" i="2"/>
  <c r="H232" i="2"/>
  <c r="I232" i="2"/>
  <c r="H162" i="2"/>
  <c r="I162" i="2"/>
  <c r="I100" i="2"/>
  <c r="H100" i="2"/>
  <c r="H125" i="2"/>
  <c r="I125" i="2"/>
  <c r="H174" i="2"/>
  <c r="I174" i="2"/>
  <c r="I424" i="2"/>
  <c r="H424" i="2"/>
  <c r="I33" i="2"/>
  <c r="H33" i="2"/>
  <c r="H112" i="2"/>
  <c r="I112" i="2"/>
  <c r="I256" i="2"/>
  <c r="H256" i="2"/>
  <c r="I137" i="2"/>
  <c r="H137" i="2"/>
  <c r="I42" i="2"/>
  <c r="H42" i="2"/>
  <c r="H186" i="2"/>
  <c r="I186" i="2"/>
  <c r="H292" i="2"/>
  <c r="I292" i="2"/>
  <c r="H436" i="2"/>
  <c r="I436" i="2"/>
  <c r="I381" i="2"/>
  <c r="H381" i="2"/>
  <c r="H341" i="2"/>
  <c r="I341" i="2"/>
  <c r="I117" i="2"/>
  <c r="H117" i="2"/>
  <c r="H246" i="2"/>
  <c r="I246" i="2"/>
  <c r="H462" i="2"/>
  <c r="I462" i="2"/>
  <c r="H322" i="2"/>
  <c r="I322" i="2"/>
  <c r="H343" i="2"/>
  <c r="I343" i="2"/>
  <c r="I357" i="2"/>
  <c r="H357" i="2"/>
  <c r="I130" i="2"/>
  <c r="H130" i="2"/>
  <c r="H17" i="2"/>
  <c r="I17" i="2"/>
  <c r="H486" i="2"/>
  <c r="I486" i="2"/>
  <c r="I173" i="2"/>
  <c r="H173" i="2"/>
  <c r="H328" i="2"/>
  <c r="I328" i="2"/>
  <c r="H166" i="2"/>
  <c r="I166" i="2"/>
  <c r="I212" i="2"/>
  <c r="H212" i="2"/>
  <c r="H16" i="2"/>
  <c r="I16" i="2"/>
  <c r="I209" i="2"/>
  <c r="H209" i="2"/>
  <c r="I56" i="2"/>
  <c r="H56" i="2"/>
  <c r="I370" i="2"/>
  <c r="H370" i="2"/>
  <c r="I488" i="2"/>
  <c r="H488" i="2"/>
  <c r="H499" i="2"/>
  <c r="I499" i="2"/>
  <c r="H196" i="2"/>
  <c r="I196" i="2"/>
  <c r="H376" i="2"/>
  <c r="I376" i="2"/>
  <c r="I281" i="2"/>
  <c r="H281" i="2"/>
  <c r="I64" i="2"/>
  <c r="H64" i="2"/>
  <c r="H198" i="2"/>
  <c r="I198" i="2"/>
  <c r="I3" i="2"/>
  <c r="H3" i="2"/>
  <c r="H124" i="2"/>
  <c r="I124" i="2"/>
  <c r="I5" i="2"/>
  <c r="H5" i="2"/>
  <c r="I149" i="2"/>
  <c r="H149" i="2"/>
  <c r="H54" i="2"/>
  <c r="I54" i="2"/>
  <c r="H19" i="2"/>
  <c r="I19" i="2"/>
  <c r="H304" i="2"/>
  <c r="I304" i="2"/>
  <c r="H448" i="2"/>
  <c r="I448" i="2"/>
  <c r="I353" i="2"/>
  <c r="H353" i="2"/>
  <c r="I477" i="2"/>
  <c r="H477" i="2"/>
  <c r="I258" i="2"/>
  <c r="H258" i="2"/>
  <c r="I474" i="2"/>
  <c r="H474" i="2"/>
  <c r="H394" i="2"/>
  <c r="I394" i="2"/>
  <c r="H67" i="2"/>
  <c r="I67" i="2"/>
  <c r="H355" i="2"/>
  <c r="I355" i="2"/>
  <c r="I118" i="2"/>
  <c r="H118" i="2"/>
  <c r="H214" i="2"/>
  <c r="I214" i="2"/>
</calcChain>
</file>

<file path=xl/sharedStrings.xml><?xml version="1.0" encoding="utf-8"?>
<sst xmlns="http://schemas.openxmlformats.org/spreadsheetml/2006/main" count="1033" uniqueCount="25">
  <si>
    <t>Applicant_ID</t>
  </si>
  <si>
    <t>Age</t>
  </si>
  <si>
    <t>Annual_Income</t>
  </si>
  <si>
    <t>Employment_Type</t>
  </si>
  <si>
    <t>Employment_Years</t>
  </si>
  <si>
    <t>Credit_Score</t>
  </si>
  <si>
    <t>Existing_Loans</t>
  </si>
  <si>
    <t>Loan_Amount_Requested</t>
  </si>
  <si>
    <t>Loan_Tenure_Years</t>
  </si>
  <si>
    <t>Monthly_EMI_Obligation</t>
  </si>
  <si>
    <t>Collateral_Value</t>
  </si>
  <si>
    <t>Defaulter_History</t>
  </si>
  <si>
    <t>Business</t>
  </si>
  <si>
    <t>No</t>
  </si>
  <si>
    <t>Self-Employed</t>
  </si>
  <si>
    <t>Yes</t>
  </si>
  <si>
    <t>Salaried</t>
  </si>
  <si>
    <t>Age_Check</t>
  </si>
  <si>
    <t>Income_Check</t>
  </si>
  <si>
    <t>CreditScore_Check</t>
  </si>
  <si>
    <t>Employment_Check</t>
  </si>
  <si>
    <t>Defaulter_Check</t>
  </si>
  <si>
    <t>All_Eligible</t>
  </si>
  <si>
    <t>Eligibility_Status</t>
  </si>
  <si>
    <t>Reason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</si>
</sst>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 vertical="center"/>
    </xf>
  </cellXfs>
  <cellStyles count="1">
    <cellStyle name="Normal" xfId="0" builtinId="0"/>
  </cellStyles>
  <dxfs count="14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E2A832-E995-4D62-950F-798B86B8AAB6}" name="ApplicantData" displayName="ApplicantData" ref="A1:L501" totalsRowShown="0" headerRowDxfId="13" dataDxfId="12">
  <autoFilter ref="A1:L501" xr:uid="{47E2A832-E995-4D62-950F-798B86B8AAB6}"/>
  <tableColumns count="12">
    <tableColumn id="1" xr3:uid="{DD3FAEBC-E2B0-45CE-AF53-5B1EA9779CD6}" name="Applicant_ID" dataDxfId="11">
      <calculatedColumnFormula>"APP"&amp;TEXT(ROW()-1,"000")</calculatedColumnFormula>
    </tableColumn>
    <tableColumn id="2" xr3:uid="{C50214F2-BDD0-451E-BE20-69EB1BCA0181}" name="Age" dataDxfId="10"/>
    <tableColumn id="3" xr3:uid="{4F81DB8C-6BF3-432A-80F5-AD6376925FF7}" name="Annual_Income" dataDxfId="9"/>
    <tableColumn id="4" xr3:uid="{E939D4C6-5A5F-41C6-AD45-8D096FA4BFDE}" name="Employment_Type" dataDxfId="8"/>
    <tableColumn id="5" xr3:uid="{2D651EE8-D386-4C57-91BF-54CB6286DD81}" name="Employment_Years" dataDxfId="7"/>
    <tableColumn id="6" xr3:uid="{BAFE1784-CBA3-4E2A-94D6-F4A28785DEC6}" name="Credit_Score" dataDxfId="6"/>
    <tableColumn id="7" xr3:uid="{775EEFF7-722E-47F9-BBD8-2786403301F8}" name="Existing_Loans" dataDxfId="5"/>
    <tableColumn id="8" xr3:uid="{525EE16A-C373-41F2-BEAF-8DE2D16E2B8B}" name="Loan_Amount_Requested" dataDxfId="4"/>
    <tableColumn id="9" xr3:uid="{57DD9A1C-7123-4F8A-A161-04BC1A275AFB}" name="Loan_Tenure_Years" dataDxfId="3"/>
    <tableColumn id="10" xr3:uid="{2118EEA1-1652-4233-ACE1-004E341D6E26}" name="Monthly_EMI_Obligation" dataDxfId="2"/>
    <tableColumn id="11" xr3:uid="{E5752177-CC2A-431F-A4D8-BEE3B100A8F0}" name="Collateral_Value" dataDxfId="1"/>
    <tableColumn id="12" xr3:uid="{D009FEBE-CF65-48FD-8DCD-EDD871F270EE}" name="Defaulter_Histor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9C04A-9B00-4C79-A90C-1A8F15918EA6}">
  <sheetPr>
    <tabColor rgb="FF00B0F0"/>
  </sheetPr>
  <dimension ref="A1:L501"/>
  <sheetViews>
    <sheetView workbookViewId="0">
      <selection activeCell="B5" sqref="B5"/>
    </sheetView>
  </sheetViews>
  <sheetFormatPr defaultColWidth="29.7109375" defaultRowHeight="15" x14ac:dyDescent="0.25"/>
  <cols>
    <col min="1" max="16384" width="29.7109375" style="3"/>
  </cols>
  <sheetData>
    <row r="1" spans="1:12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x14ac:dyDescent="0.25">
      <c r="A2" s="3" t="str">
        <f>"APP"&amp;TEXT(ROW()-1,"000")</f>
        <v>APP001</v>
      </c>
      <c r="B2" s="3">
        <v>61</v>
      </c>
      <c r="C2" s="3">
        <v>1204571</v>
      </c>
      <c r="D2" s="3" t="s">
        <v>12</v>
      </c>
      <c r="E2" s="3">
        <v>9</v>
      </c>
      <c r="F2" s="3">
        <v>414</v>
      </c>
      <c r="G2" s="3">
        <v>3</v>
      </c>
      <c r="H2" s="3">
        <v>815722</v>
      </c>
      <c r="I2" s="3">
        <v>24</v>
      </c>
      <c r="J2" s="3">
        <v>74487</v>
      </c>
      <c r="K2" s="3">
        <v>6141596</v>
      </c>
      <c r="L2" s="3" t="s">
        <v>13</v>
      </c>
    </row>
    <row r="3" spans="1:12" x14ac:dyDescent="0.25">
      <c r="A3" s="3" t="str">
        <f t="shared" ref="A3:A66" si="0">"APP"&amp;TEXT(ROW()-1,"000")</f>
        <v>APP002</v>
      </c>
      <c r="B3" s="3">
        <v>43</v>
      </c>
      <c r="C3" s="3">
        <v>2450477</v>
      </c>
      <c r="D3" s="3" t="s">
        <v>14</v>
      </c>
      <c r="E3" s="3">
        <v>35</v>
      </c>
      <c r="F3" s="3">
        <v>393</v>
      </c>
      <c r="G3" s="3">
        <v>4</v>
      </c>
      <c r="H3" s="3">
        <v>1857095</v>
      </c>
      <c r="I3" s="3">
        <v>26</v>
      </c>
      <c r="J3" s="3">
        <v>41413</v>
      </c>
      <c r="K3" s="3">
        <v>7336964</v>
      </c>
      <c r="L3" s="3" t="s">
        <v>15</v>
      </c>
    </row>
    <row r="4" spans="1:12" x14ac:dyDescent="0.25">
      <c r="A4" s="3" t="str">
        <f t="shared" si="0"/>
        <v>APP003</v>
      </c>
      <c r="B4" s="3">
        <v>65</v>
      </c>
      <c r="C4" s="3">
        <v>167690</v>
      </c>
      <c r="D4" s="3" t="s">
        <v>16</v>
      </c>
      <c r="E4" s="3">
        <v>31</v>
      </c>
      <c r="F4" s="3">
        <v>872</v>
      </c>
      <c r="G4" s="3">
        <v>5</v>
      </c>
      <c r="H4" s="3">
        <v>2386936</v>
      </c>
      <c r="I4" s="3">
        <v>9</v>
      </c>
      <c r="J4" s="3">
        <v>42753</v>
      </c>
      <c r="K4" s="3">
        <v>1376488</v>
      </c>
      <c r="L4" s="3" t="s">
        <v>13</v>
      </c>
    </row>
    <row r="5" spans="1:12" x14ac:dyDescent="0.25">
      <c r="A5" s="3" t="str">
        <f t="shared" si="0"/>
        <v>APP004</v>
      </c>
      <c r="B5" s="3">
        <v>27</v>
      </c>
      <c r="C5" s="3">
        <v>1389606</v>
      </c>
      <c r="D5" s="3" t="s">
        <v>12</v>
      </c>
      <c r="E5" s="3">
        <v>18</v>
      </c>
      <c r="F5" s="3">
        <v>842</v>
      </c>
      <c r="G5" s="3">
        <v>0</v>
      </c>
      <c r="H5" s="3">
        <v>683789</v>
      </c>
      <c r="I5" s="3">
        <v>1</v>
      </c>
      <c r="J5" s="3">
        <v>54166</v>
      </c>
      <c r="K5" s="3">
        <v>9087366</v>
      </c>
      <c r="L5" s="3" t="s">
        <v>13</v>
      </c>
    </row>
    <row r="6" spans="1:12" x14ac:dyDescent="0.25">
      <c r="A6" s="3" t="str">
        <f t="shared" si="0"/>
        <v>APP005</v>
      </c>
      <c r="B6" s="3">
        <v>24</v>
      </c>
      <c r="C6" s="3">
        <v>1707168</v>
      </c>
      <c r="D6" s="3" t="s">
        <v>16</v>
      </c>
      <c r="E6" s="3">
        <v>22</v>
      </c>
      <c r="F6" s="3">
        <v>847</v>
      </c>
      <c r="G6" s="3">
        <v>1</v>
      </c>
      <c r="H6" s="3">
        <v>4329536</v>
      </c>
      <c r="I6" s="3">
        <v>8</v>
      </c>
      <c r="J6" s="3">
        <v>45905</v>
      </c>
      <c r="K6" s="3">
        <v>5165045</v>
      </c>
      <c r="L6" s="3" t="s">
        <v>13</v>
      </c>
    </row>
    <row r="7" spans="1:12" x14ac:dyDescent="0.25">
      <c r="A7" s="3" t="str">
        <f t="shared" si="0"/>
        <v>APP006</v>
      </c>
      <c r="B7" s="3">
        <v>49</v>
      </c>
      <c r="C7" s="3">
        <v>1718986</v>
      </c>
      <c r="D7" s="3" t="s">
        <v>12</v>
      </c>
      <c r="E7" s="3">
        <v>9</v>
      </c>
      <c r="F7" s="3">
        <v>463</v>
      </c>
      <c r="G7" s="3">
        <v>4</v>
      </c>
      <c r="H7" s="3">
        <v>2129188</v>
      </c>
      <c r="I7" s="3">
        <v>23</v>
      </c>
      <c r="J7" s="3">
        <v>73419</v>
      </c>
      <c r="K7" s="3">
        <v>9795770</v>
      </c>
      <c r="L7" s="3" t="s">
        <v>13</v>
      </c>
    </row>
    <row r="8" spans="1:12" x14ac:dyDescent="0.25">
      <c r="A8" s="3" t="str">
        <f t="shared" si="0"/>
        <v>APP007</v>
      </c>
      <c r="B8" s="3">
        <v>21</v>
      </c>
      <c r="C8" s="3">
        <v>2259776</v>
      </c>
      <c r="D8" s="3" t="s">
        <v>16</v>
      </c>
      <c r="E8" s="3">
        <v>3</v>
      </c>
      <c r="F8" s="3">
        <v>753</v>
      </c>
      <c r="G8" s="3">
        <v>3</v>
      </c>
      <c r="H8" s="3">
        <v>716601</v>
      </c>
      <c r="I8" s="3">
        <v>14</v>
      </c>
      <c r="J8" s="3">
        <v>24226</v>
      </c>
      <c r="K8" s="3">
        <v>9083313</v>
      </c>
      <c r="L8" s="3" t="s">
        <v>13</v>
      </c>
    </row>
    <row r="9" spans="1:12" x14ac:dyDescent="0.25">
      <c r="A9" s="3" t="str">
        <f t="shared" si="0"/>
        <v>APP008</v>
      </c>
      <c r="B9" s="3">
        <v>41</v>
      </c>
      <c r="C9" s="3">
        <v>784818</v>
      </c>
      <c r="D9" s="3" t="s">
        <v>16</v>
      </c>
      <c r="E9" s="3">
        <v>6</v>
      </c>
      <c r="F9" s="3">
        <v>441</v>
      </c>
      <c r="G9" s="3">
        <v>3</v>
      </c>
      <c r="H9" s="3">
        <v>2910789</v>
      </c>
      <c r="I9" s="3">
        <v>19</v>
      </c>
      <c r="J9" s="3">
        <v>674</v>
      </c>
      <c r="K9" s="3">
        <v>6062557</v>
      </c>
      <c r="L9" s="3" t="s">
        <v>15</v>
      </c>
    </row>
    <row r="10" spans="1:12" x14ac:dyDescent="0.25">
      <c r="A10" s="3" t="str">
        <f t="shared" si="0"/>
        <v>APP009</v>
      </c>
      <c r="B10" s="3">
        <v>29</v>
      </c>
      <c r="C10" s="3">
        <v>1781648</v>
      </c>
      <c r="D10" s="3" t="s">
        <v>14</v>
      </c>
      <c r="E10" s="3">
        <v>16</v>
      </c>
      <c r="F10" s="3">
        <v>740</v>
      </c>
      <c r="G10" s="3">
        <v>2</v>
      </c>
      <c r="H10" s="3">
        <v>2039188</v>
      </c>
      <c r="I10" s="3">
        <v>18</v>
      </c>
      <c r="J10" s="3">
        <v>75372</v>
      </c>
      <c r="K10" s="3">
        <v>4446639</v>
      </c>
      <c r="L10" s="3" t="s">
        <v>15</v>
      </c>
    </row>
    <row r="11" spans="1:12" x14ac:dyDescent="0.25">
      <c r="A11" s="3" t="str">
        <f t="shared" si="0"/>
        <v>APP010</v>
      </c>
      <c r="B11" s="3">
        <v>40</v>
      </c>
      <c r="C11" s="3">
        <v>730612</v>
      </c>
      <c r="D11" s="3" t="s">
        <v>14</v>
      </c>
      <c r="E11" s="3">
        <v>4</v>
      </c>
      <c r="F11" s="3">
        <v>474</v>
      </c>
      <c r="G11" s="3">
        <v>3</v>
      </c>
      <c r="H11" s="3">
        <v>2527021</v>
      </c>
      <c r="I11" s="3">
        <v>21</v>
      </c>
      <c r="J11" s="3">
        <v>35442</v>
      </c>
      <c r="K11" s="3">
        <v>3587433</v>
      </c>
      <c r="L11" s="3" t="s">
        <v>13</v>
      </c>
    </row>
    <row r="12" spans="1:12" x14ac:dyDescent="0.25">
      <c r="A12" s="3" t="str">
        <f t="shared" si="0"/>
        <v>APP011</v>
      </c>
      <c r="B12" s="3">
        <v>44</v>
      </c>
      <c r="C12" s="3">
        <v>624445</v>
      </c>
      <c r="D12" s="3" t="s">
        <v>16</v>
      </c>
      <c r="E12" s="3">
        <v>19</v>
      </c>
      <c r="F12" s="3">
        <v>643</v>
      </c>
      <c r="G12" s="3">
        <v>0</v>
      </c>
      <c r="H12" s="3">
        <v>2121655</v>
      </c>
      <c r="I12" s="3">
        <v>1</v>
      </c>
      <c r="J12" s="3">
        <v>70718</v>
      </c>
      <c r="K12" s="3">
        <v>2692207</v>
      </c>
      <c r="L12" s="3" t="s">
        <v>13</v>
      </c>
    </row>
    <row r="13" spans="1:12" x14ac:dyDescent="0.25">
      <c r="A13" s="3" t="str">
        <f t="shared" si="0"/>
        <v>APP012</v>
      </c>
      <c r="B13" s="3">
        <v>36</v>
      </c>
      <c r="C13" s="3">
        <v>458282</v>
      </c>
      <c r="D13" s="3" t="s">
        <v>12</v>
      </c>
      <c r="E13" s="3">
        <v>26</v>
      </c>
      <c r="F13" s="3">
        <v>821</v>
      </c>
      <c r="G13" s="3">
        <v>3</v>
      </c>
      <c r="H13" s="3">
        <v>3182421</v>
      </c>
      <c r="I13" s="3">
        <v>21</v>
      </c>
      <c r="J13" s="3">
        <v>61014</v>
      </c>
      <c r="K13" s="3">
        <v>9969383</v>
      </c>
      <c r="L13" s="3" t="s">
        <v>13</v>
      </c>
    </row>
    <row r="14" spans="1:12" x14ac:dyDescent="0.25">
      <c r="A14" s="3" t="str">
        <f t="shared" si="0"/>
        <v>APP013</v>
      </c>
      <c r="B14" s="3">
        <v>31</v>
      </c>
      <c r="C14" s="3">
        <v>1158611</v>
      </c>
      <c r="D14" s="3" t="s">
        <v>12</v>
      </c>
      <c r="E14" s="3">
        <v>12</v>
      </c>
      <c r="F14" s="3">
        <v>656</v>
      </c>
      <c r="G14" s="3">
        <v>3</v>
      </c>
      <c r="H14" s="3">
        <v>2476974</v>
      </c>
      <c r="I14" s="3">
        <v>16</v>
      </c>
      <c r="J14" s="3">
        <v>59733</v>
      </c>
      <c r="K14" s="3">
        <v>7584037</v>
      </c>
      <c r="L14" s="3" t="s">
        <v>13</v>
      </c>
    </row>
    <row r="15" spans="1:12" x14ac:dyDescent="0.25">
      <c r="A15" s="3" t="str">
        <f t="shared" si="0"/>
        <v>APP014</v>
      </c>
      <c r="B15" s="3">
        <v>37</v>
      </c>
      <c r="C15" s="3">
        <v>540757</v>
      </c>
      <c r="D15" s="3" t="s">
        <v>12</v>
      </c>
      <c r="E15" s="3">
        <v>5</v>
      </c>
      <c r="F15" s="3">
        <v>811</v>
      </c>
      <c r="G15" s="3">
        <v>0</v>
      </c>
      <c r="H15" s="3">
        <v>2743529</v>
      </c>
      <c r="I15" s="3">
        <v>5</v>
      </c>
      <c r="J15" s="3">
        <v>37410</v>
      </c>
      <c r="K15" s="3">
        <v>4282051</v>
      </c>
      <c r="L15" s="3" t="s">
        <v>15</v>
      </c>
    </row>
    <row r="16" spans="1:12" x14ac:dyDescent="0.25">
      <c r="A16" s="3" t="str">
        <f t="shared" si="0"/>
        <v>APP015</v>
      </c>
      <c r="B16" s="3">
        <v>28</v>
      </c>
      <c r="C16" s="3">
        <v>1904921</v>
      </c>
      <c r="D16" s="3" t="s">
        <v>16</v>
      </c>
      <c r="E16" s="3">
        <v>27</v>
      </c>
      <c r="F16" s="3">
        <v>658</v>
      </c>
      <c r="G16" s="3">
        <v>2</v>
      </c>
      <c r="H16" s="3">
        <v>2289242</v>
      </c>
      <c r="I16" s="3">
        <v>1</v>
      </c>
      <c r="J16" s="3">
        <v>30632</v>
      </c>
      <c r="K16" s="3">
        <v>6073190</v>
      </c>
      <c r="L16" s="3" t="s">
        <v>15</v>
      </c>
    </row>
    <row r="17" spans="1:12" x14ac:dyDescent="0.25">
      <c r="A17" s="3" t="str">
        <f t="shared" si="0"/>
        <v>APP016</v>
      </c>
      <c r="B17" s="3">
        <v>39</v>
      </c>
      <c r="C17" s="3">
        <v>2199326</v>
      </c>
      <c r="D17" s="3" t="s">
        <v>12</v>
      </c>
      <c r="E17" s="3">
        <v>3</v>
      </c>
      <c r="F17" s="3">
        <v>483</v>
      </c>
      <c r="G17" s="3">
        <v>2</v>
      </c>
      <c r="H17" s="3">
        <v>2905777</v>
      </c>
      <c r="I17" s="3">
        <v>21</v>
      </c>
      <c r="J17" s="3">
        <v>76232</v>
      </c>
      <c r="K17" s="3">
        <v>2664673</v>
      </c>
      <c r="L17" s="3" t="s">
        <v>15</v>
      </c>
    </row>
    <row r="18" spans="1:12" x14ac:dyDescent="0.25">
      <c r="A18" s="3" t="str">
        <f t="shared" si="0"/>
        <v>APP017</v>
      </c>
      <c r="B18" s="3">
        <v>25</v>
      </c>
      <c r="C18" s="3">
        <v>2390014</v>
      </c>
      <c r="D18" s="3" t="s">
        <v>12</v>
      </c>
      <c r="E18" s="3">
        <v>31</v>
      </c>
      <c r="F18" s="3">
        <v>444</v>
      </c>
      <c r="G18" s="3">
        <v>0</v>
      </c>
      <c r="H18" s="3">
        <v>3718673</v>
      </c>
      <c r="I18" s="3">
        <v>28</v>
      </c>
      <c r="J18" s="3">
        <v>5997</v>
      </c>
      <c r="K18" s="3">
        <v>8853883</v>
      </c>
      <c r="L18" s="3" t="s">
        <v>13</v>
      </c>
    </row>
    <row r="19" spans="1:12" x14ac:dyDescent="0.25">
      <c r="A19" s="3" t="str">
        <f t="shared" si="0"/>
        <v>APP018</v>
      </c>
      <c r="B19" s="3">
        <v>57</v>
      </c>
      <c r="C19" s="3">
        <v>1423634</v>
      </c>
      <c r="D19" s="3" t="s">
        <v>16</v>
      </c>
      <c r="E19" s="3">
        <v>8</v>
      </c>
      <c r="F19" s="3">
        <v>485</v>
      </c>
      <c r="G19" s="3">
        <v>2</v>
      </c>
      <c r="H19" s="3">
        <v>2868888</v>
      </c>
      <c r="I19" s="3">
        <v>28</v>
      </c>
      <c r="J19" s="3">
        <v>41970</v>
      </c>
      <c r="K19" s="3">
        <v>9366680</v>
      </c>
      <c r="L19" s="3" t="s">
        <v>13</v>
      </c>
    </row>
    <row r="20" spans="1:12" x14ac:dyDescent="0.25">
      <c r="A20" s="3" t="str">
        <f t="shared" si="0"/>
        <v>APP019</v>
      </c>
      <c r="B20" s="3">
        <v>64</v>
      </c>
      <c r="C20" s="3">
        <v>1796066</v>
      </c>
      <c r="D20" s="3" t="s">
        <v>16</v>
      </c>
      <c r="E20" s="3">
        <v>24</v>
      </c>
      <c r="F20" s="3">
        <v>499</v>
      </c>
      <c r="G20" s="3">
        <v>0</v>
      </c>
      <c r="H20" s="3">
        <v>4738228</v>
      </c>
      <c r="I20" s="3">
        <v>27</v>
      </c>
      <c r="J20" s="3">
        <v>68913</v>
      </c>
      <c r="K20" s="3">
        <v>5699313</v>
      </c>
      <c r="L20" s="3" t="s">
        <v>15</v>
      </c>
    </row>
    <row r="21" spans="1:12" x14ac:dyDescent="0.25">
      <c r="A21" s="3" t="str">
        <f t="shared" si="0"/>
        <v>APP020</v>
      </c>
      <c r="B21" s="3">
        <v>57</v>
      </c>
      <c r="C21" s="3">
        <v>840091</v>
      </c>
      <c r="D21" s="3" t="s">
        <v>12</v>
      </c>
      <c r="E21" s="3">
        <v>19</v>
      </c>
      <c r="F21" s="3">
        <v>663</v>
      </c>
      <c r="G21" s="3">
        <v>3</v>
      </c>
      <c r="H21" s="3">
        <v>2004534</v>
      </c>
      <c r="I21" s="3">
        <v>21</v>
      </c>
      <c r="J21" s="3">
        <v>21539</v>
      </c>
      <c r="K21" s="3">
        <v>9282765</v>
      </c>
      <c r="L21" s="3" t="s">
        <v>13</v>
      </c>
    </row>
    <row r="22" spans="1:12" x14ac:dyDescent="0.25">
      <c r="A22" s="3" t="str">
        <f t="shared" si="0"/>
        <v>APP021</v>
      </c>
      <c r="B22" s="3">
        <v>64</v>
      </c>
      <c r="C22" s="3">
        <v>718815</v>
      </c>
      <c r="D22" s="3" t="s">
        <v>12</v>
      </c>
      <c r="E22" s="3">
        <v>18</v>
      </c>
      <c r="F22" s="3">
        <v>721</v>
      </c>
      <c r="G22" s="3">
        <v>3</v>
      </c>
      <c r="H22" s="3">
        <v>4896674</v>
      </c>
      <c r="I22" s="3">
        <v>24</v>
      </c>
      <c r="J22" s="3">
        <v>10562</v>
      </c>
      <c r="K22" s="3">
        <v>556919</v>
      </c>
      <c r="L22" s="3" t="s">
        <v>13</v>
      </c>
    </row>
    <row r="23" spans="1:12" x14ac:dyDescent="0.25">
      <c r="A23" s="3" t="str">
        <f t="shared" si="0"/>
        <v>APP022</v>
      </c>
      <c r="B23" s="3">
        <v>45</v>
      </c>
      <c r="C23" s="3">
        <v>1578567</v>
      </c>
      <c r="D23" s="3" t="s">
        <v>16</v>
      </c>
      <c r="E23" s="3">
        <v>12</v>
      </c>
      <c r="F23" s="3">
        <v>403</v>
      </c>
      <c r="G23" s="3">
        <v>2</v>
      </c>
      <c r="H23" s="3">
        <v>149181</v>
      </c>
      <c r="I23" s="3">
        <v>17</v>
      </c>
      <c r="J23" s="3">
        <v>37777</v>
      </c>
      <c r="K23" s="3">
        <v>7182084</v>
      </c>
      <c r="L23" s="3" t="s">
        <v>13</v>
      </c>
    </row>
    <row r="24" spans="1:12" x14ac:dyDescent="0.25">
      <c r="A24" s="3" t="str">
        <f t="shared" si="0"/>
        <v>APP023</v>
      </c>
      <c r="B24" s="3">
        <v>35</v>
      </c>
      <c r="C24" s="3">
        <v>1060713</v>
      </c>
      <c r="D24" s="3" t="s">
        <v>12</v>
      </c>
      <c r="E24" s="3">
        <v>23</v>
      </c>
      <c r="F24" s="3">
        <v>501</v>
      </c>
      <c r="G24" s="3">
        <v>0</v>
      </c>
      <c r="H24" s="3">
        <v>1749321</v>
      </c>
      <c r="I24" s="3">
        <v>10</v>
      </c>
      <c r="J24" s="3">
        <v>26587</v>
      </c>
      <c r="K24" s="3">
        <v>5698707</v>
      </c>
      <c r="L24" s="3" t="s">
        <v>15</v>
      </c>
    </row>
    <row r="25" spans="1:12" x14ac:dyDescent="0.25">
      <c r="A25" s="3" t="str">
        <f t="shared" si="0"/>
        <v>APP024</v>
      </c>
      <c r="B25" s="3">
        <v>63</v>
      </c>
      <c r="C25" s="3">
        <v>1885011</v>
      </c>
      <c r="D25" s="3" t="s">
        <v>16</v>
      </c>
      <c r="E25" s="3">
        <v>29</v>
      </c>
      <c r="F25" s="3">
        <v>484</v>
      </c>
      <c r="G25" s="3">
        <v>1</v>
      </c>
      <c r="H25" s="3">
        <v>1872980</v>
      </c>
      <c r="I25" s="3">
        <v>29</v>
      </c>
      <c r="J25" s="3">
        <v>74962</v>
      </c>
      <c r="K25" s="3">
        <v>3049479</v>
      </c>
      <c r="L25" s="3" t="s">
        <v>15</v>
      </c>
    </row>
    <row r="26" spans="1:12" x14ac:dyDescent="0.25">
      <c r="A26" s="3" t="str">
        <f t="shared" si="0"/>
        <v>APP025</v>
      </c>
      <c r="B26" s="3">
        <v>62</v>
      </c>
      <c r="C26" s="3">
        <v>2136964</v>
      </c>
      <c r="D26" s="3" t="s">
        <v>16</v>
      </c>
      <c r="E26" s="3">
        <v>35</v>
      </c>
      <c r="F26" s="3">
        <v>763</v>
      </c>
      <c r="G26" s="3">
        <v>4</v>
      </c>
      <c r="H26" s="3">
        <v>1279478</v>
      </c>
      <c r="I26" s="3">
        <v>3</v>
      </c>
      <c r="J26" s="3">
        <v>45390</v>
      </c>
      <c r="K26" s="3">
        <v>4329410</v>
      </c>
      <c r="L26" s="3" t="s">
        <v>13</v>
      </c>
    </row>
    <row r="27" spans="1:12" x14ac:dyDescent="0.25">
      <c r="A27" s="3" t="str">
        <f t="shared" si="0"/>
        <v>APP026</v>
      </c>
      <c r="B27" s="3">
        <v>28</v>
      </c>
      <c r="C27" s="3">
        <v>822471</v>
      </c>
      <c r="D27" s="3" t="s">
        <v>14</v>
      </c>
      <c r="E27" s="3">
        <v>23</v>
      </c>
      <c r="F27" s="3">
        <v>701</v>
      </c>
      <c r="G27" s="3">
        <v>1</v>
      </c>
      <c r="H27" s="3">
        <v>479203</v>
      </c>
      <c r="I27" s="3">
        <v>18</v>
      </c>
      <c r="J27" s="3">
        <v>11795</v>
      </c>
      <c r="K27" s="3">
        <v>1011855</v>
      </c>
      <c r="L27" s="3" t="s">
        <v>15</v>
      </c>
    </row>
    <row r="28" spans="1:12" x14ac:dyDescent="0.25">
      <c r="A28" s="3" t="str">
        <f t="shared" si="0"/>
        <v>APP027</v>
      </c>
      <c r="B28" s="3">
        <v>65</v>
      </c>
      <c r="C28" s="3">
        <v>1340100</v>
      </c>
      <c r="D28" s="3" t="s">
        <v>12</v>
      </c>
      <c r="E28" s="3">
        <v>29</v>
      </c>
      <c r="F28" s="3">
        <v>732</v>
      </c>
      <c r="G28" s="3">
        <v>3</v>
      </c>
      <c r="H28" s="3">
        <v>2826221</v>
      </c>
      <c r="I28" s="3">
        <v>30</v>
      </c>
      <c r="J28" s="3">
        <v>66715</v>
      </c>
      <c r="K28" s="3">
        <v>98359</v>
      </c>
      <c r="L28" s="3" t="s">
        <v>13</v>
      </c>
    </row>
    <row r="29" spans="1:12" x14ac:dyDescent="0.25">
      <c r="A29" s="3" t="str">
        <f t="shared" si="0"/>
        <v>APP028</v>
      </c>
      <c r="B29" s="3">
        <v>23</v>
      </c>
      <c r="C29" s="3">
        <v>872742</v>
      </c>
      <c r="D29" s="3" t="s">
        <v>12</v>
      </c>
      <c r="E29" s="3">
        <v>17</v>
      </c>
      <c r="F29" s="3">
        <v>353</v>
      </c>
      <c r="G29" s="3">
        <v>1</v>
      </c>
      <c r="H29" s="3">
        <v>3098102</v>
      </c>
      <c r="I29" s="3">
        <v>3</v>
      </c>
      <c r="J29" s="3">
        <v>16241</v>
      </c>
      <c r="K29" s="3">
        <v>7809864</v>
      </c>
      <c r="L29" s="3" t="s">
        <v>13</v>
      </c>
    </row>
    <row r="30" spans="1:12" x14ac:dyDescent="0.25">
      <c r="A30" s="3" t="str">
        <f t="shared" si="0"/>
        <v>APP029</v>
      </c>
      <c r="B30" s="3">
        <v>58</v>
      </c>
      <c r="C30" s="3">
        <v>640344</v>
      </c>
      <c r="D30" s="3" t="s">
        <v>14</v>
      </c>
      <c r="E30" s="3">
        <v>10</v>
      </c>
      <c r="F30" s="3">
        <v>328</v>
      </c>
      <c r="G30" s="3">
        <v>1</v>
      </c>
      <c r="H30" s="3">
        <v>188199</v>
      </c>
      <c r="I30" s="3">
        <v>21</v>
      </c>
      <c r="J30" s="3">
        <v>15053</v>
      </c>
      <c r="K30" s="3">
        <v>1705300</v>
      </c>
      <c r="L30" s="3" t="s">
        <v>13</v>
      </c>
    </row>
    <row r="31" spans="1:12" x14ac:dyDescent="0.25">
      <c r="A31" s="3" t="str">
        <f t="shared" si="0"/>
        <v>APP030</v>
      </c>
      <c r="B31" s="3">
        <v>29</v>
      </c>
      <c r="C31" s="3">
        <v>222149</v>
      </c>
      <c r="D31" s="3" t="s">
        <v>16</v>
      </c>
      <c r="E31" s="3">
        <v>20</v>
      </c>
      <c r="F31" s="3">
        <v>431</v>
      </c>
      <c r="G31" s="3">
        <v>2</v>
      </c>
      <c r="H31" s="3">
        <v>2641225</v>
      </c>
      <c r="I31" s="3">
        <v>21</v>
      </c>
      <c r="J31" s="3">
        <v>37112</v>
      </c>
      <c r="K31" s="3">
        <v>4723094</v>
      </c>
      <c r="L31" s="3" t="s">
        <v>13</v>
      </c>
    </row>
    <row r="32" spans="1:12" x14ac:dyDescent="0.25">
      <c r="A32" s="3" t="str">
        <f t="shared" si="0"/>
        <v>APP031</v>
      </c>
      <c r="B32" s="3">
        <v>38</v>
      </c>
      <c r="C32" s="3">
        <v>1184686</v>
      </c>
      <c r="D32" s="3" t="s">
        <v>12</v>
      </c>
      <c r="E32" s="3">
        <v>31</v>
      </c>
      <c r="F32" s="3">
        <v>763</v>
      </c>
      <c r="G32" s="3">
        <v>1</v>
      </c>
      <c r="H32" s="3">
        <v>4432223</v>
      </c>
      <c r="I32" s="3">
        <v>13</v>
      </c>
      <c r="J32" s="3">
        <v>71886</v>
      </c>
      <c r="K32" s="3">
        <v>7694727</v>
      </c>
      <c r="L32" s="3" t="s">
        <v>13</v>
      </c>
    </row>
    <row r="33" spans="1:12" x14ac:dyDescent="0.25">
      <c r="A33" s="3" t="str">
        <f t="shared" si="0"/>
        <v>APP032</v>
      </c>
      <c r="B33" s="3">
        <v>62</v>
      </c>
      <c r="C33" s="3">
        <v>1928619</v>
      </c>
      <c r="D33" s="3" t="s">
        <v>14</v>
      </c>
      <c r="E33" s="3">
        <v>0</v>
      </c>
      <c r="F33" s="3">
        <v>675</v>
      </c>
      <c r="G33" s="3">
        <v>3</v>
      </c>
      <c r="H33" s="3">
        <v>2917866</v>
      </c>
      <c r="I33" s="3">
        <v>3</v>
      </c>
      <c r="J33" s="3">
        <v>3680</v>
      </c>
      <c r="K33" s="3">
        <v>2175736</v>
      </c>
      <c r="L33" s="3" t="s">
        <v>13</v>
      </c>
    </row>
    <row r="34" spans="1:12" x14ac:dyDescent="0.25">
      <c r="A34" s="3" t="str">
        <f t="shared" si="0"/>
        <v>APP033</v>
      </c>
      <c r="B34" s="3">
        <v>35</v>
      </c>
      <c r="C34" s="3">
        <v>177025</v>
      </c>
      <c r="D34" s="3" t="s">
        <v>16</v>
      </c>
      <c r="E34" s="3">
        <v>16</v>
      </c>
      <c r="F34" s="3">
        <v>355</v>
      </c>
      <c r="G34" s="3">
        <v>4</v>
      </c>
      <c r="H34" s="3">
        <v>922728</v>
      </c>
      <c r="I34" s="3">
        <v>20</v>
      </c>
      <c r="J34" s="3">
        <v>68943</v>
      </c>
      <c r="K34" s="3">
        <v>66691</v>
      </c>
      <c r="L34" s="3" t="s">
        <v>13</v>
      </c>
    </row>
    <row r="35" spans="1:12" x14ac:dyDescent="0.25">
      <c r="A35" s="3" t="str">
        <f t="shared" si="0"/>
        <v>APP034</v>
      </c>
      <c r="B35" s="3">
        <v>52</v>
      </c>
      <c r="C35" s="3">
        <v>1761530</v>
      </c>
      <c r="D35" s="3" t="s">
        <v>14</v>
      </c>
      <c r="E35" s="3">
        <v>22</v>
      </c>
      <c r="F35" s="3">
        <v>571</v>
      </c>
      <c r="G35" s="3">
        <v>0</v>
      </c>
      <c r="H35" s="3">
        <v>1314786</v>
      </c>
      <c r="I35" s="3">
        <v>3</v>
      </c>
      <c r="J35" s="3">
        <v>72482</v>
      </c>
      <c r="K35" s="3">
        <v>7198186</v>
      </c>
      <c r="L35" s="3" t="s">
        <v>15</v>
      </c>
    </row>
    <row r="36" spans="1:12" x14ac:dyDescent="0.25">
      <c r="A36" s="3" t="str">
        <f t="shared" si="0"/>
        <v>APP035</v>
      </c>
      <c r="B36" s="3">
        <v>29</v>
      </c>
      <c r="C36" s="3">
        <v>2091944</v>
      </c>
      <c r="D36" s="3" t="s">
        <v>12</v>
      </c>
      <c r="E36" s="3">
        <v>0</v>
      </c>
      <c r="F36" s="3">
        <v>754</v>
      </c>
      <c r="G36" s="3">
        <v>4</v>
      </c>
      <c r="H36" s="3">
        <v>1177819</v>
      </c>
      <c r="I36" s="3">
        <v>12</v>
      </c>
      <c r="J36" s="3">
        <v>14067</v>
      </c>
      <c r="K36" s="3">
        <v>1513533</v>
      </c>
      <c r="L36" s="3" t="s">
        <v>13</v>
      </c>
    </row>
    <row r="37" spans="1:12" x14ac:dyDescent="0.25">
      <c r="A37" s="3" t="str">
        <f t="shared" si="0"/>
        <v>APP036</v>
      </c>
      <c r="B37" s="3">
        <v>26</v>
      </c>
      <c r="C37" s="3">
        <v>928562</v>
      </c>
      <c r="D37" s="3" t="s">
        <v>16</v>
      </c>
      <c r="E37" s="3">
        <v>5</v>
      </c>
      <c r="F37" s="3">
        <v>716</v>
      </c>
      <c r="G37" s="3">
        <v>0</v>
      </c>
      <c r="H37" s="3">
        <v>4749417</v>
      </c>
      <c r="I37" s="3">
        <v>13</v>
      </c>
      <c r="J37" s="3">
        <v>38727</v>
      </c>
      <c r="K37" s="3">
        <v>1732460</v>
      </c>
      <c r="L37" s="3" t="s">
        <v>15</v>
      </c>
    </row>
    <row r="38" spans="1:12" x14ac:dyDescent="0.25">
      <c r="A38" s="3" t="str">
        <f t="shared" si="0"/>
        <v>APP037</v>
      </c>
      <c r="B38" s="3">
        <v>35</v>
      </c>
      <c r="C38" s="3">
        <v>400532</v>
      </c>
      <c r="D38" s="3" t="s">
        <v>14</v>
      </c>
      <c r="E38" s="3">
        <v>23</v>
      </c>
      <c r="F38" s="3">
        <v>872</v>
      </c>
      <c r="G38" s="3">
        <v>3</v>
      </c>
      <c r="H38" s="3">
        <v>3953380</v>
      </c>
      <c r="I38" s="3">
        <v>8</v>
      </c>
      <c r="J38" s="3">
        <v>34128</v>
      </c>
      <c r="K38" s="3">
        <v>5012734</v>
      </c>
      <c r="L38" s="3" t="s">
        <v>15</v>
      </c>
    </row>
    <row r="39" spans="1:12" x14ac:dyDescent="0.25">
      <c r="A39" s="3" t="str">
        <f t="shared" si="0"/>
        <v>APP038</v>
      </c>
      <c r="B39" s="3">
        <v>55</v>
      </c>
      <c r="C39" s="3">
        <v>1717308</v>
      </c>
      <c r="D39" s="3" t="s">
        <v>16</v>
      </c>
      <c r="E39" s="3">
        <v>11</v>
      </c>
      <c r="F39" s="3">
        <v>491</v>
      </c>
      <c r="G39" s="3">
        <v>4</v>
      </c>
      <c r="H39" s="3">
        <v>4416606</v>
      </c>
      <c r="I39" s="3">
        <v>4</v>
      </c>
      <c r="J39" s="3">
        <v>64683</v>
      </c>
      <c r="K39" s="3">
        <v>6745482</v>
      </c>
      <c r="L39" s="3" t="s">
        <v>13</v>
      </c>
    </row>
    <row r="40" spans="1:12" x14ac:dyDescent="0.25">
      <c r="A40" s="3" t="str">
        <f t="shared" si="0"/>
        <v>APP039</v>
      </c>
      <c r="B40" s="3">
        <v>61</v>
      </c>
      <c r="C40" s="3">
        <v>2498540</v>
      </c>
      <c r="D40" s="3" t="s">
        <v>12</v>
      </c>
      <c r="E40" s="3">
        <v>7</v>
      </c>
      <c r="F40" s="3">
        <v>623</v>
      </c>
      <c r="G40" s="3">
        <v>4</v>
      </c>
      <c r="H40" s="3">
        <v>2519440</v>
      </c>
      <c r="I40" s="3">
        <v>23</v>
      </c>
      <c r="J40" s="3">
        <v>20185</v>
      </c>
      <c r="K40" s="3">
        <v>721538</v>
      </c>
      <c r="L40" s="3" t="s">
        <v>13</v>
      </c>
    </row>
    <row r="41" spans="1:12" x14ac:dyDescent="0.25">
      <c r="A41" s="3" t="str">
        <f t="shared" si="0"/>
        <v>APP040</v>
      </c>
      <c r="B41" s="3">
        <v>49</v>
      </c>
      <c r="C41" s="3">
        <v>728852</v>
      </c>
      <c r="D41" s="3" t="s">
        <v>16</v>
      </c>
      <c r="E41" s="3">
        <v>27</v>
      </c>
      <c r="F41" s="3">
        <v>833</v>
      </c>
      <c r="G41" s="3">
        <v>3</v>
      </c>
      <c r="H41" s="3">
        <v>1615896</v>
      </c>
      <c r="I41" s="3">
        <v>16</v>
      </c>
      <c r="J41" s="3">
        <v>23204</v>
      </c>
      <c r="K41" s="3">
        <v>3135413</v>
      </c>
      <c r="L41" s="3" t="s">
        <v>13</v>
      </c>
    </row>
    <row r="42" spans="1:12" x14ac:dyDescent="0.25">
      <c r="A42" s="3" t="str">
        <f t="shared" si="0"/>
        <v>APP041</v>
      </c>
      <c r="B42" s="3">
        <v>55</v>
      </c>
      <c r="C42" s="3">
        <v>182678</v>
      </c>
      <c r="D42" s="3" t="s">
        <v>14</v>
      </c>
      <c r="E42" s="3">
        <v>10</v>
      </c>
      <c r="F42" s="3">
        <v>511</v>
      </c>
      <c r="G42" s="3">
        <v>4</v>
      </c>
      <c r="H42" s="3">
        <v>1972611</v>
      </c>
      <c r="I42" s="3">
        <v>15</v>
      </c>
      <c r="J42" s="3">
        <v>40642</v>
      </c>
      <c r="K42" s="3">
        <v>438776</v>
      </c>
      <c r="L42" s="3" t="s">
        <v>13</v>
      </c>
    </row>
    <row r="43" spans="1:12" x14ac:dyDescent="0.25">
      <c r="A43" s="3" t="str">
        <f t="shared" si="0"/>
        <v>APP042</v>
      </c>
      <c r="B43" s="3">
        <v>22</v>
      </c>
      <c r="C43" s="3">
        <v>1348953</v>
      </c>
      <c r="D43" s="3" t="s">
        <v>12</v>
      </c>
      <c r="E43" s="3">
        <v>12</v>
      </c>
      <c r="F43" s="3">
        <v>433</v>
      </c>
      <c r="G43" s="3">
        <v>4</v>
      </c>
      <c r="H43" s="3">
        <v>1062747</v>
      </c>
      <c r="I43" s="3">
        <v>11</v>
      </c>
      <c r="J43" s="3">
        <v>38615</v>
      </c>
      <c r="K43" s="3">
        <v>169951</v>
      </c>
      <c r="L43" s="3" t="s">
        <v>13</v>
      </c>
    </row>
    <row r="44" spans="1:12" x14ac:dyDescent="0.25">
      <c r="A44" s="3" t="str">
        <f t="shared" si="0"/>
        <v>APP043</v>
      </c>
      <c r="B44" s="3">
        <v>53</v>
      </c>
      <c r="C44" s="3">
        <v>848685</v>
      </c>
      <c r="D44" s="3" t="s">
        <v>16</v>
      </c>
      <c r="E44" s="3">
        <v>22</v>
      </c>
      <c r="F44" s="3">
        <v>716</v>
      </c>
      <c r="G44" s="3">
        <v>5</v>
      </c>
      <c r="H44" s="3">
        <v>1791420</v>
      </c>
      <c r="I44" s="3">
        <v>4</v>
      </c>
      <c r="J44" s="3">
        <v>15736</v>
      </c>
      <c r="K44" s="3">
        <v>2220185</v>
      </c>
      <c r="L44" s="3" t="s">
        <v>13</v>
      </c>
    </row>
    <row r="45" spans="1:12" x14ac:dyDescent="0.25">
      <c r="A45" s="3" t="str">
        <f t="shared" si="0"/>
        <v>APP044</v>
      </c>
      <c r="B45" s="3">
        <v>59</v>
      </c>
      <c r="C45" s="3">
        <v>2273022</v>
      </c>
      <c r="D45" s="3" t="s">
        <v>16</v>
      </c>
      <c r="E45" s="3">
        <v>21</v>
      </c>
      <c r="F45" s="3">
        <v>488</v>
      </c>
      <c r="G45" s="3">
        <v>3</v>
      </c>
      <c r="H45" s="3">
        <v>1033294</v>
      </c>
      <c r="I45" s="3">
        <v>10</v>
      </c>
      <c r="J45" s="3">
        <v>35816</v>
      </c>
      <c r="K45" s="3">
        <v>1722161</v>
      </c>
      <c r="L45" s="3" t="s">
        <v>13</v>
      </c>
    </row>
    <row r="46" spans="1:12" x14ac:dyDescent="0.25">
      <c r="A46" s="3" t="str">
        <f t="shared" si="0"/>
        <v>APP045</v>
      </c>
      <c r="B46" s="3">
        <v>39</v>
      </c>
      <c r="C46" s="3">
        <v>2261960</v>
      </c>
      <c r="D46" s="3" t="s">
        <v>16</v>
      </c>
      <c r="E46" s="3">
        <v>18</v>
      </c>
      <c r="F46" s="3">
        <v>467</v>
      </c>
      <c r="G46" s="3">
        <v>2</v>
      </c>
      <c r="H46" s="3">
        <v>2783264</v>
      </c>
      <c r="I46" s="3">
        <v>21</v>
      </c>
      <c r="J46" s="3">
        <v>19254</v>
      </c>
      <c r="K46" s="3">
        <v>6012062</v>
      </c>
      <c r="L46" s="3" t="s">
        <v>15</v>
      </c>
    </row>
    <row r="47" spans="1:12" x14ac:dyDescent="0.25">
      <c r="A47" s="3" t="str">
        <f t="shared" si="0"/>
        <v>APP046</v>
      </c>
      <c r="B47" s="3">
        <v>37</v>
      </c>
      <c r="C47" s="3">
        <v>1213508</v>
      </c>
      <c r="D47" s="3" t="s">
        <v>12</v>
      </c>
      <c r="E47" s="3">
        <v>30</v>
      </c>
      <c r="F47" s="3">
        <v>465</v>
      </c>
      <c r="G47" s="3">
        <v>3</v>
      </c>
      <c r="H47" s="3">
        <v>4735452</v>
      </c>
      <c r="I47" s="3">
        <v>13</v>
      </c>
      <c r="J47" s="3">
        <v>35032</v>
      </c>
      <c r="K47" s="3">
        <v>3938157</v>
      </c>
      <c r="L47" s="3" t="s">
        <v>15</v>
      </c>
    </row>
    <row r="48" spans="1:12" x14ac:dyDescent="0.25">
      <c r="A48" s="3" t="str">
        <f t="shared" si="0"/>
        <v>APP047</v>
      </c>
      <c r="B48" s="3">
        <v>21</v>
      </c>
      <c r="C48" s="3">
        <v>1536847</v>
      </c>
      <c r="D48" s="3" t="s">
        <v>12</v>
      </c>
      <c r="E48" s="3">
        <v>15</v>
      </c>
      <c r="F48" s="3">
        <v>878</v>
      </c>
      <c r="G48" s="3">
        <v>2</v>
      </c>
      <c r="H48" s="3">
        <v>4026517</v>
      </c>
      <c r="I48" s="3">
        <v>6</v>
      </c>
      <c r="J48" s="3">
        <v>71207</v>
      </c>
      <c r="K48" s="3">
        <v>9278138</v>
      </c>
      <c r="L48" s="3" t="s">
        <v>13</v>
      </c>
    </row>
    <row r="49" spans="1:12" x14ac:dyDescent="0.25">
      <c r="A49" s="3" t="str">
        <f t="shared" si="0"/>
        <v>APP048</v>
      </c>
      <c r="B49" s="3">
        <v>58</v>
      </c>
      <c r="C49" s="3">
        <v>1020897</v>
      </c>
      <c r="D49" s="3" t="s">
        <v>14</v>
      </c>
      <c r="E49" s="3">
        <v>19</v>
      </c>
      <c r="F49" s="3">
        <v>460</v>
      </c>
      <c r="G49" s="3">
        <v>2</v>
      </c>
      <c r="H49" s="3">
        <v>4154213</v>
      </c>
      <c r="I49" s="3">
        <v>12</v>
      </c>
      <c r="J49" s="3">
        <v>7194</v>
      </c>
      <c r="K49" s="3">
        <v>3105803</v>
      </c>
      <c r="L49" s="3" t="s">
        <v>13</v>
      </c>
    </row>
    <row r="50" spans="1:12" x14ac:dyDescent="0.25">
      <c r="A50" s="3" t="str">
        <f t="shared" si="0"/>
        <v>APP049</v>
      </c>
      <c r="B50" s="3">
        <v>30</v>
      </c>
      <c r="C50" s="3">
        <v>1948115</v>
      </c>
      <c r="D50" s="3" t="s">
        <v>12</v>
      </c>
      <c r="E50" s="3">
        <v>35</v>
      </c>
      <c r="F50" s="3">
        <v>856</v>
      </c>
      <c r="G50" s="3">
        <v>5</v>
      </c>
      <c r="H50" s="3">
        <v>4091875</v>
      </c>
      <c r="I50" s="3">
        <v>7</v>
      </c>
      <c r="J50" s="3">
        <v>25442</v>
      </c>
      <c r="K50" s="3">
        <v>6826204</v>
      </c>
      <c r="L50" s="3" t="s">
        <v>13</v>
      </c>
    </row>
    <row r="51" spans="1:12" x14ac:dyDescent="0.25">
      <c r="A51" s="3" t="str">
        <f t="shared" si="0"/>
        <v>APP050</v>
      </c>
      <c r="B51" s="3">
        <v>63</v>
      </c>
      <c r="C51" s="3">
        <v>1876789</v>
      </c>
      <c r="D51" s="3" t="s">
        <v>14</v>
      </c>
      <c r="E51" s="3">
        <v>14</v>
      </c>
      <c r="F51" s="3">
        <v>641</v>
      </c>
      <c r="G51" s="3">
        <v>5</v>
      </c>
      <c r="H51" s="3">
        <v>1000267</v>
      </c>
      <c r="I51" s="3">
        <v>9</v>
      </c>
      <c r="J51" s="3">
        <v>64992</v>
      </c>
      <c r="K51" s="3">
        <v>8332361</v>
      </c>
      <c r="L51" s="3" t="s">
        <v>13</v>
      </c>
    </row>
    <row r="52" spans="1:12" x14ac:dyDescent="0.25">
      <c r="A52" s="3" t="str">
        <f t="shared" si="0"/>
        <v>APP051</v>
      </c>
      <c r="B52" s="3">
        <v>50</v>
      </c>
      <c r="C52" s="3">
        <v>958501</v>
      </c>
      <c r="D52" s="3" t="s">
        <v>14</v>
      </c>
      <c r="E52" s="3">
        <v>24</v>
      </c>
      <c r="F52" s="3">
        <v>837</v>
      </c>
      <c r="G52" s="3">
        <v>0</v>
      </c>
      <c r="H52" s="3">
        <v>4570915</v>
      </c>
      <c r="I52" s="3">
        <v>11</v>
      </c>
      <c r="J52" s="3">
        <v>38415</v>
      </c>
      <c r="K52" s="3">
        <v>3999725</v>
      </c>
      <c r="L52" s="3" t="s">
        <v>13</v>
      </c>
    </row>
    <row r="53" spans="1:12" x14ac:dyDescent="0.25">
      <c r="A53" s="3" t="str">
        <f t="shared" si="0"/>
        <v>APP052</v>
      </c>
      <c r="B53" s="3">
        <v>43</v>
      </c>
      <c r="C53" s="3">
        <v>951001</v>
      </c>
      <c r="D53" s="3" t="s">
        <v>16</v>
      </c>
      <c r="E53" s="3">
        <v>4</v>
      </c>
      <c r="F53" s="3">
        <v>610</v>
      </c>
      <c r="G53" s="3">
        <v>3</v>
      </c>
      <c r="H53" s="3">
        <v>4468825</v>
      </c>
      <c r="I53" s="3">
        <v>24</v>
      </c>
      <c r="J53" s="3">
        <v>77433</v>
      </c>
      <c r="K53" s="3">
        <v>9025926</v>
      </c>
      <c r="L53" s="3" t="s">
        <v>13</v>
      </c>
    </row>
    <row r="54" spans="1:12" x14ac:dyDescent="0.25">
      <c r="A54" s="3" t="str">
        <f t="shared" si="0"/>
        <v>APP053</v>
      </c>
      <c r="B54" s="3">
        <v>34</v>
      </c>
      <c r="C54" s="3">
        <v>1704407</v>
      </c>
      <c r="D54" s="3" t="s">
        <v>16</v>
      </c>
      <c r="E54" s="3">
        <v>35</v>
      </c>
      <c r="F54" s="3">
        <v>606</v>
      </c>
      <c r="G54" s="3">
        <v>4</v>
      </c>
      <c r="H54" s="3">
        <v>3920878</v>
      </c>
      <c r="I54" s="3">
        <v>28</v>
      </c>
      <c r="J54" s="3">
        <v>36276</v>
      </c>
      <c r="K54" s="3">
        <v>122755</v>
      </c>
      <c r="L54" s="3" t="s">
        <v>15</v>
      </c>
    </row>
    <row r="55" spans="1:12" x14ac:dyDescent="0.25">
      <c r="A55" s="3" t="str">
        <f t="shared" si="0"/>
        <v>APP054</v>
      </c>
      <c r="B55" s="3">
        <v>30</v>
      </c>
      <c r="C55" s="3">
        <v>999560</v>
      </c>
      <c r="D55" s="3" t="s">
        <v>12</v>
      </c>
      <c r="E55" s="3">
        <v>31</v>
      </c>
      <c r="F55" s="3">
        <v>558</v>
      </c>
      <c r="G55" s="3">
        <v>0</v>
      </c>
      <c r="H55" s="3">
        <v>2598602</v>
      </c>
      <c r="I55" s="3">
        <v>23</v>
      </c>
      <c r="J55" s="3">
        <v>57935</v>
      </c>
      <c r="K55" s="3">
        <v>6234503</v>
      </c>
      <c r="L55" s="3" t="s">
        <v>13</v>
      </c>
    </row>
    <row r="56" spans="1:12" x14ac:dyDescent="0.25">
      <c r="A56" s="3" t="str">
        <f t="shared" si="0"/>
        <v>APP055</v>
      </c>
      <c r="B56" s="3">
        <v>38</v>
      </c>
      <c r="C56" s="3">
        <v>748715</v>
      </c>
      <c r="D56" s="3" t="s">
        <v>12</v>
      </c>
      <c r="E56" s="3">
        <v>27</v>
      </c>
      <c r="F56" s="3">
        <v>769</v>
      </c>
      <c r="G56" s="3">
        <v>1</v>
      </c>
      <c r="H56" s="3">
        <v>221182</v>
      </c>
      <c r="I56" s="3">
        <v>30</v>
      </c>
      <c r="J56" s="3">
        <v>61862</v>
      </c>
      <c r="K56" s="3">
        <v>9793730</v>
      </c>
      <c r="L56" s="3" t="s">
        <v>15</v>
      </c>
    </row>
    <row r="57" spans="1:12" x14ac:dyDescent="0.25">
      <c r="A57" s="3" t="str">
        <f t="shared" si="0"/>
        <v>APP056</v>
      </c>
      <c r="B57" s="3">
        <v>32</v>
      </c>
      <c r="C57" s="3">
        <v>2370232</v>
      </c>
      <c r="D57" s="3" t="s">
        <v>12</v>
      </c>
      <c r="E57" s="3">
        <v>30</v>
      </c>
      <c r="F57" s="3">
        <v>884</v>
      </c>
      <c r="G57" s="3">
        <v>2</v>
      </c>
      <c r="H57" s="3">
        <v>2077333</v>
      </c>
      <c r="I57" s="3">
        <v>30</v>
      </c>
      <c r="J57" s="3">
        <v>36515</v>
      </c>
      <c r="K57" s="3">
        <v>7290428</v>
      </c>
      <c r="L57" s="3" t="s">
        <v>13</v>
      </c>
    </row>
    <row r="58" spans="1:12" x14ac:dyDescent="0.25">
      <c r="A58" s="3" t="str">
        <f t="shared" si="0"/>
        <v>APP057</v>
      </c>
      <c r="B58" s="3">
        <v>48</v>
      </c>
      <c r="C58" s="3">
        <v>1650375</v>
      </c>
      <c r="D58" s="3" t="s">
        <v>12</v>
      </c>
      <c r="E58" s="3">
        <v>35</v>
      </c>
      <c r="F58" s="3">
        <v>813</v>
      </c>
      <c r="G58" s="3">
        <v>2</v>
      </c>
      <c r="H58" s="3">
        <v>1518345</v>
      </c>
      <c r="I58" s="3">
        <v>8</v>
      </c>
      <c r="J58" s="3">
        <v>15423</v>
      </c>
      <c r="K58" s="3">
        <v>9525530</v>
      </c>
      <c r="L58" s="3" t="s">
        <v>15</v>
      </c>
    </row>
    <row r="59" spans="1:12" x14ac:dyDescent="0.25">
      <c r="A59" s="3" t="str">
        <f t="shared" si="0"/>
        <v>APP058</v>
      </c>
      <c r="B59" s="3">
        <v>24</v>
      </c>
      <c r="C59" s="3">
        <v>2411110</v>
      </c>
      <c r="D59" s="3" t="s">
        <v>16</v>
      </c>
      <c r="E59" s="3">
        <v>19</v>
      </c>
      <c r="F59" s="3">
        <v>518</v>
      </c>
      <c r="G59" s="3">
        <v>1</v>
      </c>
      <c r="H59" s="3">
        <v>4895418</v>
      </c>
      <c r="I59" s="3">
        <v>14</v>
      </c>
      <c r="J59" s="3">
        <v>78473</v>
      </c>
      <c r="K59" s="3">
        <v>4990190</v>
      </c>
      <c r="L59" s="3" t="s">
        <v>13</v>
      </c>
    </row>
    <row r="60" spans="1:12" x14ac:dyDescent="0.25">
      <c r="A60" s="3" t="str">
        <f t="shared" si="0"/>
        <v>APP059</v>
      </c>
      <c r="B60" s="3">
        <v>36</v>
      </c>
      <c r="C60" s="3">
        <v>1068429</v>
      </c>
      <c r="D60" s="3" t="s">
        <v>12</v>
      </c>
      <c r="E60" s="3">
        <v>5</v>
      </c>
      <c r="F60" s="3">
        <v>523</v>
      </c>
      <c r="G60" s="3">
        <v>2</v>
      </c>
      <c r="H60" s="3">
        <v>4161119</v>
      </c>
      <c r="I60" s="3">
        <v>13</v>
      </c>
      <c r="J60" s="3">
        <v>37048</v>
      </c>
      <c r="K60" s="3">
        <v>3867443</v>
      </c>
      <c r="L60" s="3" t="s">
        <v>13</v>
      </c>
    </row>
    <row r="61" spans="1:12" x14ac:dyDescent="0.25">
      <c r="A61" s="3" t="str">
        <f t="shared" si="0"/>
        <v>APP060</v>
      </c>
      <c r="B61" s="3">
        <v>36</v>
      </c>
      <c r="C61" s="3">
        <v>1869867</v>
      </c>
      <c r="D61" s="3" t="s">
        <v>16</v>
      </c>
      <c r="E61" s="3">
        <v>19</v>
      </c>
      <c r="F61" s="3">
        <v>802</v>
      </c>
      <c r="G61" s="3">
        <v>4</v>
      </c>
      <c r="H61" s="3">
        <v>4098160</v>
      </c>
      <c r="I61" s="3">
        <v>25</v>
      </c>
      <c r="J61" s="3">
        <v>77996</v>
      </c>
      <c r="K61" s="3">
        <v>6804606</v>
      </c>
      <c r="L61" s="3" t="s">
        <v>13</v>
      </c>
    </row>
    <row r="62" spans="1:12" x14ac:dyDescent="0.25">
      <c r="A62" s="3" t="str">
        <f t="shared" si="0"/>
        <v>APP061</v>
      </c>
      <c r="B62" s="3">
        <v>61</v>
      </c>
      <c r="C62" s="3">
        <v>1231274</v>
      </c>
      <c r="D62" s="3" t="s">
        <v>12</v>
      </c>
      <c r="E62" s="3">
        <v>2</v>
      </c>
      <c r="F62" s="3">
        <v>571</v>
      </c>
      <c r="G62" s="3">
        <v>1</v>
      </c>
      <c r="H62" s="3">
        <v>3517974</v>
      </c>
      <c r="I62" s="3">
        <v>27</v>
      </c>
      <c r="J62" s="3">
        <v>5028</v>
      </c>
      <c r="K62" s="3">
        <v>9654663</v>
      </c>
      <c r="L62" s="3" t="s">
        <v>15</v>
      </c>
    </row>
    <row r="63" spans="1:12" x14ac:dyDescent="0.25">
      <c r="A63" s="3" t="str">
        <f t="shared" si="0"/>
        <v>APP062</v>
      </c>
      <c r="B63" s="3">
        <v>32</v>
      </c>
      <c r="C63" s="3">
        <v>1964405</v>
      </c>
      <c r="D63" s="3" t="s">
        <v>16</v>
      </c>
      <c r="E63" s="3">
        <v>32</v>
      </c>
      <c r="F63" s="3">
        <v>356</v>
      </c>
      <c r="G63" s="3">
        <v>0</v>
      </c>
      <c r="H63" s="3">
        <v>3068955</v>
      </c>
      <c r="I63" s="3">
        <v>22</v>
      </c>
      <c r="J63" s="3">
        <v>60270</v>
      </c>
      <c r="K63" s="3">
        <v>6440413</v>
      </c>
      <c r="L63" s="3" t="s">
        <v>13</v>
      </c>
    </row>
    <row r="64" spans="1:12" x14ac:dyDescent="0.25">
      <c r="A64" s="3" t="str">
        <f t="shared" si="0"/>
        <v>APP063</v>
      </c>
      <c r="B64" s="3">
        <v>51</v>
      </c>
      <c r="C64" s="3">
        <v>2426641</v>
      </c>
      <c r="D64" s="3" t="s">
        <v>14</v>
      </c>
      <c r="E64" s="3">
        <v>26</v>
      </c>
      <c r="F64" s="3">
        <v>544</v>
      </c>
      <c r="G64" s="3">
        <v>5</v>
      </c>
      <c r="H64" s="3">
        <v>656975</v>
      </c>
      <c r="I64" s="3">
        <v>4</v>
      </c>
      <c r="J64" s="3">
        <v>50815</v>
      </c>
      <c r="K64" s="3">
        <v>1743349</v>
      </c>
      <c r="L64" s="3" t="s">
        <v>15</v>
      </c>
    </row>
    <row r="65" spans="1:12" x14ac:dyDescent="0.25">
      <c r="A65" s="3" t="str">
        <f t="shared" si="0"/>
        <v>APP064</v>
      </c>
      <c r="B65" s="3">
        <v>36</v>
      </c>
      <c r="C65" s="3">
        <v>1213100</v>
      </c>
      <c r="D65" s="3" t="s">
        <v>14</v>
      </c>
      <c r="E65" s="3">
        <v>30</v>
      </c>
      <c r="F65" s="3">
        <v>783</v>
      </c>
      <c r="G65" s="3">
        <v>0</v>
      </c>
      <c r="H65" s="3">
        <v>4023741</v>
      </c>
      <c r="I65" s="3">
        <v>22</v>
      </c>
      <c r="J65" s="3">
        <v>8732</v>
      </c>
      <c r="K65" s="3">
        <v>8785792</v>
      </c>
      <c r="L65" s="3" t="s">
        <v>13</v>
      </c>
    </row>
    <row r="66" spans="1:12" x14ac:dyDescent="0.25">
      <c r="A66" s="3" t="str">
        <f t="shared" si="0"/>
        <v>APP065</v>
      </c>
      <c r="B66" s="3">
        <v>23</v>
      </c>
      <c r="C66" s="3">
        <v>973013</v>
      </c>
      <c r="D66" s="3" t="s">
        <v>14</v>
      </c>
      <c r="E66" s="3">
        <v>19</v>
      </c>
      <c r="F66" s="3">
        <v>854</v>
      </c>
      <c r="G66" s="3">
        <v>5</v>
      </c>
      <c r="H66" s="3">
        <v>1396481</v>
      </c>
      <c r="I66" s="3">
        <v>18</v>
      </c>
      <c r="J66" s="3">
        <v>6776</v>
      </c>
      <c r="K66" s="3">
        <v>2323758</v>
      </c>
      <c r="L66" s="3" t="s">
        <v>13</v>
      </c>
    </row>
    <row r="67" spans="1:12" x14ac:dyDescent="0.25">
      <c r="A67" s="3" t="str">
        <f t="shared" ref="A67:A130" si="1">"APP"&amp;TEXT(ROW()-1,"000")</f>
        <v>APP066</v>
      </c>
      <c r="B67" s="3">
        <v>39</v>
      </c>
      <c r="C67" s="3">
        <v>192675</v>
      </c>
      <c r="D67" s="3" t="s">
        <v>12</v>
      </c>
      <c r="E67" s="3">
        <v>22</v>
      </c>
      <c r="F67" s="3">
        <v>709</v>
      </c>
      <c r="G67" s="3">
        <v>0</v>
      </c>
      <c r="H67" s="3">
        <v>4388812</v>
      </c>
      <c r="I67" s="3">
        <v>2</v>
      </c>
      <c r="J67" s="3">
        <v>71877</v>
      </c>
      <c r="K67" s="3">
        <v>8416923</v>
      </c>
      <c r="L67" s="3" t="s">
        <v>13</v>
      </c>
    </row>
    <row r="68" spans="1:12" x14ac:dyDescent="0.25">
      <c r="A68" s="3" t="str">
        <f t="shared" si="1"/>
        <v>APP067</v>
      </c>
      <c r="B68" s="3">
        <v>30</v>
      </c>
      <c r="C68" s="3">
        <v>824772</v>
      </c>
      <c r="D68" s="3" t="s">
        <v>12</v>
      </c>
      <c r="E68" s="3">
        <v>15</v>
      </c>
      <c r="F68" s="3">
        <v>362</v>
      </c>
      <c r="G68" s="3">
        <v>4</v>
      </c>
      <c r="H68" s="3">
        <v>929453</v>
      </c>
      <c r="I68" s="3">
        <v>26</v>
      </c>
      <c r="J68" s="3">
        <v>70600</v>
      </c>
      <c r="K68" s="3">
        <v>6986816</v>
      </c>
      <c r="L68" s="3" t="s">
        <v>15</v>
      </c>
    </row>
    <row r="69" spans="1:12" x14ac:dyDescent="0.25">
      <c r="A69" s="3" t="str">
        <f t="shared" si="1"/>
        <v>APP068</v>
      </c>
      <c r="B69" s="3">
        <v>43</v>
      </c>
      <c r="C69" s="3">
        <v>714778</v>
      </c>
      <c r="D69" s="3" t="s">
        <v>14</v>
      </c>
      <c r="E69" s="3">
        <v>13</v>
      </c>
      <c r="F69" s="3">
        <v>468</v>
      </c>
      <c r="G69" s="3">
        <v>0</v>
      </c>
      <c r="H69" s="3">
        <v>679007</v>
      </c>
      <c r="I69" s="3">
        <v>13</v>
      </c>
      <c r="J69" s="3">
        <v>74908</v>
      </c>
      <c r="K69" s="3">
        <v>6393378</v>
      </c>
      <c r="L69" s="3" t="s">
        <v>13</v>
      </c>
    </row>
    <row r="70" spans="1:12" x14ac:dyDescent="0.25">
      <c r="A70" s="3" t="str">
        <f t="shared" si="1"/>
        <v>APP069</v>
      </c>
      <c r="B70" s="3">
        <v>56</v>
      </c>
      <c r="C70" s="3">
        <v>1694141</v>
      </c>
      <c r="D70" s="3" t="s">
        <v>12</v>
      </c>
      <c r="E70" s="3">
        <v>35</v>
      </c>
      <c r="F70" s="3">
        <v>514</v>
      </c>
      <c r="G70" s="3">
        <v>5</v>
      </c>
      <c r="H70" s="3">
        <v>3896734</v>
      </c>
      <c r="I70" s="3">
        <v>16</v>
      </c>
      <c r="J70" s="3">
        <v>59893</v>
      </c>
      <c r="K70" s="3">
        <v>7953996</v>
      </c>
      <c r="L70" s="3" t="s">
        <v>15</v>
      </c>
    </row>
    <row r="71" spans="1:12" x14ac:dyDescent="0.25">
      <c r="A71" s="3" t="str">
        <f t="shared" si="1"/>
        <v>APP070</v>
      </c>
      <c r="B71" s="3">
        <v>50</v>
      </c>
      <c r="C71" s="3">
        <v>1097042</v>
      </c>
      <c r="D71" s="3" t="s">
        <v>14</v>
      </c>
      <c r="E71" s="3">
        <v>4</v>
      </c>
      <c r="F71" s="3">
        <v>864</v>
      </c>
      <c r="G71" s="3">
        <v>5</v>
      </c>
      <c r="H71" s="3">
        <v>1836492</v>
      </c>
      <c r="I71" s="3">
        <v>12</v>
      </c>
      <c r="J71" s="3">
        <v>56307</v>
      </c>
      <c r="K71" s="3">
        <v>5115783</v>
      </c>
      <c r="L71" s="3" t="s">
        <v>13</v>
      </c>
    </row>
    <row r="72" spans="1:12" x14ac:dyDescent="0.25">
      <c r="A72" s="3" t="str">
        <f t="shared" si="1"/>
        <v>APP071</v>
      </c>
      <c r="B72" s="3">
        <v>26</v>
      </c>
      <c r="C72" s="3">
        <v>1086926</v>
      </c>
      <c r="D72" s="3" t="s">
        <v>12</v>
      </c>
      <c r="E72" s="3">
        <v>16</v>
      </c>
      <c r="F72" s="3">
        <v>542</v>
      </c>
      <c r="G72" s="3">
        <v>5</v>
      </c>
      <c r="H72" s="3">
        <v>1935626</v>
      </c>
      <c r="I72" s="3">
        <v>19</v>
      </c>
      <c r="J72" s="3">
        <v>12440</v>
      </c>
      <c r="K72" s="3">
        <v>3003358</v>
      </c>
      <c r="L72" s="3" t="s">
        <v>13</v>
      </c>
    </row>
    <row r="73" spans="1:12" x14ac:dyDescent="0.25">
      <c r="A73" s="3" t="str">
        <f t="shared" si="1"/>
        <v>APP072</v>
      </c>
      <c r="B73" s="3">
        <v>39</v>
      </c>
      <c r="C73" s="3">
        <v>762818</v>
      </c>
      <c r="D73" s="3" t="s">
        <v>16</v>
      </c>
      <c r="E73" s="3">
        <v>29</v>
      </c>
      <c r="F73" s="3">
        <v>812</v>
      </c>
      <c r="G73" s="3">
        <v>1</v>
      </c>
      <c r="H73" s="3">
        <v>784847</v>
      </c>
      <c r="I73" s="3">
        <v>2</v>
      </c>
      <c r="J73" s="3">
        <v>32308</v>
      </c>
      <c r="K73" s="3">
        <v>145138</v>
      </c>
      <c r="L73" s="3" t="s">
        <v>13</v>
      </c>
    </row>
    <row r="74" spans="1:12" x14ac:dyDescent="0.25">
      <c r="A74" s="3" t="str">
        <f t="shared" si="1"/>
        <v>APP073</v>
      </c>
      <c r="B74" s="3">
        <v>25</v>
      </c>
      <c r="C74" s="3">
        <v>270998</v>
      </c>
      <c r="D74" s="3" t="s">
        <v>14</v>
      </c>
      <c r="E74" s="3">
        <v>2</v>
      </c>
      <c r="F74" s="3">
        <v>677</v>
      </c>
      <c r="G74" s="3">
        <v>1</v>
      </c>
      <c r="H74" s="3">
        <v>702752</v>
      </c>
      <c r="I74" s="3">
        <v>20</v>
      </c>
      <c r="J74" s="3">
        <v>44740</v>
      </c>
      <c r="K74" s="3">
        <v>4047506</v>
      </c>
      <c r="L74" s="3" t="s">
        <v>13</v>
      </c>
    </row>
    <row r="75" spans="1:12" x14ac:dyDescent="0.25">
      <c r="A75" s="3" t="str">
        <f t="shared" si="1"/>
        <v>APP074</v>
      </c>
      <c r="B75" s="3">
        <v>50</v>
      </c>
      <c r="C75" s="3">
        <v>846458</v>
      </c>
      <c r="D75" s="3" t="s">
        <v>12</v>
      </c>
      <c r="E75" s="3">
        <v>35</v>
      </c>
      <c r="F75" s="3">
        <v>476</v>
      </c>
      <c r="G75" s="3">
        <v>4</v>
      </c>
      <c r="H75" s="3">
        <v>2771729</v>
      </c>
      <c r="I75" s="3">
        <v>8</v>
      </c>
      <c r="J75" s="3">
        <v>19069</v>
      </c>
      <c r="K75" s="3">
        <v>5631439</v>
      </c>
      <c r="L75" s="3" t="s">
        <v>13</v>
      </c>
    </row>
    <row r="76" spans="1:12" x14ac:dyDescent="0.25">
      <c r="A76" s="3" t="str">
        <f t="shared" si="1"/>
        <v>APP075</v>
      </c>
      <c r="B76" s="3">
        <v>21</v>
      </c>
      <c r="C76" s="3">
        <v>1875540</v>
      </c>
      <c r="D76" s="3" t="s">
        <v>12</v>
      </c>
      <c r="E76" s="3">
        <v>20</v>
      </c>
      <c r="F76" s="3">
        <v>583</v>
      </c>
      <c r="G76" s="3">
        <v>4</v>
      </c>
      <c r="H76" s="3">
        <v>178513</v>
      </c>
      <c r="I76" s="3">
        <v>19</v>
      </c>
      <c r="J76" s="3">
        <v>63427</v>
      </c>
      <c r="K76" s="3">
        <v>810734</v>
      </c>
      <c r="L76" s="3" t="s">
        <v>13</v>
      </c>
    </row>
    <row r="77" spans="1:12" x14ac:dyDescent="0.25">
      <c r="A77" s="3" t="str">
        <f t="shared" si="1"/>
        <v>APP076</v>
      </c>
      <c r="B77" s="3">
        <v>38</v>
      </c>
      <c r="C77" s="3">
        <v>356077</v>
      </c>
      <c r="D77" s="3" t="s">
        <v>14</v>
      </c>
      <c r="E77" s="3">
        <v>31</v>
      </c>
      <c r="F77" s="3">
        <v>705</v>
      </c>
      <c r="G77" s="3">
        <v>0</v>
      </c>
      <c r="H77" s="3">
        <v>1644812</v>
      </c>
      <c r="I77" s="3">
        <v>14</v>
      </c>
      <c r="J77" s="3">
        <v>75506</v>
      </c>
      <c r="K77" s="3">
        <v>9411380</v>
      </c>
      <c r="L77" s="3" t="s">
        <v>13</v>
      </c>
    </row>
    <row r="78" spans="1:12" x14ac:dyDescent="0.25">
      <c r="A78" s="3" t="str">
        <f t="shared" si="1"/>
        <v>APP077</v>
      </c>
      <c r="B78" s="3">
        <v>49</v>
      </c>
      <c r="C78" s="3">
        <v>2425875</v>
      </c>
      <c r="D78" s="3" t="s">
        <v>16</v>
      </c>
      <c r="E78" s="3">
        <v>12</v>
      </c>
      <c r="F78" s="3">
        <v>854</v>
      </c>
      <c r="G78" s="3">
        <v>1</v>
      </c>
      <c r="H78" s="3">
        <v>4167162</v>
      </c>
      <c r="I78" s="3">
        <v>9</v>
      </c>
      <c r="J78" s="3">
        <v>53471</v>
      </c>
      <c r="K78" s="3">
        <v>8180221</v>
      </c>
      <c r="L78" s="3" t="s">
        <v>13</v>
      </c>
    </row>
    <row r="79" spans="1:12" x14ac:dyDescent="0.25">
      <c r="A79" s="3" t="str">
        <f t="shared" si="1"/>
        <v>APP078</v>
      </c>
      <c r="B79" s="3">
        <v>29</v>
      </c>
      <c r="C79" s="3">
        <v>512311</v>
      </c>
      <c r="D79" s="3" t="s">
        <v>16</v>
      </c>
      <c r="E79" s="3">
        <v>8</v>
      </c>
      <c r="F79" s="3">
        <v>624</v>
      </c>
      <c r="G79" s="3">
        <v>4</v>
      </c>
      <c r="H79" s="3">
        <v>1575818</v>
      </c>
      <c r="I79" s="3">
        <v>5</v>
      </c>
      <c r="J79" s="3">
        <v>37213</v>
      </c>
      <c r="K79" s="3">
        <v>9969883</v>
      </c>
      <c r="L79" s="3" t="s">
        <v>13</v>
      </c>
    </row>
    <row r="80" spans="1:12" x14ac:dyDescent="0.25">
      <c r="A80" s="3" t="str">
        <f t="shared" si="1"/>
        <v>APP079</v>
      </c>
      <c r="B80" s="3">
        <v>50</v>
      </c>
      <c r="C80" s="3">
        <v>1229983</v>
      </c>
      <c r="D80" s="3" t="s">
        <v>16</v>
      </c>
      <c r="E80" s="3">
        <v>11</v>
      </c>
      <c r="F80" s="3">
        <v>793</v>
      </c>
      <c r="G80" s="3">
        <v>3</v>
      </c>
      <c r="H80" s="3">
        <v>3771481</v>
      </c>
      <c r="I80" s="3">
        <v>24</v>
      </c>
      <c r="J80" s="3">
        <v>17661</v>
      </c>
      <c r="K80" s="3">
        <v>2991427</v>
      </c>
      <c r="L80" s="3" t="s">
        <v>13</v>
      </c>
    </row>
    <row r="81" spans="1:12" x14ac:dyDescent="0.25">
      <c r="A81" s="3" t="str">
        <f t="shared" si="1"/>
        <v>APP080</v>
      </c>
      <c r="B81" s="3">
        <v>29</v>
      </c>
      <c r="C81" s="3">
        <v>2384896</v>
      </c>
      <c r="D81" s="3" t="s">
        <v>14</v>
      </c>
      <c r="E81" s="3">
        <v>14</v>
      </c>
      <c r="F81" s="3">
        <v>849</v>
      </c>
      <c r="G81" s="3">
        <v>5</v>
      </c>
      <c r="H81" s="3">
        <v>4687622</v>
      </c>
      <c r="I81" s="3">
        <v>8</v>
      </c>
      <c r="J81" s="3">
        <v>31469</v>
      </c>
      <c r="K81" s="3">
        <v>7711440</v>
      </c>
      <c r="L81" s="3" t="s">
        <v>13</v>
      </c>
    </row>
    <row r="82" spans="1:12" x14ac:dyDescent="0.25">
      <c r="A82" s="3" t="str">
        <f t="shared" si="1"/>
        <v>APP081</v>
      </c>
      <c r="B82" s="3">
        <v>42</v>
      </c>
      <c r="C82" s="3">
        <v>1861691</v>
      </c>
      <c r="D82" s="3" t="s">
        <v>12</v>
      </c>
      <c r="E82" s="3">
        <v>31</v>
      </c>
      <c r="F82" s="3">
        <v>830</v>
      </c>
      <c r="G82" s="3">
        <v>2</v>
      </c>
      <c r="H82" s="3">
        <v>4349446</v>
      </c>
      <c r="I82" s="3">
        <v>27</v>
      </c>
      <c r="J82" s="3">
        <v>57107</v>
      </c>
      <c r="K82" s="3">
        <v>1977607</v>
      </c>
      <c r="L82" s="3" t="s">
        <v>15</v>
      </c>
    </row>
    <row r="83" spans="1:12" x14ac:dyDescent="0.25">
      <c r="A83" s="3" t="str">
        <f t="shared" si="1"/>
        <v>APP082</v>
      </c>
      <c r="B83" s="3">
        <v>24</v>
      </c>
      <c r="C83" s="3">
        <v>1529959</v>
      </c>
      <c r="D83" s="3" t="s">
        <v>12</v>
      </c>
      <c r="E83" s="3">
        <v>13</v>
      </c>
      <c r="F83" s="3">
        <v>611</v>
      </c>
      <c r="G83" s="3">
        <v>3</v>
      </c>
      <c r="H83" s="3">
        <v>2476127</v>
      </c>
      <c r="I83" s="3">
        <v>16</v>
      </c>
      <c r="J83" s="3">
        <v>42553</v>
      </c>
      <c r="K83" s="3">
        <v>3685658</v>
      </c>
      <c r="L83" s="3" t="s">
        <v>13</v>
      </c>
    </row>
    <row r="84" spans="1:12" x14ac:dyDescent="0.25">
      <c r="A84" s="3" t="str">
        <f t="shared" si="1"/>
        <v>APP083</v>
      </c>
      <c r="B84" s="3">
        <v>60</v>
      </c>
      <c r="C84" s="3">
        <v>2439947</v>
      </c>
      <c r="D84" s="3" t="s">
        <v>12</v>
      </c>
      <c r="E84" s="3">
        <v>22</v>
      </c>
      <c r="F84" s="3">
        <v>511</v>
      </c>
      <c r="G84" s="3">
        <v>4</v>
      </c>
      <c r="H84" s="3">
        <v>4803549</v>
      </c>
      <c r="I84" s="3">
        <v>8</v>
      </c>
      <c r="J84" s="3">
        <v>27565</v>
      </c>
      <c r="K84" s="3">
        <v>5679956</v>
      </c>
      <c r="L84" s="3" t="s">
        <v>13</v>
      </c>
    </row>
    <row r="85" spans="1:12" x14ac:dyDescent="0.25">
      <c r="A85" s="3" t="str">
        <f t="shared" si="1"/>
        <v>APP084</v>
      </c>
      <c r="B85" s="3">
        <v>31</v>
      </c>
      <c r="C85" s="3">
        <v>280330</v>
      </c>
      <c r="D85" s="3" t="s">
        <v>12</v>
      </c>
      <c r="E85" s="3">
        <v>8</v>
      </c>
      <c r="F85" s="3">
        <v>732</v>
      </c>
      <c r="G85" s="3">
        <v>3</v>
      </c>
      <c r="H85" s="3">
        <v>4992804</v>
      </c>
      <c r="I85" s="3">
        <v>28</v>
      </c>
      <c r="J85" s="3">
        <v>69069</v>
      </c>
      <c r="K85" s="3">
        <v>3423420</v>
      </c>
      <c r="L85" s="3" t="s">
        <v>13</v>
      </c>
    </row>
    <row r="86" spans="1:12" x14ac:dyDescent="0.25">
      <c r="A86" s="3" t="str">
        <f t="shared" si="1"/>
        <v>APP085</v>
      </c>
      <c r="B86" s="3">
        <v>63</v>
      </c>
      <c r="C86" s="3">
        <v>1876837</v>
      </c>
      <c r="D86" s="3" t="s">
        <v>16</v>
      </c>
      <c r="E86" s="3">
        <v>33</v>
      </c>
      <c r="F86" s="3">
        <v>303</v>
      </c>
      <c r="G86" s="3">
        <v>2</v>
      </c>
      <c r="H86" s="3">
        <v>4910112</v>
      </c>
      <c r="I86" s="3">
        <v>30</v>
      </c>
      <c r="J86" s="3">
        <v>78800</v>
      </c>
      <c r="K86" s="3">
        <v>996943</v>
      </c>
      <c r="L86" s="3" t="s">
        <v>13</v>
      </c>
    </row>
    <row r="87" spans="1:12" x14ac:dyDescent="0.25">
      <c r="A87" s="3" t="str">
        <f t="shared" si="1"/>
        <v>APP086</v>
      </c>
      <c r="B87" s="3">
        <v>31</v>
      </c>
      <c r="C87" s="3">
        <v>2237176</v>
      </c>
      <c r="D87" s="3" t="s">
        <v>12</v>
      </c>
      <c r="E87" s="3">
        <v>34</v>
      </c>
      <c r="F87" s="3">
        <v>825</v>
      </c>
      <c r="G87" s="3">
        <v>2</v>
      </c>
      <c r="H87" s="3">
        <v>895547</v>
      </c>
      <c r="I87" s="3">
        <v>9</v>
      </c>
      <c r="J87" s="3">
        <v>63332</v>
      </c>
      <c r="K87" s="3">
        <v>9608114</v>
      </c>
      <c r="L87" s="3" t="s">
        <v>13</v>
      </c>
    </row>
    <row r="88" spans="1:12" x14ac:dyDescent="0.25">
      <c r="A88" s="3" t="str">
        <f t="shared" si="1"/>
        <v>APP087</v>
      </c>
      <c r="B88" s="3">
        <v>32</v>
      </c>
      <c r="C88" s="3">
        <v>2238069</v>
      </c>
      <c r="D88" s="3" t="s">
        <v>16</v>
      </c>
      <c r="E88" s="3">
        <v>9</v>
      </c>
      <c r="F88" s="3">
        <v>542</v>
      </c>
      <c r="G88" s="3">
        <v>3</v>
      </c>
      <c r="H88" s="3">
        <v>4441363</v>
      </c>
      <c r="I88" s="3">
        <v>6</v>
      </c>
      <c r="J88" s="3">
        <v>47226</v>
      </c>
      <c r="K88" s="3">
        <v>1667682</v>
      </c>
      <c r="L88" s="3" t="s">
        <v>13</v>
      </c>
    </row>
    <row r="89" spans="1:12" x14ac:dyDescent="0.25">
      <c r="A89" s="3" t="str">
        <f t="shared" si="1"/>
        <v>APP088</v>
      </c>
      <c r="B89" s="3">
        <v>41</v>
      </c>
      <c r="C89" s="3">
        <v>590537</v>
      </c>
      <c r="D89" s="3" t="s">
        <v>12</v>
      </c>
      <c r="E89" s="3">
        <v>0</v>
      </c>
      <c r="F89" s="3">
        <v>392</v>
      </c>
      <c r="G89" s="3">
        <v>4</v>
      </c>
      <c r="H89" s="3">
        <v>4622359</v>
      </c>
      <c r="I89" s="3">
        <v>4</v>
      </c>
      <c r="J89" s="3">
        <v>31307</v>
      </c>
      <c r="K89" s="3">
        <v>6663405</v>
      </c>
      <c r="L89" s="3" t="s">
        <v>13</v>
      </c>
    </row>
    <row r="90" spans="1:12" x14ac:dyDescent="0.25">
      <c r="A90" s="3" t="str">
        <f t="shared" si="1"/>
        <v>APP089</v>
      </c>
      <c r="B90" s="3">
        <v>40</v>
      </c>
      <c r="C90" s="3">
        <v>1330814</v>
      </c>
      <c r="D90" s="3" t="s">
        <v>16</v>
      </c>
      <c r="E90" s="3">
        <v>9</v>
      </c>
      <c r="F90" s="3">
        <v>638</v>
      </c>
      <c r="G90" s="3">
        <v>3</v>
      </c>
      <c r="H90" s="3">
        <v>907977</v>
      </c>
      <c r="I90" s="3">
        <v>29</v>
      </c>
      <c r="J90" s="3">
        <v>8526</v>
      </c>
      <c r="K90" s="3">
        <v>8043902</v>
      </c>
      <c r="L90" s="3" t="s">
        <v>15</v>
      </c>
    </row>
    <row r="91" spans="1:12" x14ac:dyDescent="0.25">
      <c r="A91" s="3" t="str">
        <f t="shared" si="1"/>
        <v>APP090</v>
      </c>
      <c r="B91" s="3">
        <v>39</v>
      </c>
      <c r="C91" s="3">
        <v>2399405</v>
      </c>
      <c r="D91" s="3" t="s">
        <v>12</v>
      </c>
      <c r="E91" s="3">
        <v>13</v>
      </c>
      <c r="F91" s="3">
        <v>364</v>
      </c>
      <c r="G91" s="3">
        <v>2</v>
      </c>
      <c r="H91" s="3">
        <v>2501850</v>
      </c>
      <c r="I91" s="3">
        <v>13</v>
      </c>
      <c r="J91" s="3">
        <v>58630</v>
      </c>
      <c r="K91" s="3">
        <v>4235390</v>
      </c>
      <c r="L91" s="3" t="s">
        <v>13</v>
      </c>
    </row>
    <row r="92" spans="1:12" x14ac:dyDescent="0.25">
      <c r="A92" s="3" t="str">
        <f t="shared" si="1"/>
        <v>APP091</v>
      </c>
      <c r="B92" s="3">
        <v>53</v>
      </c>
      <c r="C92" s="3">
        <v>215826</v>
      </c>
      <c r="D92" s="3" t="s">
        <v>14</v>
      </c>
      <c r="E92" s="3">
        <v>2</v>
      </c>
      <c r="F92" s="3">
        <v>882</v>
      </c>
      <c r="G92" s="3">
        <v>2</v>
      </c>
      <c r="H92" s="3">
        <v>3365167</v>
      </c>
      <c r="I92" s="3">
        <v>19</v>
      </c>
      <c r="J92" s="3">
        <v>68617</v>
      </c>
      <c r="K92" s="3">
        <v>2532429</v>
      </c>
      <c r="L92" s="3" t="s">
        <v>15</v>
      </c>
    </row>
    <row r="93" spans="1:12" x14ac:dyDescent="0.25">
      <c r="A93" s="3" t="str">
        <f t="shared" si="1"/>
        <v>APP092</v>
      </c>
      <c r="B93" s="3">
        <v>30</v>
      </c>
      <c r="C93" s="3">
        <v>417680</v>
      </c>
      <c r="D93" s="3" t="s">
        <v>16</v>
      </c>
      <c r="E93" s="3">
        <v>25</v>
      </c>
      <c r="F93" s="3">
        <v>650</v>
      </c>
      <c r="G93" s="3">
        <v>0</v>
      </c>
      <c r="H93" s="3">
        <v>3673917</v>
      </c>
      <c r="I93" s="3">
        <v>27</v>
      </c>
      <c r="J93" s="3">
        <v>66132</v>
      </c>
      <c r="K93" s="3">
        <v>8041066</v>
      </c>
      <c r="L93" s="3" t="s">
        <v>13</v>
      </c>
    </row>
    <row r="94" spans="1:12" x14ac:dyDescent="0.25">
      <c r="A94" s="3" t="str">
        <f t="shared" si="1"/>
        <v>APP093</v>
      </c>
      <c r="B94" s="3">
        <v>40</v>
      </c>
      <c r="C94" s="3">
        <v>2332302</v>
      </c>
      <c r="D94" s="3" t="s">
        <v>16</v>
      </c>
      <c r="E94" s="3">
        <v>24</v>
      </c>
      <c r="F94" s="3">
        <v>623</v>
      </c>
      <c r="G94" s="3">
        <v>2</v>
      </c>
      <c r="H94" s="3">
        <v>4257539</v>
      </c>
      <c r="I94" s="3">
        <v>18</v>
      </c>
      <c r="J94" s="3">
        <v>12444</v>
      </c>
      <c r="K94" s="3">
        <v>1487416</v>
      </c>
      <c r="L94" s="3" t="s">
        <v>13</v>
      </c>
    </row>
    <row r="95" spans="1:12" x14ac:dyDescent="0.25">
      <c r="A95" s="3" t="str">
        <f t="shared" si="1"/>
        <v>APP094</v>
      </c>
      <c r="B95" s="3">
        <v>29</v>
      </c>
      <c r="C95" s="3">
        <v>174060</v>
      </c>
      <c r="D95" s="3" t="s">
        <v>16</v>
      </c>
      <c r="E95" s="3">
        <v>0</v>
      </c>
      <c r="F95" s="3">
        <v>761</v>
      </c>
      <c r="G95" s="3">
        <v>5</v>
      </c>
      <c r="H95" s="3">
        <v>980744</v>
      </c>
      <c r="I95" s="3">
        <v>8</v>
      </c>
      <c r="J95" s="3">
        <v>64701</v>
      </c>
      <c r="K95" s="3">
        <v>7102866</v>
      </c>
      <c r="L95" s="3" t="s">
        <v>13</v>
      </c>
    </row>
    <row r="96" spans="1:12" x14ac:dyDescent="0.25">
      <c r="A96" s="3" t="str">
        <f t="shared" si="1"/>
        <v>APP095</v>
      </c>
      <c r="B96" s="3">
        <v>57</v>
      </c>
      <c r="C96" s="3">
        <v>155468</v>
      </c>
      <c r="D96" s="3" t="s">
        <v>12</v>
      </c>
      <c r="E96" s="3">
        <v>22</v>
      </c>
      <c r="F96" s="3">
        <v>540</v>
      </c>
      <c r="G96" s="3">
        <v>2</v>
      </c>
      <c r="H96" s="3">
        <v>2944141</v>
      </c>
      <c r="I96" s="3">
        <v>4</v>
      </c>
      <c r="J96" s="3">
        <v>48512</v>
      </c>
      <c r="K96" s="3">
        <v>147266</v>
      </c>
      <c r="L96" s="3" t="s">
        <v>13</v>
      </c>
    </row>
    <row r="97" spans="1:12" x14ac:dyDescent="0.25">
      <c r="A97" s="3" t="str">
        <f t="shared" si="1"/>
        <v>APP096</v>
      </c>
      <c r="B97" s="3">
        <v>59</v>
      </c>
      <c r="C97" s="3">
        <v>1045929</v>
      </c>
      <c r="D97" s="3" t="s">
        <v>16</v>
      </c>
      <c r="E97" s="3">
        <v>7</v>
      </c>
      <c r="F97" s="3">
        <v>596</v>
      </c>
      <c r="G97" s="3">
        <v>3</v>
      </c>
      <c r="H97" s="3">
        <v>3468535</v>
      </c>
      <c r="I97" s="3">
        <v>2</v>
      </c>
      <c r="J97" s="3">
        <v>11267</v>
      </c>
      <c r="K97" s="3">
        <v>2002117</v>
      </c>
      <c r="L97" s="3" t="s">
        <v>13</v>
      </c>
    </row>
    <row r="98" spans="1:12" x14ac:dyDescent="0.25">
      <c r="A98" s="3" t="str">
        <f t="shared" si="1"/>
        <v>APP097</v>
      </c>
      <c r="B98" s="3">
        <v>54</v>
      </c>
      <c r="C98" s="3">
        <v>970024</v>
      </c>
      <c r="D98" s="3" t="s">
        <v>14</v>
      </c>
      <c r="E98" s="3">
        <v>22</v>
      </c>
      <c r="F98" s="3">
        <v>821</v>
      </c>
      <c r="G98" s="3">
        <v>5</v>
      </c>
      <c r="H98" s="3">
        <v>992486</v>
      </c>
      <c r="I98" s="3">
        <v>27</v>
      </c>
      <c r="J98" s="3">
        <v>52724</v>
      </c>
      <c r="K98" s="3">
        <v>6448505</v>
      </c>
      <c r="L98" s="3" t="s">
        <v>13</v>
      </c>
    </row>
    <row r="99" spans="1:12" x14ac:dyDescent="0.25">
      <c r="A99" s="3" t="str">
        <f t="shared" si="1"/>
        <v>APP098</v>
      </c>
      <c r="B99" s="3">
        <v>59</v>
      </c>
      <c r="C99" s="3">
        <v>1145745</v>
      </c>
      <c r="D99" s="3" t="s">
        <v>16</v>
      </c>
      <c r="E99" s="3">
        <v>16</v>
      </c>
      <c r="F99" s="3">
        <v>627</v>
      </c>
      <c r="G99" s="3">
        <v>3</v>
      </c>
      <c r="H99" s="3">
        <v>2696614</v>
      </c>
      <c r="I99" s="3">
        <v>22</v>
      </c>
      <c r="J99" s="3">
        <v>12396</v>
      </c>
      <c r="K99" s="3">
        <v>3949644</v>
      </c>
      <c r="L99" s="3" t="s">
        <v>13</v>
      </c>
    </row>
    <row r="100" spans="1:12" x14ac:dyDescent="0.25">
      <c r="A100" s="3" t="str">
        <f t="shared" si="1"/>
        <v>APP099</v>
      </c>
      <c r="B100" s="3">
        <v>23</v>
      </c>
      <c r="C100" s="3">
        <v>1134773</v>
      </c>
      <c r="D100" s="3" t="s">
        <v>16</v>
      </c>
      <c r="E100" s="3">
        <v>29</v>
      </c>
      <c r="F100" s="3">
        <v>837</v>
      </c>
      <c r="G100" s="3">
        <v>1</v>
      </c>
      <c r="H100" s="3">
        <v>1939940</v>
      </c>
      <c r="I100" s="3">
        <v>5</v>
      </c>
      <c r="J100" s="3">
        <v>63235</v>
      </c>
      <c r="K100" s="3">
        <v>8196244</v>
      </c>
      <c r="L100" s="3" t="s">
        <v>13</v>
      </c>
    </row>
    <row r="101" spans="1:12" x14ac:dyDescent="0.25">
      <c r="A101" s="3" t="str">
        <f t="shared" si="1"/>
        <v>APP100</v>
      </c>
      <c r="B101" s="3">
        <v>38</v>
      </c>
      <c r="C101" s="3">
        <v>2284715</v>
      </c>
      <c r="D101" s="3" t="s">
        <v>16</v>
      </c>
      <c r="E101" s="3">
        <v>30</v>
      </c>
      <c r="F101" s="3">
        <v>611</v>
      </c>
      <c r="G101" s="3">
        <v>4</v>
      </c>
      <c r="H101" s="3">
        <v>87925</v>
      </c>
      <c r="I101" s="3">
        <v>3</v>
      </c>
      <c r="J101" s="3">
        <v>44786</v>
      </c>
      <c r="K101" s="3">
        <v>7496789</v>
      </c>
      <c r="L101" s="3" t="s">
        <v>13</v>
      </c>
    </row>
    <row r="102" spans="1:12" x14ac:dyDescent="0.25">
      <c r="A102" s="3" t="str">
        <f t="shared" si="1"/>
        <v>APP101</v>
      </c>
      <c r="B102" s="3">
        <v>49</v>
      </c>
      <c r="C102" s="3">
        <v>266341</v>
      </c>
      <c r="D102" s="3" t="s">
        <v>14</v>
      </c>
      <c r="E102" s="3">
        <v>14</v>
      </c>
      <c r="F102" s="3">
        <v>381</v>
      </c>
      <c r="G102" s="3">
        <v>0</v>
      </c>
      <c r="H102" s="3">
        <v>1489556</v>
      </c>
      <c r="I102" s="3">
        <v>14</v>
      </c>
      <c r="J102" s="3">
        <v>65361</v>
      </c>
      <c r="K102" s="3">
        <v>4739281</v>
      </c>
      <c r="L102" s="3" t="s">
        <v>15</v>
      </c>
    </row>
    <row r="103" spans="1:12" x14ac:dyDescent="0.25">
      <c r="A103" s="3" t="str">
        <f t="shared" si="1"/>
        <v>APP102</v>
      </c>
      <c r="B103" s="3">
        <v>31</v>
      </c>
      <c r="C103" s="3">
        <v>2129308</v>
      </c>
      <c r="D103" s="3" t="s">
        <v>14</v>
      </c>
      <c r="E103" s="3">
        <v>21</v>
      </c>
      <c r="F103" s="3">
        <v>569</v>
      </c>
      <c r="G103" s="3">
        <v>3</v>
      </c>
      <c r="H103" s="3">
        <v>915579</v>
      </c>
      <c r="I103" s="3">
        <v>11</v>
      </c>
      <c r="J103" s="3">
        <v>74737</v>
      </c>
      <c r="K103" s="3">
        <v>2484936</v>
      </c>
      <c r="L103" s="3" t="s">
        <v>15</v>
      </c>
    </row>
    <row r="104" spans="1:12" x14ac:dyDescent="0.25">
      <c r="A104" s="3" t="str">
        <f t="shared" si="1"/>
        <v>APP103</v>
      </c>
      <c r="B104" s="3">
        <v>44</v>
      </c>
      <c r="C104" s="3">
        <v>1734968</v>
      </c>
      <c r="D104" s="3" t="s">
        <v>14</v>
      </c>
      <c r="E104" s="3">
        <v>25</v>
      </c>
      <c r="F104" s="3">
        <v>719</v>
      </c>
      <c r="G104" s="3">
        <v>4</v>
      </c>
      <c r="H104" s="3">
        <v>2939006</v>
      </c>
      <c r="I104" s="3">
        <v>30</v>
      </c>
      <c r="J104" s="3">
        <v>57182</v>
      </c>
      <c r="K104" s="3">
        <v>7228460</v>
      </c>
      <c r="L104" s="3" t="s">
        <v>15</v>
      </c>
    </row>
    <row r="105" spans="1:12" x14ac:dyDescent="0.25">
      <c r="A105" s="3" t="str">
        <f t="shared" si="1"/>
        <v>APP104</v>
      </c>
      <c r="B105" s="3">
        <v>27</v>
      </c>
      <c r="C105" s="3">
        <v>1217483</v>
      </c>
      <c r="D105" s="3" t="s">
        <v>16</v>
      </c>
      <c r="E105" s="3">
        <v>7</v>
      </c>
      <c r="F105" s="3">
        <v>340</v>
      </c>
      <c r="G105" s="3">
        <v>0</v>
      </c>
      <c r="H105" s="3">
        <v>1100375</v>
      </c>
      <c r="I105" s="3">
        <v>3</v>
      </c>
      <c r="J105" s="3">
        <v>21831</v>
      </c>
      <c r="K105" s="3">
        <v>2134443</v>
      </c>
      <c r="L105" s="3" t="s">
        <v>13</v>
      </c>
    </row>
    <row r="106" spans="1:12" x14ac:dyDescent="0.25">
      <c r="A106" s="3" t="str">
        <f t="shared" si="1"/>
        <v>APP105</v>
      </c>
      <c r="B106" s="3">
        <v>41</v>
      </c>
      <c r="C106" s="3">
        <v>1015798</v>
      </c>
      <c r="D106" s="3" t="s">
        <v>12</v>
      </c>
      <c r="E106" s="3">
        <v>25</v>
      </c>
      <c r="F106" s="3">
        <v>609</v>
      </c>
      <c r="G106" s="3">
        <v>1</v>
      </c>
      <c r="H106" s="3">
        <v>725250</v>
      </c>
      <c r="I106" s="3">
        <v>21</v>
      </c>
      <c r="J106" s="3">
        <v>65681</v>
      </c>
      <c r="K106" s="3">
        <v>1022299</v>
      </c>
      <c r="L106" s="3" t="s">
        <v>13</v>
      </c>
    </row>
    <row r="107" spans="1:12" x14ac:dyDescent="0.25">
      <c r="A107" s="3" t="str">
        <f t="shared" si="1"/>
        <v>APP106</v>
      </c>
      <c r="B107" s="3">
        <v>59</v>
      </c>
      <c r="C107" s="3">
        <v>1151592</v>
      </c>
      <c r="D107" s="3" t="s">
        <v>12</v>
      </c>
      <c r="E107" s="3">
        <v>31</v>
      </c>
      <c r="F107" s="3">
        <v>396</v>
      </c>
      <c r="G107" s="3">
        <v>3</v>
      </c>
      <c r="H107" s="3">
        <v>4334059</v>
      </c>
      <c r="I107" s="3">
        <v>8</v>
      </c>
      <c r="J107" s="3">
        <v>5583</v>
      </c>
      <c r="K107" s="3">
        <v>733988</v>
      </c>
      <c r="L107" s="3" t="s">
        <v>13</v>
      </c>
    </row>
    <row r="108" spans="1:12" x14ac:dyDescent="0.25">
      <c r="A108" s="3" t="str">
        <f t="shared" si="1"/>
        <v>APP107</v>
      </c>
      <c r="B108" s="3">
        <v>51</v>
      </c>
      <c r="C108" s="3">
        <v>1308240</v>
      </c>
      <c r="D108" s="3" t="s">
        <v>16</v>
      </c>
      <c r="E108" s="3">
        <v>24</v>
      </c>
      <c r="F108" s="3">
        <v>766</v>
      </c>
      <c r="G108" s="3">
        <v>2</v>
      </c>
      <c r="H108" s="3">
        <v>2131247</v>
      </c>
      <c r="I108" s="3">
        <v>2</v>
      </c>
      <c r="J108" s="3">
        <v>12658</v>
      </c>
      <c r="K108" s="3">
        <v>6122517</v>
      </c>
      <c r="L108" s="3" t="s">
        <v>13</v>
      </c>
    </row>
    <row r="109" spans="1:12" x14ac:dyDescent="0.25">
      <c r="A109" s="3" t="str">
        <f t="shared" si="1"/>
        <v>APP108</v>
      </c>
      <c r="B109" s="3">
        <v>55</v>
      </c>
      <c r="C109" s="3">
        <v>2121121</v>
      </c>
      <c r="D109" s="3" t="s">
        <v>14</v>
      </c>
      <c r="E109" s="3">
        <v>33</v>
      </c>
      <c r="F109" s="3">
        <v>762</v>
      </c>
      <c r="G109" s="3">
        <v>4</v>
      </c>
      <c r="H109" s="3">
        <v>360820</v>
      </c>
      <c r="I109" s="3">
        <v>9</v>
      </c>
      <c r="J109" s="3">
        <v>72340</v>
      </c>
      <c r="K109" s="3">
        <v>1493529</v>
      </c>
      <c r="L109" s="3" t="s">
        <v>13</v>
      </c>
    </row>
    <row r="110" spans="1:12" x14ac:dyDescent="0.25">
      <c r="A110" s="3" t="str">
        <f t="shared" si="1"/>
        <v>APP109</v>
      </c>
      <c r="B110" s="3">
        <v>32</v>
      </c>
      <c r="C110" s="3">
        <v>1612703</v>
      </c>
      <c r="D110" s="3" t="s">
        <v>16</v>
      </c>
      <c r="E110" s="3">
        <v>2</v>
      </c>
      <c r="F110" s="3">
        <v>714</v>
      </c>
      <c r="G110" s="3">
        <v>0</v>
      </c>
      <c r="H110" s="3">
        <v>3357012</v>
      </c>
      <c r="I110" s="3">
        <v>20</v>
      </c>
      <c r="J110" s="3">
        <v>24286</v>
      </c>
      <c r="K110" s="3">
        <v>8751772</v>
      </c>
      <c r="L110" s="3" t="s">
        <v>13</v>
      </c>
    </row>
    <row r="111" spans="1:12" x14ac:dyDescent="0.25">
      <c r="A111" s="3" t="str">
        <f t="shared" si="1"/>
        <v>APP110</v>
      </c>
      <c r="B111" s="3">
        <v>63</v>
      </c>
      <c r="C111" s="3">
        <v>153706</v>
      </c>
      <c r="D111" s="3" t="s">
        <v>12</v>
      </c>
      <c r="E111" s="3">
        <v>7</v>
      </c>
      <c r="F111" s="3">
        <v>468</v>
      </c>
      <c r="G111" s="3">
        <v>4</v>
      </c>
      <c r="H111" s="3">
        <v>4441037</v>
      </c>
      <c r="I111" s="3">
        <v>12</v>
      </c>
      <c r="J111" s="3">
        <v>15278</v>
      </c>
      <c r="K111" s="3">
        <v>1600340</v>
      </c>
      <c r="L111" s="3" t="s">
        <v>13</v>
      </c>
    </row>
    <row r="112" spans="1:12" x14ac:dyDescent="0.25">
      <c r="A112" s="3" t="str">
        <f t="shared" si="1"/>
        <v>APP111</v>
      </c>
      <c r="B112" s="3">
        <v>50</v>
      </c>
      <c r="C112" s="3">
        <v>1108163</v>
      </c>
      <c r="D112" s="3" t="s">
        <v>14</v>
      </c>
      <c r="E112" s="3">
        <v>9</v>
      </c>
      <c r="F112" s="3">
        <v>495</v>
      </c>
      <c r="G112" s="3">
        <v>5</v>
      </c>
      <c r="H112" s="3">
        <v>293395</v>
      </c>
      <c r="I112" s="3">
        <v>21</v>
      </c>
      <c r="J112" s="3">
        <v>23010</v>
      </c>
      <c r="K112" s="3">
        <v>3538948</v>
      </c>
      <c r="L112" s="3" t="s">
        <v>13</v>
      </c>
    </row>
    <row r="113" spans="1:12" x14ac:dyDescent="0.25">
      <c r="A113" s="3" t="str">
        <f t="shared" si="1"/>
        <v>APP112</v>
      </c>
      <c r="B113" s="3">
        <v>55</v>
      </c>
      <c r="C113" s="3">
        <v>234811</v>
      </c>
      <c r="D113" s="3" t="s">
        <v>16</v>
      </c>
      <c r="E113" s="3">
        <v>21</v>
      </c>
      <c r="F113" s="3">
        <v>509</v>
      </c>
      <c r="G113" s="3">
        <v>4</v>
      </c>
      <c r="H113" s="3">
        <v>2878681</v>
      </c>
      <c r="I113" s="3">
        <v>1</v>
      </c>
      <c r="J113" s="3">
        <v>6980</v>
      </c>
      <c r="K113" s="3">
        <v>2040740</v>
      </c>
      <c r="L113" s="3" t="s">
        <v>13</v>
      </c>
    </row>
    <row r="114" spans="1:12" x14ac:dyDescent="0.25">
      <c r="A114" s="3" t="str">
        <f t="shared" si="1"/>
        <v>APP113</v>
      </c>
      <c r="B114" s="3">
        <v>54</v>
      </c>
      <c r="C114" s="3">
        <v>2272020</v>
      </c>
      <c r="D114" s="3" t="s">
        <v>16</v>
      </c>
      <c r="E114" s="3">
        <v>31</v>
      </c>
      <c r="F114" s="3">
        <v>838</v>
      </c>
      <c r="G114" s="3">
        <v>1</v>
      </c>
      <c r="H114" s="3">
        <v>4445436</v>
      </c>
      <c r="I114" s="3">
        <v>11</v>
      </c>
      <c r="J114" s="3">
        <v>70130</v>
      </c>
      <c r="K114" s="3">
        <v>6630946</v>
      </c>
      <c r="L114" s="3" t="s">
        <v>13</v>
      </c>
    </row>
    <row r="115" spans="1:12" x14ac:dyDescent="0.25">
      <c r="A115" s="3" t="str">
        <f t="shared" si="1"/>
        <v>APP114</v>
      </c>
      <c r="B115" s="3">
        <v>23</v>
      </c>
      <c r="C115" s="3">
        <v>351135</v>
      </c>
      <c r="D115" s="3" t="s">
        <v>16</v>
      </c>
      <c r="E115" s="3">
        <v>1</v>
      </c>
      <c r="F115" s="3">
        <v>511</v>
      </c>
      <c r="G115" s="3">
        <v>3</v>
      </c>
      <c r="H115" s="3">
        <v>2114838</v>
      </c>
      <c r="I115" s="3">
        <v>19</v>
      </c>
      <c r="J115" s="3">
        <v>45132</v>
      </c>
      <c r="K115" s="3">
        <v>3541124</v>
      </c>
      <c r="L115" s="3" t="s">
        <v>13</v>
      </c>
    </row>
    <row r="116" spans="1:12" x14ac:dyDescent="0.25">
      <c r="A116" s="3" t="str">
        <f t="shared" si="1"/>
        <v>APP115</v>
      </c>
      <c r="B116" s="3">
        <v>46</v>
      </c>
      <c r="C116" s="3">
        <v>1252603</v>
      </c>
      <c r="D116" s="3" t="s">
        <v>12</v>
      </c>
      <c r="E116" s="3">
        <v>29</v>
      </c>
      <c r="F116" s="3">
        <v>705</v>
      </c>
      <c r="G116" s="3">
        <v>4</v>
      </c>
      <c r="H116" s="3">
        <v>3428624</v>
      </c>
      <c r="I116" s="3">
        <v>24</v>
      </c>
      <c r="J116" s="3">
        <v>64524</v>
      </c>
      <c r="K116" s="3">
        <v>2661271</v>
      </c>
      <c r="L116" s="3" t="s">
        <v>13</v>
      </c>
    </row>
    <row r="117" spans="1:12" x14ac:dyDescent="0.25">
      <c r="A117" s="3" t="str">
        <f t="shared" si="1"/>
        <v>APP116</v>
      </c>
      <c r="B117" s="3">
        <v>22</v>
      </c>
      <c r="C117" s="3">
        <v>2181372</v>
      </c>
      <c r="D117" s="3" t="s">
        <v>14</v>
      </c>
      <c r="E117" s="3">
        <v>5</v>
      </c>
      <c r="F117" s="3">
        <v>349</v>
      </c>
      <c r="G117" s="3">
        <v>5</v>
      </c>
      <c r="H117" s="3">
        <v>3147864</v>
      </c>
      <c r="I117" s="3">
        <v>2</v>
      </c>
      <c r="J117" s="3">
        <v>19583</v>
      </c>
      <c r="K117" s="3">
        <v>7084905</v>
      </c>
      <c r="L117" s="3" t="s">
        <v>13</v>
      </c>
    </row>
    <row r="118" spans="1:12" x14ac:dyDescent="0.25">
      <c r="A118" s="3" t="str">
        <f t="shared" si="1"/>
        <v>APP117</v>
      </c>
      <c r="B118" s="3">
        <v>33</v>
      </c>
      <c r="C118" s="3">
        <v>973266</v>
      </c>
      <c r="D118" s="3" t="s">
        <v>14</v>
      </c>
      <c r="E118" s="3">
        <v>4</v>
      </c>
      <c r="F118" s="3">
        <v>342</v>
      </c>
      <c r="G118" s="3">
        <v>5</v>
      </c>
      <c r="H118" s="3">
        <v>1590264</v>
      </c>
      <c r="I118" s="3">
        <v>20</v>
      </c>
      <c r="J118" s="3">
        <v>59195</v>
      </c>
      <c r="K118" s="3">
        <v>3584219</v>
      </c>
      <c r="L118" s="3" t="s">
        <v>13</v>
      </c>
    </row>
    <row r="119" spans="1:12" x14ac:dyDescent="0.25">
      <c r="A119" s="3" t="str">
        <f t="shared" si="1"/>
        <v>APP118</v>
      </c>
      <c r="B119" s="3">
        <v>22</v>
      </c>
      <c r="C119" s="3">
        <v>210065</v>
      </c>
      <c r="D119" s="3" t="s">
        <v>12</v>
      </c>
      <c r="E119" s="3">
        <v>17</v>
      </c>
      <c r="F119" s="3">
        <v>666</v>
      </c>
      <c r="G119" s="3">
        <v>3</v>
      </c>
      <c r="H119" s="3">
        <v>2976681</v>
      </c>
      <c r="I119" s="3">
        <v>8</v>
      </c>
      <c r="J119" s="3">
        <v>24397</v>
      </c>
      <c r="K119" s="3">
        <v>6681645</v>
      </c>
      <c r="L119" s="3" t="s">
        <v>13</v>
      </c>
    </row>
    <row r="120" spans="1:12" x14ac:dyDescent="0.25">
      <c r="A120" s="3" t="str">
        <f t="shared" si="1"/>
        <v>APP119</v>
      </c>
      <c r="B120" s="3">
        <v>36</v>
      </c>
      <c r="C120" s="3">
        <v>504399</v>
      </c>
      <c r="D120" s="3" t="s">
        <v>14</v>
      </c>
      <c r="E120" s="3">
        <v>26</v>
      </c>
      <c r="F120" s="3">
        <v>825</v>
      </c>
      <c r="G120" s="3">
        <v>5</v>
      </c>
      <c r="H120" s="3">
        <v>1680274</v>
      </c>
      <c r="I120" s="3">
        <v>27</v>
      </c>
      <c r="J120" s="3">
        <v>15068</v>
      </c>
      <c r="K120" s="3">
        <v>9790632</v>
      </c>
      <c r="L120" s="3" t="s">
        <v>13</v>
      </c>
    </row>
    <row r="121" spans="1:12" x14ac:dyDescent="0.25">
      <c r="A121" s="3" t="str">
        <f t="shared" si="1"/>
        <v>APP120</v>
      </c>
      <c r="B121" s="3">
        <v>43</v>
      </c>
      <c r="C121" s="3">
        <v>2450335</v>
      </c>
      <c r="D121" s="3" t="s">
        <v>12</v>
      </c>
      <c r="E121" s="3">
        <v>18</v>
      </c>
      <c r="F121" s="3">
        <v>734</v>
      </c>
      <c r="G121" s="3">
        <v>0</v>
      </c>
      <c r="H121" s="3">
        <v>3323193</v>
      </c>
      <c r="I121" s="3">
        <v>18</v>
      </c>
      <c r="J121" s="3">
        <v>6319</v>
      </c>
      <c r="K121" s="3">
        <v>3265438</v>
      </c>
      <c r="L121" s="3" t="s">
        <v>13</v>
      </c>
    </row>
    <row r="122" spans="1:12" x14ac:dyDescent="0.25">
      <c r="A122" s="3" t="str">
        <f t="shared" si="1"/>
        <v>APP121</v>
      </c>
      <c r="B122" s="3">
        <v>36</v>
      </c>
      <c r="C122" s="3">
        <v>2478779</v>
      </c>
      <c r="D122" s="3" t="s">
        <v>16</v>
      </c>
      <c r="E122" s="3">
        <v>32</v>
      </c>
      <c r="F122" s="3">
        <v>518</v>
      </c>
      <c r="G122" s="3">
        <v>3</v>
      </c>
      <c r="H122" s="3">
        <v>4213021</v>
      </c>
      <c r="I122" s="3">
        <v>4</v>
      </c>
      <c r="J122" s="3">
        <v>58558</v>
      </c>
      <c r="K122" s="3">
        <v>5530014</v>
      </c>
      <c r="L122" s="3" t="s">
        <v>13</v>
      </c>
    </row>
    <row r="123" spans="1:12" x14ac:dyDescent="0.25">
      <c r="A123" s="3" t="str">
        <f t="shared" si="1"/>
        <v>APP122</v>
      </c>
      <c r="B123" s="3">
        <v>21</v>
      </c>
      <c r="C123" s="3">
        <v>286034</v>
      </c>
      <c r="D123" s="3" t="s">
        <v>14</v>
      </c>
      <c r="E123" s="3">
        <v>16</v>
      </c>
      <c r="F123" s="3">
        <v>409</v>
      </c>
      <c r="G123" s="3">
        <v>0</v>
      </c>
      <c r="H123" s="3">
        <v>3457591</v>
      </c>
      <c r="I123" s="3">
        <v>23</v>
      </c>
      <c r="J123" s="3">
        <v>24199</v>
      </c>
      <c r="K123" s="3">
        <v>5031546</v>
      </c>
      <c r="L123" s="3" t="s">
        <v>13</v>
      </c>
    </row>
    <row r="124" spans="1:12" x14ac:dyDescent="0.25">
      <c r="A124" s="3" t="str">
        <f t="shared" si="1"/>
        <v>APP123</v>
      </c>
      <c r="B124" s="3">
        <v>25</v>
      </c>
      <c r="C124" s="3">
        <v>1975100</v>
      </c>
      <c r="D124" s="3" t="s">
        <v>16</v>
      </c>
      <c r="E124" s="3">
        <v>29</v>
      </c>
      <c r="F124" s="3">
        <v>569</v>
      </c>
      <c r="G124" s="3">
        <v>2</v>
      </c>
      <c r="H124" s="3">
        <v>471224</v>
      </c>
      <c r="I124" s="3">
        <v>11</v>
      </c>
      <c r="J124" s="3">
        <v>70040</v>
      </c>
      <c r="K124" s="3">
        <v>478791</v>
      </c>
      <c r="L124" s="3" t="s">
        <v>13</v>
      </c>
    </row>
    <row r="125" spans="1:12" x14ac:dyDescent="0.25">
      <c r="A125" s="3" t="str">
        <f t="shared" si="1"/>
        <v>APP124</v>
      </c>
      <c r="B125" s="3">
        <v>28</v>
      </c>
      <c r="C125" s="3">
        <v>536646</v>
      </c>
      <c r="D125" s="3" t="s">
        <v>12</v>
      </c>
      <c r="E125" s="3">
        <v>10</v>
      </c>
      <c r="F125" s="3">
        <v>804</v>
      </c>
      <c r="G125" s="3">
        <v>5</v>
      </c>
      <c r="H125" s="3">
        <v>4635296</v>
      </c>
      <c r="I125" s="3">
        <v>12</v>
      </c>
      <c r="J125" s="3">
        <v>77608</v>
      </c>
      <c r="K125" s="3">
        <v>1057997</v>
      </c>
      <c r="L125" s="3" t="s">
        <v>15</v>
      </c>
    </row>
    <row r="126" spans="1:12" x14ac:dyDescent="0.25">
      <c r="A126" s="3" t="str">
        <f t="shared" si="1"/>
        <v>APP125</v>
      </c>
      <c r="B126" s="3">
        <v>51</v>
      </c>
      <c r="C126" s="3">
        <v>1430702</v>
      </c>
      <c r="D126" s="3" t="s">
        <v>12</v>
      </c>
      <c r="E126" s="3">
        <v>6</v>
      </c>
      <c r="F126" s="3">
        <v>475</v>
      </c>
      <c r="G126" s="3">
        <v>1</v>
      </c>
      <c r="H126" s="3">
        <v>3209133</v>
      </c>
      <c r="I126" s="3">
        <v>29</v>
      </c>
      <c r="J126" s="3">
        <v>28933</v>
      </c>
      <c r="K126" s="3">
        <v>2187590</v>
      </c>
      <c r="L126" s="3" t="s">
        <v>13</v>
      </c>
    </row>
    <row r="127" spans="1:12" x14ac:dyDescent="0.25">
      <c r="A127" s="3" t="str">
        <f t="shared" si="1"/>
        <v>APP126</v>
      </c>
      <c r="B127" s="3">
        <v>38</v>
      </c>
      <c r="C127" s="3">
        <v>770214</v>
      </c>
      <c r="D127" s="3" t="s">
        <v>12</v>
      </c>
      <c r="E127" s="3">
        <v>24</v>
      </c>
      <c r="F127" s="3">
        <v>419</v>
      </c>
      <c r="G127" s="3">
        <v>2</v>
      </c>
      <c r="H127" s="3">
        <v>111396</v>
      </c>
      <c r="I127" s="3">
        <v>21</v>
      </c>
      <c r="J127" s="3">
        <v>63337</v>
      </c>
      <c r="K127" s="3">
        <v>1884789</v>
      </c>
      <c r="L127" s="3" t="s">
        <v>13</v>
      </c>
    </row>
    <row r="128" spans="1:12" x14ac:dyDescent="0.25">
      <c r="A128" s="3" t="str">
        <f t="shared" si="1"/>
        <v>APP127</v>
      </c>
      <c r="B128" s="3">
        <v>30</v>
      </c>
      <c r="C128" s="3">
        <v>1186680</v>
      </c>
      <c r="D128" s="3" t="s">
        <v>14</v>
      </c>
      <c r="E128" s="3">
        <v>1</v>
      </c>
      <c r="F128" s="3">
        <v>402</v>
      </c>
      <c r="G128" s="3">
        <v>4</v>
      </c>
      <c r="H128" s="3">
        <v>284594</v>
      </c>
      <c r="I128" s="3">
        <v>20</v>
      </c>
      <c r="J128" s="3">
        <v>72519</v>
      </c>
      <c r="K128" s="3">
        <v>8123031</v>
      </c>
      <c r="L128" s="3" t="s">
        <v>15</v>
      </c>
    </row>
    <row r="129" spans="1:12" x14ac:dyDescent="0.25">
      <c r="A129" s="3" t="str">
        <f t="shared" si="1"/>
        <v>APP128</v>
      </c>
      <c r="B129" s="3">
        <v>58</v>
      </c>
      <c r="C129" s="3">
        <v>2349995</v>
      </c>
      <c r="D129" s="3" t="s">
        <v>16</v>
      </c>
      <c r="E129" s="3">
        <v>7</v>
      </c>
      <c r="F129" s="3">
        <v>447</v>
      </c>
      <c r="G129" s="3">
        <v>5</v>
      </c>
      <c r="H129" s="3">
        <v>3395150</v>
      </c>
      <c r="I129" s="3">
        <v>26</v>
      </c>
      <c r="J129" s="3">
        <v>36368</v>
      </c>
      <c r="K129" s="3">
        <v>9759799</v>
      </c>
      <c r="L129" s="3" t="s">
        <v>13</v>
      </c>
    </row>
    <row r="130" spans="1:12" x14ac:dyDescent="0.25">
      <c r="A130" s="3" t="str">
        <f t="shared" si="1"/>
        <v>APP129</v>
      </c>
      <c r="B130" s="3">
        <v>29</v>
      </c>
      <c r="C130" s="3">
        <v>1998951</v>
      </c>
      <c r="D130" s="3" t="s">
        <v>14</v>
      </c>
      <c r="E130" s="3">
        <v>27</v>
      </c>
      <c r="F130" s="3">
        <v>607</v>
      </c>
      <c r="G130" s="3">
        <v>3</v>
      </c>
      <c r="H130" s="3">
        <v>1333209</v>
      </c>
      <c r="I130" s="3">
        <v>21</v>
      </c>
      <c r="J130" s="3">
        <v>45514</v>
      </c>
      <c r="K130" s="3">
        <v>3083508</v>
      </c>
      <c r="L130" s="3" t="s">
        <v>15</v>
      </c>
    </row>
    <row r="131" spans="1:12" x14ac:dyDescent="0.25">
      <c r="A131" s="3" t="str">
        <f t="shared" ref="A131:A194" si="2">"APP"&amp;TEXT(ROW()-1,"000")</f>
        <v>APP130</v>
      </c>
      <c r="B131" s="3">
        <v>51</v>
      </c>
      <c r="C131" s="3">
        <v>1610070</v>
      </c>
      <c r="D131" s="3" t="s">
        <v>16</v>
      </c>
      <c r="E131" s="3">
        <v>34</v>
      </c>
      <c r="F131" s="3">
        <v>900</v>
      </c>
      <c r="G131" s="3">
        <v>1</v>
      </c>
      <c r="H131" s="3">
        <v>4537072</v>
      </c>
      <c r="I131" s="3">
        <v>26</v>
      </c>
      <c r="J131" s="3">
        <v>77589</v>
      </c>
      <c r="K131" s="3">
        <v>2439249</v>
      </c>
      <c r="L131" s="3" t="s">
        <v>13</v>
      </c>
    </row>
    <row r="132" spans="1:12" x14ac:dyDescent="0.25">
      <c r="A132" s="3" t="str">
        <f t="shared" si="2"/>
        <v>APP131</v>
      </c>
      <c r="B132" s="3">
        <v>55</v>
      </c>
      <c r="C132" s="3">
        <v>1603840</v>
      </c>
      <c r="D132" s="3" t="s">
        <v>14</v>
      </c>
      <c r="E132" s="3">
        <v>8</v>
      </c>
      <c r="F132" s="3">
        <v>465</v>
      </c>
      <c r="G132" s="3">
        <v>1</v>
      </c>
      <c r="H132" s="3">
        <v>3623825</v>
      </c>
      <c r="I132" s="3">
        <v>30</v>
      </c>
      <c r="J132" s="3">
        <v>51480</v>
      </c>
      <c r="K132" s="3">
        <v>9325014</v>
      </c>
      <c r="L132" s="3" t="s">
        <v>13</v>
      </c>
    </row>
    <row r="133" spans="1:12" x14ac:dyDescent="0.25">
      <c r="A133" s="3" t="str">
        <f t="shared" si="2"/>
        <v>APP132</v>
      </c>
      <c r="B133" s="3">
        <v>40</v>
      </c>
      <c r="C133" s="3">
        <v>1419845</v>
      </c>
      <c r="D133" s="3" t="s">
        <v>16</v>
      </c>
      <c r="E133" s="3">
        <v>30</v>
      </c>
      <c r="F133" s="3">
        <v>520</v>
      </c>
      <c r="G133" s="3">
        <v>3</v>
      </c>
      <c r="H133" s="3">
        <v>3968853</v>
      </c>
      <c r="I133" s="3">
        <v>17</v>
      </c>
      <c r="J133" s="3">
        <v>25121</v>
      </c>
      <c r="K133" s="3">
        <v>1473716</v>
      </c>
      <c r="L133" s="3" t="s">
        <v>13</v>
      </c>
    </row>
    <row r="134" spans="1:12" x14ac:dyDescent="0.25">
      <c r="A134" s="3" t="str">
        <f t="shared" si="2"/>
        <v>APP133</v>
      </c>
      <c r="B134" s="3">
        <v>24</v>
      </c>
      <c r="C134" s="3">
        <v>309107</v>
      </c>
      <c r="D134" s="3" t="s">
        <v>16</v>
      </c>
      <c r="E134" s="3">
        <v>34</v>
      </c>
      <c r="F134" s="3">
        <v>435</v>
      </c>
      <c r="G134" s="3">
        <v>2</v>
      </c>
      <c r="H134" s="3">
        <v>2007050</v>
      </c>
      <c r="I134" s="3">
        <v>29</v>
      </c>
      <c r="J134" s="3">
        <v>55822</v>
      </c>
      <c r="K134" s="3">
        <v>9808159</v>
      </c>
      <c r="L134" s="3" t="s">
        <v>13</v>
      </c>
    </row>
    <row r="135" spans="1:12" x14ac:dyDescent="0.25">
      <c r="A135" s="3" t="str">
        <f t="shared" si="2"/>
        <v>APP134</v>
      </c>
      <c r="B135" s="3">
        <v>52</v>
      </c>
      <c r="C135" s="3">
        <v>1023988</v>
      </c>
      <c r="D135" s="3" t="s">
        <v>16</v>
      </c>
      <c r="E135" s="3">
        <v>17</v>
      </c>
      <c r="F135" s="3">
        <v>696</v>
      </c>
      <c r="G135" s="3">
        <v>5</v>
      </c>
      <c r="H135" s="3">
        <v>2406912</v>
      </c>
      <c r="I135" s="3">
        <v>19</v>
      </c>
      <c r="J135" s="3">
        <v>76575</v>
      </c>
      <c r="K135" s="3">
        <v>200271</v>
      </c>
      <c r="L135" s="3" t="s">
        <v>15</v>
      </c>
    </row>
    <row r="136" spans="1:12" x14ac:dyDescent="0.25">
      <c r="A136" s="3" t="str">
        <f t="shared" si="2"/>
        <v>APP135</v>
      </c>
      <c r="B136" s="3">
        <v>33</v>
      </c>
      <c r="C136" s="3">
        <v>2320012</v>
      </c>
      <c r="D136" s="3" t="s">
        <v>14</v>
      </c>
      <c r="E136" s="3">
        <v>8</v>
      </c>
      <c r="F136" s="3">
        <v>325</v>
      </c>
      <c r="G136" s="3">
        <v>0</v>
      </c>
      <c r="H136" s="3">
        <v>4067997</v>
      </c>
      <c r="I136" s="3">
        <v>27</v>
      </c>
      <c r="J136" s="3">
        <v>65697</v>
      </c>
      <c r="K136" s="3">
        <v>463776</v>
      </c>
      <c r="L136" s="3" t="s">
        <v>13</v>
      </c>
    </row>
    <row r="137" spans="1:12" x14ac:dyDescent="0.25">
      <c r="A137" s="3" t="str">
        <f t="shared" si="2"/>
        <v>APP136</v>
      </c>
      <c r="B137" s="3">
        <v>41</v>
      </c>
      <c r="C137" s="3">
        <v>1044086</v>
      </c>
      <c r="D137" s="3" t="s">
        <v>12</v>
      </c>
      <c r="E137" s="3">
        <v>5</v>
      </c>
      <c r="F137" s="3">
        <v>394</v>
      </c>
      <c r="G137" s="3">
        <v>3</v>
      </c>
      <c r="H137" s="3">
        <v>1715260</v>
      </c>
      <c r="I137" s="3">
        <v>8</v>
      </c>
      <c r="J137" s="3">
        <v>78144</v>
      </c>
      <c r="K137" s="3">
        <v>1825760</v>
      </c>
      <c r="L137" s="3" t="s">
        <v>13</v>
      </c>
    </row>
    <row r="138" spans="1:12" x14ac:dyDescent="0.25">
      <c r="A138" s="3" t="str">
        <f t="shared" si="2"/>
        <v>APP137</v>
      </c>
      <c r="B138" s="3">
        <v>21</v>
      </c>
      <c r="C138" s="3">
        <v>1980971</v>
      </c>
      <c r="D138" s="3" t="s">
        <v>16</v>
      </c>
      <c r="E138" s="3">
        <v>34</v>
      </c>
      <c r="F138" s="3">
        <v>544</v>
      </c>
      <c r="G138" s="3">
        <v>1</v>
      </c>
      <c r="H138" s="3">
        <v>2666647</v>
      </c>
      <c r="I138" s="3">
        <v>1</v>
      </c>
      <c r="J138" s="3">
        <v>7297</v>
      </c>
      <c r="K138" s="3">
        <v>6765095</v>
      </c>
      <c r="L138" s="3" t="s">
        <v>13</v>
      </c>
    </row>
    <row r="139" spans="1:12" x14ac:dyDescent="0.25">
      <c r="A139" s="3" t="str">
        <f t="shared" si="2"/>
        <v>APP138</v>
      </c>
      <c r="B139" s="3">
        <v>39</v>
      </c>
      <c r="C139" s="3">
        <v>1256038</v>
      </c>
      <c r="D139" s="3" t="s">
        <v>14</v>
      </c>
      <c r="E139" s="3">
        <v>26</v>
      </c>
      <c r="F139" s="3">
        <v>607</v>
      </c>
      <c r="G139" s="3">
        <v>1</v>
      </c>
      <c r="H139" s="3">
        <v>1298372</v>
      </c>
      <c r="I139" s="3">
        <v>2</v>
      </c>
      <c r="J139" s="3">
        <v>53523</v>
      </c>
      <c r="K139" s="3">
        <v>7681344</v>
      </c>
      <c r="L139" s="3" t="s">
        <v>13</v>
      </c>
    </row>
    <row r="140" spans="1:12" x14ac:dyDescent="0.25">
      <c r="A140" s="3" t="str">
        <f t="shared" si="2"/>
        <v>APP139</v>
      </c>
      <c r="B140" s="3">
        <v>54</v>
      </c>
      <c r="C140" s="3">
        <v>1282378</v>
      </c>
      <c r="D140" s="3" t="s">
        <v>16</v>
      </c>
      <c r="E140" s="3">
        <v>1</v>
      </c>
      <c r="F140" s="3">
        <v>885</v>
      </c>
      <c r="G140" s="3">
        <v>1</v>
      </c>
      <c r="H140" s="3">
        <v>1078440</v>
      </c>
      <c r="I140" s="3">
        <v>18</v>
      </c>
      <c r="J140" s="3">
        <v>33398</v>
      </c>
      <c r="K140" s="3">
        <v>4501620</v>
      </c>
      <c r="L140" s="3" t="s">
        <v>15</v>
      </c>
    </row>
    <row r="141" spans="1:12" x14ac:dyDescent="0.25">
      <c r="A141" s="3" t="str">
        <f t="shared" si="2"/>
        <v>APP140</v>
      </c>
      <c r="B141" s="3">
        <v>37</v>
      </c>
      <c r="C141" s="3">
        <v>726603</v>
      </c>
      <c r="D141" s="3" t="s">
        <v>14</v>
      </c>
      <c r="E141" s="3">
        <v>6</v>
      </c>
      <c r="F141" s="3">
        <v>726</v>
      </c>
      <c r="G141" s="3">
        <v>3</v>
      </c>
      <c r="H141" s="3">
        <v>1183993</v>
      </c>
      <c r="I141" s="3">
        <v>27</v>
      </c>
      <c r="J141" s="3">
        <v>68074</v>
      </c>
      <c r="K141" s="3">
        <v>780110</v>
      </c>
      <c r="L141" s="3" t="s">
        <v>13</v>
      </c>
    </row>
    <row r="142" spans="1:12" x14ac:dyDescent="0.25">
      <c r="A142" s="3" t="str">
        <f t="shared" si="2"/>
        <v>APP141</v>
      </c>
      <c r="B142" s="3">
        <v>38</v>
      </c>
      <c r="C142" s="3">
        <v>1059402</v>
      </c>
      <c r="D142" s="3" t="s">
        <v>12</v>
      </c>
      <c r="E142" s="3">
        <v>13</v>
      </c>
      <c r="F142" s="3">
        <v>727</v>
      </c>
      <c r="G142" s="3">
        <v>0</v>
      </c>
      <c r="H142" s="3">
        <v>4986668</v>
      </c>
      <c r="I142" s="3">
        <v>10</v>
      </c>
      <c r="J142" s="3">
        <v>13865</v>
      </c>
      <c r="K142" s="3">
        <v>465897</v>
      </c>
      <c r="L142" s="3" t="s">
        <v>13</v>
      </c>
    </row>
    <row r="143" spans="1:12" x14ac:dyDescent="0.25">
      <c r="A143" s="3" t="str">
        <f t="shared" si="2"/>
        <v>APP142</v>
      </c>
      <c r="B143" s="3">
        <v>52</v>
      </c>
      <c r="C143" s="3">
        <v>1523631</v>
      </c>
      <c r="D143" s="3" t="s">
        <v>16</v>
      </c>
      <c r="E143" s="3">
        <v>1</v>
      </c>
      <c r="F143" s="3">
        <v>643</v>
      </c>
      <c r="G143" s="3">
        <v>2</v>
      </c>
      <c r="H143" s="3">
        <v>946890</v>
      </c>
      <c r="I143" s="3">
        <v>23</v>
      </c>
      <c r="J143" s="3">
        <v>1147</v>
      </c>
      <c r="K143" s="3">
        <v>1722333</v>
      </c>
      <c r="L143" s="3" t="s">
        <v>13</v>
      </c>
    </row>
    <row r="144" spans="1:12" x14ac:dyDescent="0.25">
      <c r="A144" s="3" t="str">
        <f t="shared" si="2"/>
        <v>APP143</v>
      </c>
      <c r="B144" s="3">
        <v>21</v>
      </c>
      <c r="C144" s="3">
        <v>654541</v>
      </c>
      <c r="D144" s="3" t="s">
        <v>12</v>
      </c>
      <c r="E144" s="3">
        <v>7</v>
      </c>
      <c r="F144" s="3">
        <v>611</v>
      </c>
      <c r="G144" s="3">
        <v>4</v>
      </c>
      <c r="H144" s="3">
        <v>4150957</v>
      </c>
      <c r="I144" s="3">
        <v>23</v>
      </c>
      <c r="J144" s="3">
        <v>38744</v>
      </c>
      <c r="K144" s="3">
        <v>8539500</v>
      </c>
      <c r="L144" s="3" t="s">
        <v>13</v>
      </c>
    </row>
    <row r="145" spans="1:12" x14ac:dyDescent="0.25">
      <c r="A145" s="3" t="str">
        <f t="shared" si="2"/>
        <v>APP144</v>
      </c>
      <c r="B145" s="3">
        <v>37</v>
      </c>
      <c r="C145" s="3">
        <v>823061</v>
      </c>
      <c r="D145" s="3" t="s">
        <v>14</v>
      </c>
      <c r="E145" s="3">
        <v>1</v>
      </c>
      <c r="F145" s="3">
        <v>330</v>
      </c>
      <c r="G145" s="3">
        <v>0</v>
      </c>
      <c r="H145" s="3">
        <v>1048019</v>
      </c>
      <c r="I145" s="3">
        <v>24</v>
      </c>
      <c r="J145" s="3">
        <v>25702</v>
      </c>
      <c r="K145" s="3">
        <v>9355807</v>
      </c>
      <c r="L145" s="3" t="s">
        <v>15</v>
      </c>
    </row>
    <row r="146" spans="1:12" x14ac:dyDescent="0.25">
      <c r="A146" s="3" t="str">
        <f t="shared" si="2"/>
        <v>APP145</v>
      </c>
      <c r="B146" s="3">
        <v>30</v>
      </c>
      <c r="C146" s="3">
        <v>732239</v>
      </c>
      <c r="D146" s="3" t="s">
        <v>14</v>
      </c>
      <c r="E146" s="3">
        <v>1</v>
      </c>
      <c r="F146" s="3">
        <v>784</v>
      </c>
      <c r="G146" s="3">
        <v>2</v>
      </c>
      <c r="H146" s="3">
        <v>4957772</v>
      </c>
      <c r="I146" s="3">
        <v>2</v>
      </c>
      <c r="J146" s="3">
        <v>49108</v>
      </c>
      <c r="K146" s="3">
        <v>2062526</v>
      </c>
      <c r="L146" s="3" t="s">
        <v>13</v>
      </c>
    </row>
    <row r="147" spans="1:12" x14ac:dyDescent="0.25">
      <c r="A147" s="3" t="str">
        <f t="shared" si="2"/>
        <v>APP146</v>
      </c>
      <c r="B147" s="3">
        <v>45</v>
      </c>
      <c r="C147" s="3">
        <v>892640</v>
      </c>
      <c r="D147" s="3" t="s">
        <v>14</v>
      </c>
      <c r="E147" s="3">
        <v>24</v>
      </c>
      <c r="F147" s="3">
        <v>403</v>
      </c>
      <c r="G147" s="3">
        <v>1</v>
      </c>
      <c r="H147" s="3">
        <v>3730471</v>
      </c>
      <c r="I147" s="3">
        <v>22</v>
      </c>
      <c r="J147" s="3">
        <v>32794</v>
      </c>
      <c r="K147" s="3">
        <v>2808718</v>
      </c>
      <c r="L147" s="3" t="s">
        <v>13</v>
      </c>
    </row>
    <row r="148" spans="1:12" x14ac:dyDescent="0.25">
      <c r="A148" s="3" t="str">
        <f t="shared" si="2"/>
        <v>APP147</v>
      </c>
      <c r="B148" s="3">
        <v>29</v>
      </c>
      <c r="C148" s="3">
        <v>2003681</v>
      </c>
      <c r="D148" s="3" t="s">
        <v>16</v>
      </c>
      <c r="E148" s="3">
        <v>21</v>
      </c>
      <c r="F148" s="3">
        <v>870</v>
      </c>
      <c r="G148" s="3">
        <v>5</v>
      </c>
      <c r="H148" s="3">
        <v>1450934</v>
      </c>
      <c r="I148" s="3">
        <v>27</v>
      </c>
      <c r="J148" s="3">
        <v>69362</v>
      </c>
      <c r="K148" s="3">
        <v>7756102</v>
      </c>
      <c r="L148" s="3" t="s">
        <v>13</v>
      </c>
    </row>
    <row r="149" spans="1:12" x14ac:dyDescent="0.25">
      <c r="A149" s="3" t="str">
        <f t="shared" si="2"/>
        <v>APP148</v>
      </c>
      <c r="B149" s="3">
        <v>39</v>
      </c>
      <c r="C149" s="3">
        <v>902389</v>
      </c>
      <c r="D149" s="3" t="s">
        <v>12</v>
      </c>
      <c r="E149" s="3">
        <v>34</v>
      </c>
      <c r="F149" s="3">
        <v>525</v>
      </c>
      <c r="G149" s="3">
        <v>1</v>
      </c>
      <c r="H149" s="3">
        <v>730431</v>
      </c>
      <c r="I149" s="3">
        <v>14</v>
      </c>
      <c r="J149" s="3">
        <v>68140</v>
      </c>
      <c r="K149" s="3">
        <v>6558418</v>
      </c>
      <c r="L149" s="3" t="s">
        <v>13</v>
      </c>
    </row>
    <row r="150" spans="1:12" x14ac:dyDescent="0.25">
      <c r="A150" s="3" t="str">
        <f t="shared" si="2"/>
        <v>APP149</v>
      </c>
      <c r="B150" s="3">
        <v>23</v>
      </c>
      <c r="C150" s="3">
        <v>1852033</v>
      </c>
      <c r="D150" s="3" t="s">
        <v>14</v>
      </c>
      <c r="E150" s="3">
        <v>32</v>
      </c>
      <c r="F150" s="3">
        <v>848</v>
      </c>
      <c r="G150" s="3">
        <v>4</v>
      </c>
      <c r="H150" s="3">
        <v>3822221</v>
      </c>
      <c r="I150" s="3">
        <v>12</v>
      </c>
      <c r="J150" s="3">
        <v>9833</v>
      </c>
      <c r="K150" s="3">
        <v>1374494</v>
      </c>
      <c r="L150" s="3" t="s">
        <v>13</v>
      </c>
    </row>
    <row r="151" spans="1:12" x14ac:dyDescent="0.25">
      <c r="A151" s="3" t="str">
        <f t="shared" si="2"/>
        <v>APP150</v>
      </c>
      <c r="B151" s="3">
        <v>64</v>
      </c>
      <c r="C151" s="3">
        <v>537411</v>
      </c>
      <c r="D151" s="3" t="s">
        <v>16</v>
      </c>
      <c r="E151" s="3">
        <v>30</v>
      </c>
      <c r="F151" s="3">
        <v>374</v>
      </c>
      <c r="G151" s="3">
        <v>2</v>
      </c>
      <c r="H151" s="3">
        <v>120447</v>
      </c>
      <c r="I151" s="3">
        <v>24</v>
      </c>
      <c r="J151" s="3">
        <v>16838</v>
      </c>
      <c r="K151" s="3">
        <v>2461735</v>
      </c>
      <c r="L151" s="3" t="s">
        <v>15</v>
      </c>
    </row>
    <row r="152" spans="1:12" x14ac:dyDescent="0.25">
      <c r="A152" s="3" t="str">
        <f t="shared" si="2"/>
        <v>APP151</v>
      </c>
      <c r="B152" s="3">
        <v>24</v>
      </c>
      <c r="C152" s="3">
        <v>865788</v>
      </c>
      <c r="D152" s="3" t="s">
        <v>12</v>
      </c>
      <c r="E152" s="3">
        <v>34</v>
      </c>
      <c r="F152" s="3">
        <v>527</v>
      </c>
      <c r="G152" s="3">
        <v>5</v>
      </c>
      <c r="H152" s="3">
        <v>307809</v>
      </c>
      <c r="I152" s="3">
        <v>11</v>
      </c>
      <c r="J152" s="3">
        <v>2541</v>
      </c>
      <c r="K152" s="3">
        <v>3380557</v>
      </c>
      <c r="L152" s="3" t="s">
        <v>13</v>
      </c>
    </row>
    <row r="153" spans="1:12" x14ac:dyDescent="0.25">
      <c r="A153" s="3" t="str">
        <f t="shared" si="2"/>
        <v>APP152</v>
      </c>
      <c r="B153" s="3">
        <v>30</v>
      </c>
      <c r="C153" s="3">
        <v>746501</v>
      </c>
      <c r="D153" s="3" t="s">
        <v>16</v>
      </c>
      <c r="E153" s="3">
        <v>31</v>
      </c>
      <c r="F153" s="3">
        <v>492</v>
      </c>
      <c r="G153" s="3">
        <v>1</v>
      </c>
      <c r="H153" s="3">
        <v>992688</v>
      </c>
      <c r="I153" s="3">
        <v>1</v>
      </c>
      <c r="J153" s="3">
        <v>25122</v>
      </c>
      <c r="K153" s="3">
        <v>8334827</v>
      </c>
      <c r="L153" s="3" t="s">
        <v>13</v>
      </c>
    </row>
    <row r="154" spans="1:12" x14ac:dyDescent="0.25">
      <c r="A154" s="3" t="str">
        <f t="shared" si="2"/>
        <v>APP153</v>
      </c>
      <c r="B154" s="3">
        <v>55</v>
      </c>
      <c r="C154" s="3">
        <v>996395</v>
      </c>
      <c r="D154" s="3" t="s">
        <v>12</v>
      </c>
      <c r="E154" s="3">
        <v>31</v>
      </c>
      <c r="F154" s="3">
        <v>616</v>
      </c>
      <c r="G154" s="3">
        <v>4</v>
      </c>
      <c r="H154" s="3">
        <v>4765669</v>
      </c>
      <c r="I154" s="3">
        <v>20</v>
      </c>
      <c r="J154" s="3">
        <v>78007</v>
      </c>
      <c r="K154" s="3">
        <v>3519785</v>
      </c>
      <c r="L154" s="3" t="s">
        <v>13</v>
      </c>
    </row>
    <row r="155" spans="1:12" x14ac:dyDescent="0.25">
      <c r="A155" s="3" t="str">
        <f t="shared" si="2"/>
        <v>APP154</v>
      </c>
      <c r="B155" s="3">
        <v>51</v>
      </c>
      <c r="C155" s="3">
        <v>1710997</v>
      </c>
      <c r="D155" s="3" t="s">
        <v>16</v>
      </c>
      <c r="E155" s="3">
        <v>31</v>
      </c>
      <c r="F155" s="3">
        <v>758</v>
      </c>
      <c r="G155" s="3">
        <v>5</v>
      </c>
      <c r="H155" s="3">
        <v>4830048</v>
      </c>
      <c r="I155" s="3">
        <v>19</v>
      </c>
      <c r="J155" s="3">
        <v>65760</v>
      </c>
      <c r="K155" s="3">
        <v>8746141</v>
      </c>
      <c r="L155" s="3" t="s">
        <v>13</v>
      </c>
    </row>
    <row r="156" spans="1:12" x14ac:dyDescent="0.25">
      <c r="A156" s="3" t="str">
        <f t="shared" si="2"/>
        <v>APP155</v>
      </c>
      <c r="B156" s="3">
        <v>35</v>
      </c>
      <c r="C156" s="3">
        <v>492956</v>
      </c>
      <c r="D156" s="3" t="s">
        <v>14</v>
      </c>
      <c r="E156" s="3">
        <v>23</v>
      </c>
      <c r="F156" s="3">
        <v>870</v>
      </c>
      <c r="G156" s="3">
        <v>4</v>
      </c>
      <c r="H156" s="3">
        <v>1555034</v>
      </c>
      <c r="I156" s="3">
        <v>28</v>
      </c>
      <c r="J156" s="3">
        <v>50157</v>
      </c>
      <c r="K156" s="3">
        <v>7147047</v>
      </c>
      <c r="L156" s="3" t="s">
        <v>13</v>
      </c>
    </row>
    <row r="157" spans="1:12" x14ac:dyDescent="0.25">
      <c r="A157" s="3" t="str">
        <f t="shared" si="2"/>
        <v>APP156</v>
      </c>
      <c r="B157" s="3">
        <v>59</v>
      </c>
      <c r="C157" s="3">
        <v>1828078</v>
      </c>
      <c r="D157" s="3" t="s">
        <v>14</v>
      </c>
      <c r="E157" s="3">
        <v>23</v>
      </c>
      <c r="F157" s="3">
        <v>309</v>
      </c>
      <c r="G157" s="3">
        <v>4</v>
      </c>
      <c r="H157" s="3">
        <v>4783011</v>
      </c>
      <c r="I157" s="3">
        <v>18</v>
      </c>
      <c r="J157" s="3">
        <v>60334</v>
      </c>
      <c r="K157" s="3">
        <v>9452426</v>
      </c>
      <c r="L157" s="3" t="s">
        <v>13</v>
      </c>
    </row>
    <row r="158" spans="1:12" x14ac:dyDescent="0.25">
      <c r="A158" s="3" t="str">
        <f t="shared" si="2"/>
        <v>APP157</v>
      </c>
      <c r="B158" s="3">
        <v>32</v>
      </c>
      <c r="C158" s="3">
        <v>180593</v>
      </c>
      <c r="D158" s="3" t="s">
        <v>12</v>
      </c>
      <c r="E158" s="3">
        <v>10</v>
      </c>
      <c r="F158" s="3">
        <v>738</v>
      </c>
      <c r="G158" s="3">
        <v>5</v>
      </c>
      <c r="H158" s="3">
        <v>1510606</v>
      </c>
      <c r="I158" s="3">
        <v>17</v>
      </c>
      <c r="J158" s="3">
        <v>34504</v>
      </c>
      <c r="K158" s="3">
        <v>2533860</v>
      </c>
      <c r="L158" s="3" t="s">
        <v>15</v>
      </c>
    </row>
    <row r="159" spans="1:12" x14ac:dyDescent="0.25">
      <c r="A159" s="3" t="str">
        <f t="shared" si="2"/>
        <v>APP158</v>
      </c>
      <c r="B159" s="3">
        <v>50</v>
      </c>
      <c r="C159" s="3">
        <v>1771818</v>
      </c>
      <c r="D159" s="3" t="s">
        <v>16</v>
      </c>
      <c r="E159" s="3">
        <v>32</v>
      </c>
      <c r="F159" s="3">
        <v>573</v>
      </c>
      <c r="G159" s="3">
        <v>0</v>
      </c>
      <c r="H159" s="3">
        <v>2985741</v>
      </c>
      <c r="I159" s="3">
        <v>19</v>
      </c>
      <c r="J159" s="3">
        <v>66704</v>
      </c>
      <c r="K159" s="3">
        <v>1364761</v>
      </c>
      <c r="L159" s="3" t="s">
        <v>13</v>
      </c>
    </row>
    <row r="160" spans="1:12" x14ac:dyDescent="0.25">
      <c r="A160" s="3" t="str">
        <f t="shared" si="2"/>
        <v>APP159</v>
      </c>
      <c r="B160" s="3">
        <v>55</v>
      </c>
      <c r="C160" s="3">
        <v>2111541</v>
      </c>
      <c r="D160" s="3" t="s">
        <v>14</v>
      </c>
      <c r="E160" s="3">
        <v>0</v>
      </c>
      <c r="F160" s="3">
        <v>349</v>
      </c>
      <c r="G160" s="3">
        <v>3</v>
      </c>
      <c r="H160" s="3">
        <v>4524205</v>
      </c>
      <c r="I160" s="3">
        <v>30</v>
      </c>
      <c r="J160" s="3">
        <v>76382</v>
      </c>
      <c r="K160" s="3">
        <v>6673598</v>
      </c>
      <c r="L160" s="3" t="s">
        <v>13</v>
      </c>
    </row>
    <row r="161" spans="1:12" x14ac:dyDescent="0.25">
      <c r="A161" s="3" t="str">
        <f t="shared" si="2"/>
        <v>APP160</v>
      </c>
      <c r="B161" s="3">
        <v>48</v>
      </c>
      <c r="C161" s="3">
        <v>1991888</v>
      </c>
      <c r="D161" s="3" t="s">
        <v>16</v>
      </c>
      <c r="E161" s="3">
        <v>15</v>
      </c>
      <c r="F161" s="3">
        <v>303</v>
      </c>
      <c r="G161" s="3">
        <v>2</v>
      </c>
      <c r="H161" s="3">
        <v>3754433</v>
      </c>
      <c r="I161" s="3">
        <v>19</v>
      </c>
      <c r="J161" s="3">
        <v>66031</v>
      </c>
      <c r="K161" s="3">
        <v>9759244</v>
      </c>
      <c r="L161" s="3" t="s">
        <v>13</v>
      </c>
    </row>
    <row r="162" spans="1:12" x14ac:dyDescent="0.25">
      <c r="A162" s="3" t="str">
        <f t="shared" si="2"/>
        <v>APP161</v>
      </c>
      <c r="B162" s="3">
        <v>39</v>
      </c>
      <c r="C162" s="3">
        <v>1377763</v>
      </c>
      <c r="D162" s="3" t="s">
        <v>12</v>
      </c>
      <c r="E162" s="3">
        <v>15</v>
      </c>
      <c r="F162" s="3">
        <v>420</v>
      </c>
      <c r="G162" s="3">
        <v>1</v>
      </c>
      <c r="H162" s="3">
        <v>2540511</v>
      </c>
      <c r="I162" s="3">
        <v>19</v>
      </c>
      <c r="J162" s="3">
        <v>62457</v>
      </c>
      <c r="K162" s="3">
        <v>3118027</v>
      </c>
      <c r="L162" s="3" t="s">
        <v>15</v>
      </c>
    </row>
    <row r="163" spans="1:12" x14ac:dyDescent="0.25">
      <c r="A163" s="3" t="str">
        <f t="shared" si="2"/>
        <v>APP162</v>
      </c>
      <c r="B163" s="3">
        <v>32</v>
      </c>
      <c r="C163" s="3">
        <v>1694553</v>
      </c>
      <c r="D163" s="3" t="s">
        <v>14</v>
      </c>
      <c r="E163" s="3">
        <v>26</v>
      </c>
      <c r="F163" s="3">
        <v>678</v>
      </c>
      <c r="G163" s="3">
        <v>2</v>
      </c>
      <c r="H163" s="3">
        <v>1340567</v>
      </c>
      <c r="I163" s="3">
        <v>12</v>
      </c>
      <c r="J163" s="3">
        <v>67652</v>
      </c>
      <c r="K163" s="3">
        <v>7858066</v>
      </c>
      <c r="L163" s="3" t="s">
        <v>13</v>
      </c>
    </row>
    <row r="164" spans="1:12" x14ac:dyDescent="0.25">
      <c r="A164" s="3" t="str">
        <f t="shared" si="2"/>
        <v>APP163</v>
      </c>
      <c r="B164" s="3">
        <v>49</v>
      </c>
      <c r="C164" s="3">
        <v>167817</v>
      </c>
      <c r="D164" s="3" t="s">
        <v>14</v>
      </c>
      <c r="E164" s="3">
        <v>24</v>
      </c>
      <c r="F164" s="3">
        <v>781</v>
      </c>
      <c r="G164" s="3">
        <v>1</v>
      </c>
      <c r="H164" s="3">
        <v>3615808</v>
      </c>
      <c r="I164" s="3">
        <v>27</v>
      </c>
      <c r="J164" s="3">
        <v>28077</v>
      </c>
      <c r="K164" s="3">
        <v>199873</v>
      </c>
      <c r="L164" s="3" t="s">
        <v>13</v>
      </c>
    </row>
    <row r="165" spans="1:12" x14ac:dyDescent="0.25">
      <c r="A165" s="3" t="str">
        <f t="shared" si="2"/>
        <v>APP164</v>
      </c>
      <c r="B165" s="3">
        <v>57</v>
      </c>
      <c r="C165" s="3">
        <v>2032452</v>
      </c>
      <c r="D165" s="3" t="s">
        <v>12</v>
      </c>
      <c r="E165" s="3">
        <v>21</v>
      </c>
      <c r="F165" s="3">
        <v>338</v>
      </c>
      <c r="G165" s="3">
        <v>5</v>
      </c>
      <c r="H165" s="3">
        <v>2729266</v>
      </c>
      <c r="I165" s="3">
        <v>20</v>
      </c>
      <c r="J165" s="3">
        <v>66827</v>
      </c>
      <c r="K165" s="3">
        <v>5973841</v>
      </c>
      <c r="L165" s="3" t="s">
        <v>13</v>
      </c>
    </row>
    <row r="166" spans="1:12" x14ac:dyDescent="0.25">
      <c r="A166" s="3" t="str">
        <f t="shared" si="2"/>
        <v>APP165</v>
      </c>
      <c r="B166" s="3">
        <v>55</v>
      </c>
      <c r="C166" s="3">
        <v>437910</v>
      </c>
      <c r="D166" s="3" t="s">
        <v>12</v>
      </c>
      <c r="E166" s="3">
        <v>24</v>
      </c>
      <c r="F166" s="3">
        <v>802</v>
      </c>
      <c r="G166" s="3">
        <v>2</v>
      </c>
      <c r="H166" s="3">
        <v>3892405</v>
      </c>
      <c r="I166" s="3">
        <v>21</v>
      </c>
      <c r="J166" s="3">
        <v>54351</v>
      </c>
      <c r="K166" s="3">
        <v>6543389</v>
      </c>
      <c r="L166" s="3" t="s">
        <v>15</v>
      </c>
    </row>
    <row r="167" spans="1:12" x14ac:dyDescent="0.25">
      <c r="A167" s="3" t="str">
        <f t="shared" si="2"/>
        <v>APP166</v>
      </c>
      <c r="B167" s="3">
        <v>37</v>
      </c>
      <c r="C167" s="3">
        <v>1051208</v>
      </c>
      <c r="D167" s="3" t="s">
        <v>14</v>
      </c>
      <c r="E167" s="3">
        <v>30</v>
      </c>
      <c r="F167" s="3">
        <v>610</v>
      </c>
      <c r="G167" s="3">
        <v>2</v>
      </c>
      <c r="H167" s="3">
        <v>4104646</v>
      </c>
      <c r="I167" s="3">
        <v>29</v>
      </c>
      <c r="J167" s="3">
        <v>3493</v>
      </c>
      <c r="K167" s="3">
        <v>8358951</v>
      </c>
      <c r="L167" s="3" t="s">
        <v>13</v>
      </c>
    </row>
    <row r="168" spans="1:12" x14ac:dyDescent="0.25">
      <c r="A168" s="3" t="str">
        <f t="shared" si="2"/>
        <v>APP167</v>
      </c>
      <c r="B168" s="3">
        <v>58</v>
      </c>
      <c r="C168" s="3">
        <v>365291</v>
      </c>
      <c r="D168" s="3" t="s">
        <v>14</v>
      </c>
      <c r="E168" s="3">
        <v>33</v>
      </c>
      <c r="F168" s="3">
        <v>519</v>
      </c>
      <c r="G168" s="3">
        <v>5</v>
      </c>
      <c r="H168" s="3">
        <v>3537810</v>
      </c>
      <c r="I168" s="3">
        <v>3</v>
      </c>
      <c r="J168" s="3">
        <v>17514</v>
      </c>
      <c r="K168" s="3">
        <v>4785453</v>
      </c>
      <c r="L168" s="3" t="s">
        <v>13</v>
      </c>
    </row>
    <row r="169" spans="1:12" x14ac:dyDescent="0.25">
      <c r="A169" s="3" t="str">
        <f t="shared" si="2"/>
        <v>APP168</v>
      </c>
      <c r="B169" s="3">
        <v>46</v>
      </c>
      <c r="C169" s="3">
        <v>385524</v>
      </c>
      <c r="D169" s="3" t="s">
        <v>14</v>
      </c>
      <c r="E169" s="3">
        <v>14</v>
      </c>
      <c r="F169" s="3">
        <v>395</v>
      </c>
      <c r="G169" s="3">
        <v>2</v>
      </c>
      <c r="H169" s="3">
        <v>857121</v>
      </c>
      <c r="I169" s="3">
        <v>10</v>
      </c>
      <c r="J169" s="3">
        <v>66641</v>
      </c>
      <c r="K169" s="3">
        <v>7283427</v>
      </c>
      <c r="L169" s="3" t="s">
        <v>13</v>
      </c>
    </row>
    <row r="170" spans="1:12" x14ac:dyDescent="0.25">
      <c r="A170" s="3" t="str">
        <f t="shared" si="2"/>
        <v>APP169</v>
      </c>
      <c r="B170" s="3">
        <v>36</v>
      </c>
      <c r="C170" s="3">
        <v>2222333</v>
      </c>
      <c r="D170" s="3" t="s">
        <v>12</v>
      </c>
      <c r="E170" s="3">
        <v>0</v>
      </c>
      <c r="F170" s="3">
        <v>779</v>
      </c>
      <c r="G170" s="3">
        <v>0</v>
      </c>
      <c r="H170" s="3">
        <v>2630044</v>
      </c>
      <c r="I170" s="3">
        <v>20</v>
      </c>
      <c r="J170" s="3">
        <v>52384</v>
      </c>
      <c r="K170" s="3">
        <v>7633422</v>
      </c>
      <c r="L170" s="3" t="s">
        <v>15</v>
      </c>
    </row>
    <row r="171" spans="1:12" x14ac:dyDescent="0.25">
      <c r="A171" s="3" t="str">
        <f t="shared" si="2"/>
        <v>APP170</v>
      </c>
      <c r="B171" s="3">
        <v>28</v>
      </c>
      <c r="C171" s="3">
        <v>2451831</v>
      </c>
      <c r="D171" s="3" t="s">
        <v>16</v>
      </c>
      <c r="E171" s="3">
        <v>18</v>
      </c>
      <c r="F171" s="3">
        <v>455</v>
      </c>
      <c r="G171" s="3">
        <v>0</v>
      </c>
      <c r="H171" s="3">
        <v>2939849</v>
      </c>
      <c r="I171" s="3">
        <v>12</v>
      </c>
      <c r="J171" s="3">
        <v>43427</v>
      </c>
      <c r="K171" s="3">
        <v>5643612</v>
      </c>
      <c r="L171" s="3" t="s">
        <v>13</v>
      </c>
    </row>
    <row r="172" spans="1:12" x14ac:dyDescent="0.25">
      <c r="A172" s="3" t="str">
        <f t="shared" si="2"/>
        <v>APP171</v>
      </c>
      <c r="B172" s="3">
        <v>23</v>
      </c>
      <c r="C172" s="3">
        <v>358854</v>
      </c>
      <c r="D172" s="3" t="s">
        <v>14</v>
      </c>
      <c r="E172" s="3">
        <v>0</v>
      </c>
      <c r="F172" s="3">
        <v>773</v>
      </c>
      <c r="G172" s="3">
        <v>4</v>
      </c>
      <c r="H172" s="3">
        <v>3183643</v>
      </c>
      <c r="I172" s="3">
        <v>13</v>
      </c>
      <c r="J172" s="3">
        <v>5685</v>
      </c>
      <c r="K172" s="3">
        <v>331378</v>
      </c>
      <c r="L172" s="3" t="s">
        <v>13</v>
      </c>
    </row>
    <row r="173" spans="1:12" x14ac:dyDescent="0.25">
      <c r="A173" s="3" t="str">
        <f t="shared" si="2"/>
        <v>APP172</v>
      </c>
      <c r="B173" s="3">
        <v>63</v>
      </c>
      <c r="C173" s="3">
        <v>1821856</v>
      </c>
      <c r="D173" s="3" t="s">
        <v>12</v>
      </c>
      <c r="E173" s="3">
        <v>34</v>
      </c>
      <c r="F173" s="3">
        <v>336</v>
      </c>
      <c r="G173" s="3">
        <v>2</v>
      </c>
      <c r="H173" s="3">
        <v>2598879</v>
      </c>
      <c r="I173" s="3">
        <v>13</v>
      </c>
      <c r="J173" s="3">
        <v>62971</v>
      </c>
      <c r="K173" s="3">
        <v>9116412</v>
      </c>
      <c r="L173" s="3" t="s">
        <v>13</v>
      </c>
    </row>
    <row r="174" spans="1:12" x14ac:dyDescent="0.25">
      <c r="A174" s="3" t="str">
        <f t="shared" si="2"/>
        <v>APP173</v>
      </c>
      <c r="B174" s="3">
        <v>25</v>
      </c>
      <c r="C174" s="3">
        <v>1231737</v>
      </c>
      <c r="D174" s="3" t="s">
        <v>16</v>
      </c>
      <c r="E174" s="3">
        <v>33</v>
      </c>
      <c r="F174" s="3">
        <v>376</v>
      </c>
      <c r="G174" s="3">
        <v>1</v>
      </c>
      <c r="H174" s="3">
        <v>4022604</v>
      </c>
      <c r="I174" s="3">
        <v>5</v>
      </c>
      <c r="J174" s="3">
        <v>30743</v>
      </c>
      <c r="K174" s="3">
        <v>8135864</v>
      </c>
      <c r="L174" s="3" t="s">
        <v>13</v>
      </c>
    </row>
    <row r="175" spans="1:12" x14ac:dyDescent="0.25">
      <c r="A175" s="3" t="str">
        <f t="shared" si="2"/>
        <v>APP174</v>
      </c>
      <c r="B175" s="3">
        <v>33</v>
      </c>
      <c r="C175" s="3">
        <v>289401</v>
      </c>
      <c r="D175" s="3" t="s">
        <v>14</v>
      </c>
      <c r="E175" s="3">
        <v>33</v>
      </c>
      <c r="F175" s="3">
        <v>557</v>
      </c>
      <c r="G175" s="3">
        <v>4</v>
      </c>
      <c r="H175" s="3">
        <v>1773378</v>
      </c>
      <c r="I175" s="3">
        <v>11</v>
      </c>
      <c r="J175" s="3">
        <v>30439</v>
      </c>
      <c r="K175" s="3">
        <v>1111175</v>
      </c>
      <c r="L175" s="3" t="s">
        <v>15</v>
      </c>
    </row>
    <row r="176" spans="1:12" x14ac:dyDescent="0.25">
      <c r="A176" s="3" t="str">
        <f t="shared" si="2"/>
        <v>APP175</v>
      </c>
      <c r="B176" s="3">
        <v>22</v>
      </c>
      <c r="C176" s="3">
        <v>511451</v>
      </c>
      <c r="D176" s="3" t="s">
        <v>14</v>
      </c>
      <c r="E176" s="3">
        <v>12</v>
      </c>
      <c r="F176" s="3">
        <v>565</v>
      </c>
      <c r="G176" s="3">
        <v>0</v>
      </c>
      <c r="H176" s="3">
        <v>4876810</v>
      </c>
      <c r="I176" s="3">
        <v>18</v>
      </c>
      <c r="J176" s="3">
        <v>65530</v>
      </c>
      <c r="K176" s="3">
        <v>1876869</v>
      </c>
      <c r="L176" s="3" t="s">
        <v>13</v>
      </c>
    </row>
    <row r="177" spans="1:12" x14ac:dyDescent="0.25">
      <c r="A177" s="3" t="str">
        <f t="shared" si="2"/>
        <v>APP176</v>
      </c>
      <c r="B177" s="3">
        <v>46</v>
      </c>
      <c r="C177" s="3">
        <v>753820</v>
      </c>
      <c r="D177" s="3" t="s">
        <v>14</v>
      </c>
      <c r="E177" s="3">
        <v>15</v>
      </c>
      <c r="F177" s="3">
        <v>539</v>
      </c>
      <c r="G177" s="3">
        <v>2</v>
      </c>
      <c r="H177" s="3">
        <v>4578866</v>
      </c>
      <c r="I177" s="3">
        <v>16</v>
      </c>
      <c r="J177" s="3">
        <v>74412</v>
      </c>
      <c r="K177" s="3">
        <v>1792665</v>
      </c>
      <c r="L177" s="3" t="s">
        <v>13</v>
      </c>
    </row>
    <row r="178" spans="1:12" x14ac:dyDescent="0.25">
      <c r="A178" s="3" t="str">
        <f t="shared" si="2"/>
        <v>APP177</v>
      </c>
      <c r="B178" s="3">
        <v>53</v>
      </c>
      <c r="C178" s="3">
        <v>1420022</v>
      </c>
      <c r="D178" s="3" t="s">
        <v>16</v>
      </c>
      <c r="E178" s="3">
        <v>1</v>
      </c>
      <c r="F178" s="3">
        <v>625</v>
      </c>
      <c r="G178" s="3">
        <v>4</v>
      </c>
      <c r="H178" s="3">
        <v>2156889</v>
      </c>
      <c r="I178" s="3">
        <v>10</v>
      </c>
      <c r="J178" s="3">
        <v>72879</v>
      </c>
      <c r="K178" s="3">
        <v>9399150</v>
      </c>
      <c r="L178" s="3" t="s">
        <v>15</v>
      </c>
    </row>
    <row r="179" spans="1:12" x14ac:dyDescent="0.25">
      <c r="A179" s="3" t="str">
        <f t="shared" si="2"/>
        <v>APP178</v>
      </c>
      <c r="B179" s="3">
        <v>26</v>
      </c>
      <c r="C179" s="3">
        <v>2442582</v>
      </c>
      <c r="D179" s="3" t="s">
        <v>14</v>
      </c>
      <c r="E179" s="3">
        <v>20</v>
      </c>
      <c r="F179" s="3">
        <v>736</v>
      </c>
      <c r="G179" s="3">
        <v>4</v>
      </c>
      <c r="H179" s="3">
        <v>3506077</v>
      </c>
      <c r="I179" s="3">
        <v>2</v>
      </c>
      <c r="J179" s="3">
        <v>50351</v>
      </c>
      <c r="K179" s="3">
        <v>8123002</v>
      </c>
      <c r="L179" s="3" t="s">
        <v>13</v>
      </c>
    </row>
    <row r="180" spans="1:12" x14ac:dyDescent="0.25">
      <c r="A180" s="3" t="str">
        <f t="shared" si="2"/>
        <v>APP179</v>
      </c>
      <c r="B180" s="3">
        <v>32</v>
      </c>
      <c r="C180" s="3">
        <v>208067</v>
      </c>
      <c r="D180" s="3" t="s">
        <v>12</v>
      </c>
      <c r="E180" s="3">
        <v>21</v>
      </c>
      <c r="F180" s="3">
        <v>578</v>
      </c>
      <c r="G180" s="3">
        <v>0</v>
      </c>
      <c r="H180" s="3">
        <v>4233031</v>
      </c>
      <c r="I180" s="3">
        <v>6</v>
      </c>
      <c r="J180" s="3">
        <v>9210</v>
      </c>
      <c r="K180" s="3">
        <v>2497474</v>
      </c>
      <c r="L180" s="3" t="s">
        <v>13</v>
      </c>
    </row>
    <row r="181" spans="1:12" x14ac:dyDescent="0.25">
      <c r="A181" s="3" t="str">
        <f t="shared" si="2"/>
        <v>APP180</v>
      </c>
      <c r="B181" s="3">
        <v>40</v>
      </c>
      <c r="C181" s="3">
        <v>2460688</v>
      </c>
      <c r="D181" s="3" t="s">
        <v>16</v>
      </c>
      <c r="E181" s="3">
        <v>24</v>
      </c>
      <c r="F181" s="3">
        <v>357</v>
      </c>
      <c r="G181" s="3">
        <v>4</v>
      </c>
      <c r="H181" s="3">
        <v>4779466</v>
      </c>
      <c r="I181" s="3">
        <v>25</v>
      </c>
      <c r="J181" s="3">
        <v>44700</v>
      </c>
      <c r="K181" s="3">
        <v>4206525</v>
      </c>
      <c r="L181" s="3" t="s">
        <v>13</v>
      </c>
    </row>
    <row r="182" spans="1:12" x14ac:dyDescent="0.25">
      <c r="A182" s="3" t="str">
        <f t="shared" si="2"/>
        <v>APP181</v>
      </c>
      <c r="B182" s="3">
        <v>63</v>
      </c>
      <c r="C182" s="3">
        <v>978136</v>
      </c>
      <c r="D182" s="3" t="s">
        <v>14</v>
      </c>
      <c r="E182" s="3">
        <v>34</v>
      </c>
      <c r="F182" s="3">
        <v>839</v>
      </c>
      <c r="G182" s="3">
        <v>5</v>
      </c>
      <c r="H182" s="3">
        <v>4068110</v>
      </c>
      <c r="I182" s="3">
        <v>7</v>
      </c>
      <c r="J182" s="3">
        <v>48612</v>
      </c>
      <c r="K182" s="3">
        <v>7885299</v>
      </c>
      <c r="L182" s="3" t="s">
        <v>13</v>
      </c>
    </row>
    <row r="183" spans="1:12" x14ac:dyDescent="0.25">
      <c r="A183" s="3" t="str">
        <f t="shared" si="2"/>
        <v>APP182</v>
      </c>
      <c r="B183" s="3">
        <v>39</v>
      </c>
      <c r="C183" s="3">
        <v>1102427</v>
      </c>
      <c r="D183" s="3" t="s">
        <v>12</v>
      </c>
      <c r="E183" s="3">
        <v>33</v>
      </c>
      <c r="F183" s="3">
        <v>544</v>
      </c>
      <c r="G183" s="3">
        <v>4</v>
      </c>
      <c r="H183" s="3">
        <v>87757</v>
      </c>
      <c r="I183" s="3">
        <v>4</v>
      </c>
      <c r="J183" s="3">
        <v>59230</v>
      </c>
      <c r="K183" s="3">
        <v>4206152</v>
      </c>
      <c r="L183" s="3" t="s">
        <v>13</v>
      </c>
    </row>
    <row r="184" spans="1:12" x14ac:dyDescent="0.25">
      <c r="A184" s="3" t="str">
        <f t="shared" si="2"/>
        <v>APP183</v>
      </c>
      <c r="B184" s="3">
        <v>61</v>
      </c>
      <c r="C184" s="3">
        <v>756193</v>
      </c>
      <c r="D184" s="3" t="s">
        <v>16</v>
      </c>
      <c r="E184" s="3">
        <v>1</v>
      </c>
      <c r="F184" s="3">
        <v>658</v>
      </c>
      <c r="G184" s="3">
        <v>3</v>
      </c>
      <c r="H184" s="3">
        <v>2969197</v>
      </c>
      <c r="I184" s="3">
        <v>16</v>
      </c>
      <c r="J184" s="3">
        <v>76174</v>
      </c>
      <c r="K184" s="3">
        <v>9492657</v>
      </c>
      <c r="L184" s="3" t="s">
        <v>13</v>
      </c>
    </row>
    <row r="185" spans="1:12" x14ac:dyDescent="0.25">
      <c r="A185" s="3" t="str">
        <f t="shared" si="2"/>
        <v>APP184</v>
      </c>
      <c r="B185" s="3">
        <v>62</v>
      </c>
      <c r="C185" s="3">
        <v>1968849</v>
      </c>
      <c r="D185" s="3" t="s">
        <v>12</v>
      </c>
      <c r="E185" s="3">
        <v>16</v>
      </c>
      <c r="F185" s="3">
        <v>342</v>
      </c>
      <c r="G185" s="3">
        <v>1</v>
      </c>
      <c r="H185" s="3">
        <v>2654387</v>
      </c>
      <c r="I185" s="3">
        <v>3</v>
      </c>
      <c r="J185" s="3">
        <v>18326</v>
      </c>
      <c r="K185" s="3">
        <v>3059519</v>
      </c>
      <c r="L185" s="3" t="s">
        <v>13</v>
      </c>
    </row>
    <row r="186" spans="1:12" x14ac:dyDescent="0.25">
      <c r="A186" s="3" t="str">
        <f t="shared" si="2"/>
        <v>APP185</v>
      </c>
      <c r="B186" s="3">
        <v>34</v>
      </c>
      <c r="C186" s="3">
        <v>2410192</v>
      </c>
      <c r="D186" s="3" t="s">
        <v>12</v>
      </c>
      <c r="E186" s="3">
        <v>9</v>
      </c>
      <c r="F186" s="3">
        <v>573</v>
      </c>
      <c r="G186" s="3">
        <v>3</v>
      </c>
      <c r="H186" s="3">
        <v>3242873</v>
      </c>
      <c r="I186" s="3">
        <v>9</v>
      </c>
      <c r="J186" s="3">
        <v>72746</v>
      </c>
      <c r="K186" s="3">
        <v>9069877</v>
      </c>
      <c r="L186" s="3" t="s">
        <v>13</v>
      </c>
    </row>
    <row r="187" spans="1:12" x14ac:dyDescent="0.25">
      <c r="A187" s="3" t="str">
        <f t="shared" si="2"/>
        <v>APP186</v>
      </c>
      <c r="B187" s="3">
        <v>58</v>
      </c>
      <c r="C187" s="3">
        <v>1165403</v>
      </c>
      <c r="D187" s="3" t="s">
        <v>12</v>
      </c>
      <c r="E187" s="3">
        <v>10</v>
      </c>
      <c r="F187" s="3">
        <v>772</v>
      </c>
      <c r="G187" s="3">
        <v>1</v>
      </c>
      <c r="H187" s="3">
        <v>4304676</v>
      </c>
      <c r="I187" s="3">
        <v>29</v>
      </c>
      <c r="J187" s="3">
        <v>39088</v>
      </c>
      <c r="K187" s="3">
        <v>2586774</v>
      </c>
      <c r="L187" s="3" t="s">
        <v>13</v>
      </c>
    </row>
    <row r="188" spans="1:12" x14ac:dyDescent="0.25">
      <c r="A188" s="3" t="str">
        <f t="shared" si="2"/>
        <v>APP187</v>
      </c>
      <c r="B188" s="3">
        <v>33</v>
      </c>
      <c r="C188" s="3">
        <v>1013642</v>
      </c>
      <c r="D188" s="3" t="s">
        <v>12</v>
      </c>
      <c r="E188" s="3">
        <v>6</v>
      </c>
      <c r="F188" s="3">
        <v>807</v>
      </c>
      <c r="G188" s="3">
        <v>5</v>
      </c>
      <c r="H188" s="3">
        <v>3504143</v>
      </c>
      <c r="I188" s="3">
        <v>7</v>
      </c>
      <c r="J188" s="3">
        <v>43498</v>
      </c>
      <c r="K188" s="3">
        <v>2687811</v>
      </c>
      <c r="L188" s="3" t="s">
        <v>13</v>
      </c>
    </row>
    <row r="189" spans="1:12" x14ac:dyDescent="0.25">
      <c r="A189" s="3" t="str">
        <f t="shared" si="2"/>
        <v>APP188</v>
      </c>
      <c r="B189" s="3">
        <v>51</v>
      </c>
      <c r="C189" s="3">
        <v>2070083</v>
      </c>
      <c r="D189" s="3" t="s">
        <v>14</v>
      </c>
      <c r="E189" s="3">
        <v>19</v>
      </c>
      <c r="F189" s="3">
        <v>740</v>
      </c>
      <c r="G189" s="3">
        <v>2</v>
      </c>
      <c r="H189" s="3">
        <v>2115813</v>
      </c>
      <c r="I189" s="3">
        <v>12</v>
      </c>
      <c r="J189" s="3">
        <v>59186</v>
      </c>
      <c r="K189" s="3">
        <v>2764250</v>
      </c>
      <c r="L189" s="3" t="s">
        <v>13</v>
      </c>
    </row>
    <row r="190" spans="1:12" x14ac:dyDescent="0.25">
      <c r="A190" s="3" t="str">
        <f t="shared" si="2"/>
        <v>APP189</v>
      </c>
      <c r="B190" s="3">
        <v>61</v>
      </c>
      <c r="C190" s="3">
        <v>1944503</v>
      </c>
      <c r="D190" s="3" t="s">
        <v>14</v>
      </c>
      <c r="E190" s="3">
        <v>1</v>
      </c>
      <c r="F190" s="3">
        <v>360</v>
      </c>
      <c r="G190" s="3">
        <v>4</v>
      </c>
      <c r="H190" s="3">
        <v>3525122</v>
      </c>
      <c r="I190" s="3">
        <v>25</v>
      </c>
      <c r="J190" s="3">
        <v>42108</v>
      </c>
      <c r="K190" s="3">
        <v>5374566</v>
      </c>
      <c r="L190" s="3" t="s">
        <v>15</v>
      </c>
    </row>
    <row r="191" spans="1:12" x14ac:dyDescent="0.25">
      <c r="A191" s="3" t="str">
        <f t="shared" si="2"/>
        <v>APP190</v>
      </c>
      <c r="B191" s="3">
        <v>28</v>
      </c>
      <c r="C191" s="3">
        <v>942895</v>
      </c>
      <c r="D191" s="3" t="s">
        <v>16</v>
      </c>
      <c r="E191" s="3">
        <v>1</v>
      </c>
      <c r="F191" s="3">
        <v>509</v>
      </c>
      <c r="G191" s="3">
        <v>3</v>
      </c>
      <c r="H191" s="3">
        <v>4881025</v>
      </c>
      <c r="I191" s="3">
        <v>7</v>
      </c>
      <c r="J191" s="3">
        <v>63318</v>
      </c>
      <c r="K191" s="3">
        <v>1362941</v>
      </c>
      <c r="L191" s="3" t="s">
        <v>13</v>
      </c>
    </row>
    <row r="192" spans="1:12" x14ac:dyDescent="0.25">
      <c r="A192" s="3" t="str">
        <f t="shared" si="2"/>
        <v>APP191</v>
      </c>
      <c r="B192" s="3">
        <v>21</v>
      </c>
      <c r="C192" s="3">
        <v>2395708</v>
      </c>
      <c r="D192" s="3" t="s">
        <v>12</v>
      </c>
      <c r="E192" s="3">
        <v>18</v>
      </c>
      <c r="F192" s="3">
        <v>866</v>
      </c>
      <c r="G192" s="3">
        <v>5</v>
      </c>
      <c r="H192" s="3">
        <v>381702</v>
      </c>
      <c r="I192" s="3">
        <v>30</v>
      </c>
      <c r="J192" s="3">
        <v>27191</v>
      </c>
      <c r="K192" s="3">
        <v>4357600</v>
      </c>
      <c r="L192" s="3" t="s">
        <v>13</v>
      </c>
    </row>
    <row r="193" spans="1:12" x14ac:dyDescent="0.25">
      <c r="A193" s="3" t="str">
        <f t="shared" si="2"/>
        <v>APP192</v>
      </c>
      <c r="B193" s="3">
        <v>33</v>
      </c>
      <c r="C193" s="3">
        <v>1151169</v>
      </c>
      <c r="D193" s="3" t="s">
        <v>16</v>
      </c>
      <c r="E193" s="3">
        <v>23</v>
      </c>
      <c r="F193" s="3">
        <v>578</v>
      </c>
      <c r="G193" s="3">
        <v>1</v>
      </c>
      <c r="H193" s="3">
        <v>836554</v>
      </c>
      <c r="I193" s="3">
        <v>4</v>
      </c>
      <c r="J193" s="3">
        <v>43694</v>
      </c>
      <c r="K193" s="3">
        <v>1894953</v>
      </c>
      <c r="L193" s="3" t="s">
        <v>13</v>
      </c>
    </row>
    <row r="194" spans="1:12" x14ac:dyDescent="0.25">
      <c r="A194" s="3" t="str">
        <f t="shared" si="2"/>
        <v>APP193</v>
      </c>
      <c r="B194" s="3">
        <v>34</v>
      </c>
      <c r="C194" s="3">
        <v>2349563</v>
      </c>
      <c r="D194" s="3" t="s">
        <v>16</v>
      </c>
      <c r="E194" s="3">
        <v>35</v>
      </c>
      <c r="F194" s="3">
        <v>895</v>
      </c>
      <c r="G194" s="3">
        <v>0</v>
      </c>
      <c r="H194" s="3">
        <v>2518816</v>
      </c>
      <c r="I194" s="3">
        <v>21</v>
      </c>
      <c r="J194" s="3">
        <v>71823</v>
      </c>
      <c r="K194" s="3">
        <v>8074345</v>
      </c>
      <c r="L194" s="3" t="s">
        <v>13</v>
      </c>
    </row>
    <row r="195" spans="1:12" x14ac:dyDescent="0.25">
      <c r="A195" s="3" t="str">
        <f t="shared" ref="A195:A258" si="3">"APP"&amp;TEXT(ROW()-1,"000")</f>
        <v>APP194</v>
      </c>
      <c r="B195" s="3">
        <v>31</v>
      </c>
      <c r="C195" s="3">
        <v>561009</v>
      </c>
      <c r="D195" s="3" t="s">
        <v>14</v>
      </c>
      <c r="E195" s="3">
        <v>11</v>
      </c>
      <c r="F195" s="3">
        <v>825</v>
      </c>
      <c r="G195" s="3">
        <v>2</v>
      </c>
      <c r="H195" s="3">
        <v>4336274</v>
      </c>
      <c r="I195" s="3">
        <v>2</v>
      </c>
      <c r="J195" s="3">
        <v>66743</v>
      </c>
      <c r="K195" s="3">
        <v>7769205</v>
      </c>
      <c r="L195" s="3" t="s">
        <v>15</v>
      </c>
    </row>
    <row r="196" spans="1:12" x14ac:dyDescent="0.25">
      <c r="A196" s="3" t="str">
        <f t="shared" si="3"/>
        <v>APP195</v>
      </c>
      <c r="B196" s="3">
        <v>65</v>
      </c>
      <c r="C196" s="3">
        <v>1773361</v>
      </c>
      <c r="D196" s="3" t="s">
        <v>16</v>
      </c>
      <c r="E196" s="3">
        <v>15</v>
      </c>
      <c r="F196" s="3">
        <v>543</v>
      </c>
      <c r="G196" s="3">
        <v>2</v>
      </c>
      <c r="H196" s="3">
        <v>3743123</v>
      </c>
      <c r="I196" s="3">
        <v>27</v>
      </c>
      <c r="J196" s="3">
        <v>61939</v>
      </c>
      <c r="K196" s="3">
        <v>3157114</v>
      </c>
      <c r="L196" s="3" t="s">
        <v>13</v>
      </c>
    </row>
    <row r="197" spans="1:12" x14ac:dyDescent="0.25">
      <c r="A197" s="3" t="str">
        <f t="shared" si="3"/>
        <v>APP196</v>
      </c>
      <c r="B197" s="3">
        <v>37</v>
      </c>
      <c r="C197" s="3">
        <v>1373715</v>
      </c>
      <c r="D197" s="3" t="s">
        <v>12</v>
      </c>
      <c r="E197" s="3">
        <v>24</v>
      </c>
      <c r="F197" s="3">
        <v>317</v>
      </c>
      <c r="G197" s="3">
        <v>3</v>
      </c>
      <c r="H197" s="3">
        <v>2271511</v>
      </c>
      <c r="I197" s="3">
        <v>18</v>
      </c>
      <c r="J197" s="3">
        <v>10123</v>
      </c>
      <c r="K197" s="3">
        <v>2045931</v>
      </c>
      <c r="L197" s="3" t="s">
        <v>13</v>
      </c>
    </row>
    <row r="198" spans="1:12" x14ac:dyDescent="0.25">
      <c r="A198" s="3" t="str">
        <f t="shared" si="3"/>
        <v>APP197</v>
      </c>
      <c r="B198" s="3">
        <v>30</v>
      </c>
      <c r="C198" s="3">
        <v>1187166</v>
      </c>
      <c r="D198" s="3" t="s">
        <v>16</v>
      </c>
      <c r="E198" s="3">
        <v>25</v>
      </c>
      <c r="F198" s="3">
        <v>861</v>
      </c>
      <c r="G198" s="3">
        <v>2</v>
      </c>
      <c r="H198" s="3">
        <v>1761139</v>
      </c>
      <c r="I198" s="3">
        <v>18</v>
      </c>
      <c r="J198" s="3">
        <v>10395</v>
      </c>
      <c r="K198" s="3">
        <v>4621044</v>
      </c>
      <c r="L198" s="3" t="s">
        <v>13</v>
      </c>
    </row>
    <row r="199" spans="1:12" x14ac:dyDescent="0.25">
      <c r="A199" s="3" t="str">
        <f t="shared" si="3"/>
        <v>APP198</v>
      </c>
      <c r="B199" s="3">
        <v>59</v>
      </c>
      <c r="C199" s="3">
        <v>1434094</v>
      </c>
      <c r="D199" s="3" t="s">
        <v>16</v>
      </c>
      <c r="E199" s="3">
        <v>34</v>
      </c>
      <c r="F199" s="3">
        <v>704</v>
      </c>
      <c r="G199" s="3">
        <v>4</v>
      </c>
      <c r="H199" s="3">
        <v>3405893</v>
      </c>
      <c r="I199" s="3">
        <v>9</v>
      </c>
      <c r="J199" s="3">
        <v>10830</v>
      </c>
      <c r="K199" s="3">
        <v>8241044</v>
      </c>
      <c r="L199" s="3" t="s">
        <v>13</v>
      </c>
    </row>
    <row r="200" spans="1:12" x14ac:dyDescent="0.25">
      <c r="A200" s="3" t="str">
        <f t="shared" si="3"/>
        <v>APP199</v>
      </c>
      <c r="B200" s="3">
        <v>58</v>
      </c>
      <c r="C200" s="3">
        <v>321742</v>
      </c>
      <c r="D200" s="3" t="s">
        <v>14</v>
      </c>
      <c r="E200" s="3">
        <v>15</v>
      </c>
      <c r="F200" s="3">
        <v>688</v>
      </c>
      <c r="G200" s="3">
        <v>0</v>
      </c>
      <c r="H200" s="3">
        <v>1892021</v>
      </c>
      <c r="I200" s="3">
        <v>10</v>
      </c>
      <c r="J200" s="3">
        <v>16372</v>
      </c>
      <c r="K200" s="3">
        <v>694349</v>
      </c>
      <c r="L200" s="3" t="s">
        <v>15</v>
      </c>
    </row>
    <row r="201" spans="1:12" x14ac:dyDescent="0.25">
      <c r="A201" s="3" t="str">
        <f t="shared" si="3"/>
        <v>APP200</v>
      </c>
      <c r="B201" s="3">
        <v>44</v>
      </c>
      <c r="C201" s="3">
        <v>350353</v>
      </c>
      <c r="D201" s="3" t="s">
        <v>12</v>
      </c>
      <c r="E201" s="3">
        <v>22</v>
      </c>
      <c r="F201" s="3">
        <v>512</v>
      </c>
      <c r="G201" s="3">
        <v>5</v>
      </c>
      <c r="H201" s="3">
        <v>2311270</v>
      </c>
      <c r="I201" s="3">
        <v>14</v>
      </c>
      <c r="J201" s="3">
        <v>8549</v>
      </c>
      <c r="K201" s="3">
        <v>1557278</v>
      </c>
      <c r="L201" s="3" t="s">
        <v>15</v>
      </c>
    </row>
    <row r="202" spans="1:12" x14ac:dyDescent="0.25">
      <c r="A202" s="3" t="str">
        <f t="shared" si="3"/>
        <v>APP201</v>
      </c>
      <c r="B202" s="3">
        <v>55</v>
      </c>
      <c r="C202" s="3">
        <v>732516</v>
      </c>
      <c r="D202" s="3" t="s">
        <v>14</v>
      </c>
      <c r="E202" s="3">
        <v>10</v>
      </c>
      <c r="F202" s="3">
        <v>361</v>
      </c>
      <c r="G202" s="3">
        <v>4</v>
      </c>
      <c r="H202" s="3">
        <v>3758598</v>
      </c>
      <c r="I202" s="3">
        <v>10</v>
      </c>
      <c r="J202" s="3">
        <v>74941</v>
      </c>
      <c r="K202" s="3">
        <v>9243313</v>
      </c>
      <c r="L202" s="3" t="s">
        <v>13</v>
      </c>
    </row>
    <row r="203" spans="1:12" x14ac:dyDescent="0.25">
      <c r="A203" s="3" t="str">
        <f t="shared" si="3"/>
        <v>APP202</v>
      </c>
      <c r="B203" s="3">
        <v>61</v>
      </c>
      <c r="C203" s="3">
        <v>797630</v>
      </c>
      <c r="D203" s="3" t="s">
        <v>12</v>
      </c>
      <c r="E203" s="3">
        <v>22</v>
      </c>
      <c r="F203" s="3">
        <v>441</v>
      </c>
      <c r="G203" s="3">
        <v>2</v>
      </c>
      <c r="H203" s="3">
        <v>373230</v>
      </c>
      <c r="I203" s="3">
        <v>3</v>
      </c>
      <c r="J203" s="3">
        <v>18219</v>
      </c>
      <c r="K203" s="3">
        <v>6200112</v>
      </c>
      <c r="L203" s="3" t="s">
        <v>13</v>
      </c>
    </row>
    <row r="204" spans="1:12" x14ac:dyDescent="0.25">
      <c r="A204" s="3" t="str">
        <f t="shared" si="3"/>
        <v>APP203</v>
      </c>
      <c r="B204" s="3">
        <v>65</v>
      </c>
      <c r="C204" s="3">
        <v>459725</v>
      </c>
      <c r="D204" s="3" t="s">
        <v>16</v>
      </c>
      <c r="E204" s="3">
        <v>16</v>
      </c>
      <c r="F204" s="3">
        <v>767</v>
      </c>
      <c r="G204" s="3">
        <v>1</v>
      </c>
      <c r="H204" s="3">
        <v>2154263</v>
      </c>
      <c r="I204" s="3">
        <v>4</v>
      </c>
      <c r="J204" s="3">
        <v>23579</v>
      </c>
      <c r="K204" s="3">
        <v>7673175</v>
      </c>
      <c r="L204" s="3" t="s">
        <v>13</v>
      </c>
    </row>
    <row r="205" spans="1:12" x14ac:dyDescent="0.25">
      <c r="A205" s="3" t="str">
        <f t="shared" si="3"/>
        <v>APP204</v>
      </c>
      <c r="B205" s="3">
        <v>33</v>
      </c>
      <c r="C205" s="3">
        <v>1563557</v>
      </c>
      <c r="D205" s="3" t="s">
        <v>14</v>
      </c>
      <c r="E205" s="3">
        <v>0</v>
      </c>
      <c r="F205" s="3">
        <v>570</v>
      </c>
      <c r="G205" s="3">
        <v>5</v>
      </c>
      <c r="H205" s="3">
        <v>1924242</v>
      </c>
      <c r="I205" s="3">
        <v>20</v>
      </c>
      <c r="J205" s="3">
        <v>60954</v>
      </c>
      <c r="K205" s="3">
        <v>5175862</v>
      </c>
      <c r="L205" s="3" t="s">
        <v>15</v>
      </c>
    </row>
    <row r="206" spans="1:12" x14ac:dyDescent="0.25">
      <c r="A206" s="3" t="str">
        <f t="shared" si="3"/>
        <v>APP205</v>
      </c>
      <c r="B206" s="3">
        <v>53</v>
      </c>
      <c r="C206" s="3">
        <v>1039963</v>
      </c>
      <c r="D206" s="3" t="s">
        <v>14</v>
      </c>
      <c r="E206" s="3">
        <v>22</v>
      </c>
      <c r="F206" s="3">
        <v>411</v>
      </c>
      <c r="G206" s="3">
        <v>2</v>
      </c>
      <c r="H206" s="3">
        <v>4267446</v>
      </c>
      <c r="I206" s="3">
        <v>12</v>
      </c>
      <c r="J206" s="3">
        <v>16797</v>
      </c>
      <c r="K206" s="3">
        <v>7831981</v>
      </c>
      <c r="L206" s="3" t="s">
        <v>15</v>
      </c>
    </row>
    <row r="207" spans="1:12" x14ac:dyDescent="0.25">
      <c r="A207" s="3" t="str">
        <f t="shared" si="3"/>
        <v>APP206</v>
      </c>
      <c r="B207" s="3">
        <v>29</v>
      </c>
      <c r="C207" s="3">
        <v>2170700</v>
      </c>
      <c r="D207" s="3" t="s">
        <v>12</v>
      </c>
      <c r="E207" s="3">
        <v>26</v>
      </c>
      <c r="F207" s="3">
        <v>814</v>
      </c>
      <c r="G207" s="3">
        <v>5</v>
      </c>
      <c r="H207" s="3">
        <v>2183170</v>
      </c>
      <c r="I207" s="3">
        <v>5</v>
      </c>
      <c r="J207" s="3">
        <v>35782</v>
      </c>
      <c r="K207" s="3">
        <v>3702263</v>
      </c>
      <c r="L207" s="3" t="s">
        <v>13</v>
      </c>
    </row>
    <row r="208" spans="1:12" x14ac:dyDescent="0.25">
      <c r="A208" s="3" t="str">
        <f t="shared" si="3"/>
        <v>APP207</v>
      </c>
      <c r="B208" s="3">
        <v>57</v>
      </c>
      <c r="C208" s="3">
        <v>1725763</v>
      </c>
      <c r="D208" s="3" t="s">
        <v>16</v>
      </c>
      <c r="E208" s="3">
        <v>35</v>
      </c>
      <c r="F208" s="3">
        <v>651</v>
      </c>
      <c r="G208" s="3">
        <v>5</v>
      </c>
      <c r="H208" s="3">
        <v>2125126</v>
      </c>
      <c r="I208" s="3">
        <v>28</v>
      </c>
      <c r="J208" s="3">
        <v>11489</v>
      </c>
      <c r="K208" s="3">
        <v>4147644</v>
      </c>
      <c r="L208" s="3" t="s">
        <v>13</v>
      </c>
    </row>
    <row r="209" spans="1:12" x14ac:dyDescent="0.25">
      <c r="A209" s="3" t="str">
        <f t="shared" si="3"/>
        <v>APP208</v>
      </c>
      <c r="B209" s="3">
        <v>46</v>
      </c>
      <c r="C209" s="3">
        <v>491766</v>
      </c>
      <c r="D209" s="3" t="s">
        <v>12</v>
      </c>
      <c r="E209" s="3">
        <v>29</v>
      </c>
      <c r="F209" s="3">
        <v>437</v>
      </c>
      <c r="G209" s="3">
        <v>4</v>
      </c>
      <c r="H209" s="3">
        <v>325823</v>
      </c>
      <c r="I209" s="3">
        <v>23</v>
      </c>
      <c r="J209" s="3">
        <v>27178</v>
      </c>
      <c r="K209" s="3">
        <v>5865413</v>
      </c>
      <c r="L209" s="3" t="s">
        <v>13</v>
      </c>
    </row>
    <row r="210" spans="1:12" x14ac:dyDescent="0.25">
      <c r="A210" s="3" t="str">
        <f t="shared" si="3"/>
        <v>APP209</v>
      </c>
      <c r="B210" s="3">
        <v>62</v>
      </c>
      <c r="C210" s="3">
        <v>428901</v>
      </c>
      <c r="D210" s="3" t="s">
        <v>16</v>
      </c>
      <c r="E210" s="3">
        <v>14</v>
      </c>
      <c r="F210" s="3">
        <v>422</v>
      </c>
      <c r="G210" s="3">
        <v>3</v>
      </c>
      <c r="H210" s="3">
        <v>2675987</v>
      </c>
      <c r="I210" s="3">
        <v>24</v>
      </c>
      <c r="J210" s="3">
        <v>50145</v>
      </c>
      <c r="K210" s="3">
        <v>7618403</v>
      </c>
      <c r="L210" s="3" t="s">
        <v>13</v>
      </c>
    </row>
    <row r="211" spans="1:12" x14ac:dyDescent="0.25">
      <c r="A211" s="3" t="str">
        <f t="shared" si="3"/>
        <v>APP210</v>
      </c>
      <c r="B211" s="3">
        <v>52</v>
      </c>
      <c r="C211" s="3">
        <v>410756</v>
      </c>
      <c r="D211" s="3" t="s">
        <v>12</v>
      </c>
      <c r="E211" s="3">
        <v>24</v>
      </c>
      <c r="F211" s="3">
        <v>451</v>
      </c>
      <c r="G211" s="3">
        <v>2</v>
      </c>
      <c r="H211" s="3">
        <v>797332</v>
      </c>
      <c r="I211" s="3">
        <v>2</v>
      </c>
      <c r="J211" s="3">
        <v>65423</v>
      </c>
      <c r="K211" s="3">
        <v>9383227</v>
      </c>
      <c r="L211" s="3" t="s">
        <v>13</v>
      </c>
    </row>
    <row r="212" spans="1:12" x14ac:dyDescent="0.25">
      <c r="A212" s="3" t="str">
        <f t="shared" si="3"/>
        <v>APP211</v>
      </c>
      <c r="B212" s="3">
        <v>43</v>
      </c>
      <c r="C212" s="3">
        <v>1871845</v>
      </c>
      <c r="D212" s="3" t="s">
        <v>16</v>
      </c>
      <c r="E212" s="3">
        <v>14</v>
      </c>
      <c r="F212" s="3">
        <v>647</v>
      </c>
      <c r="G212" s="3">
        <v>5</v>
      </c>
      <c r="H212" s="3">
        <v>272788</v>
      </c>
      <c r="I212" s="3">
        <v>30</v>
      </c>
      <c r="J212" s="3">
        <v>64048</v>
      </c>
      <c r="K212" s="3">
        <v>3016837</v>
      </c>
      <c r="L212" s="3" t="s">
        <v>13</v>
      </c>
    </row>
    <row r="213" spans="1:12" x14ac:dyDescent="0.25">
      <c r="A213" s="3" t="str">
        <f t="shared" si="3"/>
        <v>APP212</v>
      </c>
      <c r="B213" s="3">
        <v>39</v>
      </c>
      <c r="C213" s="3">
        <v>1326771</v>
      </c>
      <c r="D213" s="3" t="s">
        <v>16</v>
      </c>
      <c r="E213" s="3">
        <v>34</v>
      </c>
      <c r="F213" s="3">
        <v>515</v>
      </c>
      <c r="G213" s="3">
        <v>3</v>
      </c>
      <c r="H213" s="3">
        <v>371326</v>
      </c>
      <c r="I213" s="3">
        <v>7</v>
      </c>
      <c r="J213" s="3">
        <v>25155</v>
      </c>
      <c r="K213" s="3">
        <v>8110337</v>
      </c>
      <c r="L213" s="3" t="s">
        <v>13</v>
      </c>
    </row>
    <row r="214" spans="1:12" x14ac:dyDescent="0.25">
      <c r="A214" s="3" t="str">
        <f t="shared" si="3"/>
        <v>APP213</v>
      </c>
      <c r="B214" s="3">
        <v>45</v>
      </c>
      <c r="C214" s="3">
        <v>339519</v>
      </c>
      <c r="D214" s="3" t="s">
        <v>12</v>
      </c>
      <c r="E214" s="3">
        <v>9</v>
      </c>
      <c r="F214" s="3">
        <v>569</v>
      </c>
      <c r="G214" s="3">
        <v>1</v>
      </c>
      <c r="H214" s="3">
        <v>3026435</v>
      </c>
      <c r="I214" s="3">
        <v>14</v>
      </c>
      <c r="J214" s="3">
        <v>37889</v>
      </c>
      <c r="K214" s="3">
        <v>8378584</v>
      </c>
      <c r="L214" s="3" t="s">
        <v>13</v>
      </c>
    </row>
    <row r="215" spans="1:12" x14ac:dyDescent="0.25">
      <c r="A215" s="3" t="str">
        <f t="shared" si="3"/>
        <v>APP214</v>
      </c>
      <c r="B215" s="3">
        <v>48</v>
      </c>
      <c r="C215" s="3">
        <v>765335</v>
      </c>
      <c r="D215" s="3" t="s">
        <v>12</v>
      </c>
      <c r="E215" s="3">
        <v>22</v>
      </c>
      <c r="F215" s="3">
        <v>868</v>
      </c>
      <c r="G215" s="3">
        <v>0</v>
      </c>
      <c r="H215" s="3">
        <v>393020</v>
      </c>
      <c r="I215" s="3">
        <v>29</v>
      </c>
      <c r="J215" s="3">
        <v>31324</v>
      </c>
      <c r="K215" s="3">
        <v>8785086</v>
      </c>
      <c r="L215" s="3" t="s">
        <v>13</v>
      </c>
    </row>
    <row r="216" spans="1:12" x14ac:dyDescent="0.25">
      <c r="A216" s="3" t="str">
        <f t="shared" si="3"/>
        <v>APP215</v>
      </c>
      <c r="B216" s="3">
        <v>56</v>
      </c>
      <c r="C216" s="3">
        <v>1057222</v>
      </c>
      <c r="D216" s="3" t="s">
        <v>14</v>
      </c>
      <c r="E216" s="3">
        <v>33</v>
      </c>
      <c r="F216" s="3">
        <v>581</v>
      </c>
      <c r="G216" s="3">
        <v>4</v>
      </c>
      <c r="H216" s="3">
        <v>470663</v>
      </c>
      <c r="I216" s="3">
        <v>28</v>
      </c>
      <c r="J216" s="3">
        <v>76035</v>
      </c>
      <c r="K216" s="3">
        <v>7904100</v>
      </c>
      <c r="L216" s="3" t="s">
        <v>13</v>
      </c>
    </row>
    <row r="217" spans="1:12" x14ac:dyDescent="0.25">
      <c r="A217" s="3" t="str">
        <f t="shared" si="3"/>
        <v>APP216</v>
      </c>
      <c r="B217" s="3">
        <v>63</v>
      </c>
      <c r="C217" s="3">
        <v>1515726</v>
      </c>
      <c r="D217" s="3" t="s">
        <v>16</v>
      </c>
      <c r="E217" s="3">
        <v>33</v>
      </c>
      <c r="F217" s="3">
        <v>851</v>
      </c>
      <c r="G217" s="3">
        <v>5</v>
      </c>
      <c r="H217" s="3">
        <v>2540512</v>
      </c>
      <c r="I217" s="3">
        <v>12</v>
      </c>
      <c r="J217" s="3">
        <v>20450</v>
      </c>
      <c r="K217" s="3">
        <v>7109416</v>
      </c>
      <c r="L217" s="3" t="s">
        <v>15</v>
      </c>
    </row>
    <row r="218" spans="1:12" x14ac:dyDescent="0.25">
      <c r="A218" s="3" t="str">
        <f t="shared" si="3"/>
        <v>APP217</v>
      </c>
      <c r="B218" s="3">
        <v>49</v>
      </c>
      <c r="C218" s="3">
        <v>1958438</v>
      </c>
      <c r="D218" s="3" t="s">
        <v>16</v>
      </c>
      <c r="E218" s="3">
        <v>20</v>
      </c>
      <c r="F218" s="3">
        <v>576</v>
      </c>
      <c r="G218" s="3">
        <v>4</v>
      </c>
      <c r="H218" s="3">
        <v>1556350</v>
      </c>
      <c r="I218" s="3">
        <v>14</v>
      </c>
      <c r="J218" s="3">
        <v>41524</v>
      </c>
      <c r="K218" s="3">
        <v>7680198</v>
      </c>
      <c r="L218" s="3" t="s">
        <v>15</v>
      </c>
    </row>
    <row r="219" spans="1:12" x14ac:dyDescent="0.25">
      <c r="A219" s="3" t="str">
        <f t="shared" si="3"/>
        <v>APP218</v>
      </c>
      <c r="B219" s="3">
        <v>30</v>
      </c>
      <c r="C219" s="3">
        <v>1049978</v>
      </c>
      <c r="D219" s="3" t="s">
        <v>14</v>
      </c>
      <c r="E219" s="3">
        <v>10</v>
      </c>
      <c r="F219" s="3">
        <v>628</v>
      </c>
      <c r="G219" s="3">
        <v>5</v>
      </c>
      <c r="H219" s="3">
        <v>1987617</v>
      </c>
      <c r="I219" s="3">
        <v>3</v>
      </c>
      <c r="J219" s="3">
        <v>58266</v>
      </c>
      <c r="K219" s="3">
        <v>6393166</v>
      </c>
      <c r="L219" s="3" t="s">
        <v>15</v>
      </c>
    </row>
    <row r="220" spans="1:12" x14ac:dyDescent="0.25">
      <c r="A220" s="3" t="str">
        <f t="shared" si="3"/>
        <v>APP219</v>
      </c>
      <c r="B220" s="3">
        <v>32</v>
      </c>
      <c r="C220" s="3">
        <v>844208</v>
      </c>
      <c r="D220" s="3" t="s">
        <v>14</v>
      </c>
      <c r="E220" s="3">
        <v>1</v>
      </c>
      <c r="F220" s="3">
        <v>500</v>
      </c>
      <c r="G220" s="3">
        <v>4</v>
      </c>
      <c r="H220" s="3">
        <v>3671768</v>
      </c>
      <c r="I220" s="3">
        <v>30</v>
      </c>
      <c r="J220" s="3">
        <v>70649</v>
      </c>
      <c r="K220" s="3">
        <v>5564044</v>
      </c>
      <c r="L220" s="3" t="s">
        <v>13</v>
      </c>
    </row>
    <row r="221" spans="1:12" x14ac:dyDescent="0.25">
      <c r="A221" s="3" t="str">
        <f t="shared" si="3"/>
        <v>APP220</v>
      </c>
      <c r="B221" s="3">
        <v>56</v>
      </c>
      <c r="C221" s="3">
        <v>2391158</v>
      </c>
      <c r="D221" s="3" t="s">
        <v>16</v>
      </c>
      <c r="E221" s="3">
        <v>15</v>
      </c>
      <c r="F221" s="3">
        <v>421</v>
      </c>
      <c r="G221" s="3">
        <v>4</v>
      </c>
      <c r="H221" s="3">
        <v>383079</v>
      </c>
      <c r="I221" s="3">
        <v>2</v>
      </c>
      <c r="J221" s="3">
        <v>63829</v>
      </c>
      <c r="K221" s="3">
        <v>6931854</v>
      </c>
      <c r="L221" s="3" t="s">
        <v>15</v>
      </c>
    </row>
    <row r="222" spans="1:12" x14ac:dyDescent="0.25">
      <c r="A222" s="3" t="str">
        <f t="shared" si="3"/>
        <v>APP221</v>
      </c>
      <c r="B222" s="3">
        <v>54</v>
      </c>
      <c r="C222" s="3">
        <v>1965441</v>
      </c>
      <c r="D222" s="3" t="s">
        <v>12</v>
      </c>
      <c r="E222" s="3">
        <v>31</v>
      </c>
      <c r="F222" s="3">
        <v>895</v>
      </c>
      <c r="G222" s="3">
        <v>0</v>
      </c>
      <c r="H222" s="3">
        <v>2614651</v>
      </c>
      <c r="I222" s="3">
        <v>23</v>
      </c>
      <c r="J222" s="3">
        <v>76791</v>
      </c>
      <c r="K222" s="3">
        <v>4759620</v>
      </c>
      <c r="L222" s="3" t="s">
        <v>13</v>
      </c>
    </row>
    <row r="223" spans="1:12" x14ac:dyDescent="0.25">
      <c r="A223" s="3" t="str">
        <f t="shared" si="3"/>
        <v>APP222</v>
      </c>
      <c r="B223" s="3">
        <v>51</v>
      </c>
      <c r="C223" s="3">
        <v>201677</v>
      </c>
      <c r="D223" s="3" t="s">
        <v>14</v>
      </c>
      <c r="E223" s="3">
        <v>21</v>
      </c>
      <c r="F223" s="3">
        <v>650</v>
      </c>
      <c r="G223" s="3">
        <v>5</v>
      </c>
      <c r="H223" s="3">
        <v>970489</v>
      </c>
      <c r="I223" s="3">
        <v>28</v>
      </c>
      <c r="J223" s="3">
        <v>41838</v>
      </c>
      <c r="K223" s="3">
        <v>6288180</v>
      </c>
      <c r="L223" s="3" t="s">
        <v>15</v>
      </c>
    </row>
    <row r="224" spans="1:12" x14ac:dyDescent="0.25">
      <c r="A224" s="3" t="str">
        <f t="shared" si="3"/>
        <v>APP223</v>
      </c>
      <c r="B224" s="3">
        <v>43</v>
      </c>
      <c r="C224" s="3">
        <v>1063834</v>
      </c>
      <c r="D224" s="3" t="s">
        <v>14</v>
      </c>
      <c r="E224" s="3">
        <v>28</v>
      </c>
      <c r="F224" s="3">
        <v>302</v>
      </c>
      <c r="G224" s="3">
        <v>1</v>
      </c>
      <c r="H224" s="3">
        <v>2768166</v>
      </c>
      <c r="I224" s="3">
        <v>8</v>
      </c>
      <c r="J224" s="3">
        <v>28951</v>
      </c>
      <c r="K224" s="3">
        <v>8015389</v>
      </c>
      <c r="L224" s="3" t="s">
        <v>13</v>
      </c>
    </row>
    <row r="225" spans="1:12" x14ac:dyDescent="0.25">
      <c r="A225" s="3" t="str">
        <f t="shared" si="3"/>
        <v>APP224</v>
      </c>
      <c r="B225" s="3">
        <v>50</v>
      </c>
      <c r="C225" s="3">
        <v>1060308</v>
      </c>
      <c r="D225" s="3" t="s">
        <v>14</v>
      </c>
      <c r="E225" s="3">
        <v>18</v>
      </c>
      <c r="F225" s="3">
        <v>545</v>
      </c>
      <c r="G225" s="3">
        <v>5</v>
      </c>
      <c r="H225" s="3">
        <v>1257391</v>
      </c>
      <c r="I225" s="3">
        <v>26</v>
      </c>
      <c r="J225" s="3">
        <v>27358</v>
      </c>
      <c r="K225" s="3">
        <v>9397635</v>
      </c>
      <c r="L225" s="3" t="s">
        <v>15</v>
      </c>
    </row>
    <row r="226" spans="1:12" x14ac:dyDescent="0.25">
      <c r="A226" s="3" t="str">
        <f t="shared" si="3"/>
        <v>APP225</v>
      </c>
      <c r="B226" s="3">
        <v>63</v>
      </c>
      <c r="C226" s="3">
        <v>1749654</v>
      </c>
      <c r="D226" s="3" t="s">
        <v>14</v>
      </c>
      <c r="E226" s="3">
        <v>3</v>
      </c>
      <c r="F226" s="3">
        <v>565</v>
      </c>
      <c r="G226" s="3">
        <v>5</v>
      </c>
      <c r="H226" s="3">
        <v>850993</v>
      </c>
      <c r="I226" s="3">
        <v>7</v>
      </c>
      <c r="J226" s="3">
        <v>28496</v>
      </c>
      <c r="K226" s="3">
        <v>2625249</v>
      </c>
      <c r="L226" s="3" t="s">
        <v>13</v>
      </c>
    </row>
    <row r="227" spans="1:12" x14ac:dyDescent="0.25">
      <c r="A227" s="3" t="str">
        <f t="shared" si="3"/>
        <v>APP226</v>
      </c>
      <c r="B227" s="3">
        <v>31</v>
      </c>
      <c r="C227" s="3">
        <v>1411037</v>
      </c>
      <c r="D227" s="3" t="s">
        <v>16</v>
      </c>
      <c r="E227" s="3">
        <v>26</v>
      </c>
      <c r="F227" s="3">
        <v>794</v>
      </c>
      <c r="G227" s="3">
        <v>5</v>
      </c>
      <c r="H227" s="3">
        <v>3446054</v>
      </c>
      <c r="I227" s="3">
        <v>12</v>
      </c>
      <c r="J227" s="3">
        <v>32147</v>
      </c>
      <c r="K227" s="3">
        <v>3125641</v>
      </c>
      <c r="L227" s="3" t="s">
        <v>15</v>
      </c>
    </row>
    <row r="228" spans="1:12" x14ac:dyDescent="0.25">
      <c r="A228" s="3" t="str">
        <f t="shared" si="3"/>
        <v>APP227</v>
      </c>
      <c r="B228" s="3">
        <v>64</v>
      </c>
      <c r="C228" s="3">
        <v>774542</v>
      </c>
      <c r="D228" s="3" t="s">
        <v>12</v>
      </c>
      <c r="E228" s="3">
        <v>15</v>
      </c>
      <c r="F228" s="3">
        <v>495</v>
      </c>
      <c r="G228" s="3">
        <v>1</v>
      </c>
      <c r="H228" s="3">
        <v>960599</v>
      </c>
      <c r="I228" s="3">
        <v>27</v>
      </c>
      <c r="J228" s="3">
        <v>55026</v>
      </c>
      <c r="K228" s="3">
        <v>5592740</v>
      </c>
      <c r="L228" s="3" t="s">
        <v>15</v>
      </c>
    </row>
    <row r="229" spans="1:12" x14ac:dyDescent="0.25">
      <c r="A229" s="3" t="str">
        <f t="shared" si="3"/>
        <v>APP228</v>
      </c>
      <c r="B229" s="3">
        <v>34</v>
      </c>
      <c r="C229" s="3">
        <v>2478994</v>
      </c>
      <c r="D229" s="3" t="s">
        <v>14</v>
      </c>
      <c r="E229" s="3">
        <v>31</v>
      </c>
      <c r="F229" s="3">
        <v>408</v>
      </c>
      <c r="G229" s="3">
        <v>0</v>
      </c>
      <c r="H229" s="3">
        <v>3120075</v>
      </c>
      <c r="I229" s="3">
        <v>21</v>
      </c>
      <c r="J229" s="3">
        <v>29632</v>
      </c>
      <c r="K229" s="3">
        <v>1001971</v>
      </c>
      <c r="L229" s="3" t="s">
        <v>13</v>
      </c>
    </row>
    <row r="230" spans="1:12" x14ac:dyDescent="0.25">
      <c r="A230" s="3" t="str">
        <f t="shared" si="3"/>
        <v>APP229</v>
      </c>
      <c r="B230" s="3">
        <v>59</v>
      </c>
      <c r="C230" s="3">
        <v>660700</v>
      </c>
      <c r="D230" s="3" t="s">
        <v>16</v>
      </c>
      <c r="E230" s="3">
        <v>33</v>
      </c>
      <c r="F230" s="3">
        <v>824</v>
      </c>
      <c r="G230" s="3">
        <v>0</v>
      </c>
      <c r="H230" s="3">
        <v>1491281</v>
      </c>
      <c r="I230" s="3">
        <v>22</v>
      </c>
      <c r="J230" s="3">
        <v>32977</v>
      </c>
      <c r="K230" s="3">
        <v>5647841</v>
      </c>
      <c r="L230" s="3" t="s">
        <v>15</v>
      </c>
    </row>
    <row r="231" spans="1:12" x14ac:dyDescent="0.25">
      <c r="A231" s="3" t="str">
        <f t="shared" si="3"/>
        <v>APP230</v>
      </c>
      <c r="B231" s="3">
        <v>34</v>
      </c>
      <c r="C231" s="3">
        <v>2398621</v>
      </c>
      <c r="D231" s="3" t="s">
        <v>16</v>
      </c>
      <c r="E231" s="3">
        <v>34</v>
      </c>
      <c r="F231" s="3">
        <v>760</v>
      </c>
      <c r="G231" s="3">
        <v>2</v>
      </c>
      <c r="H231" s="3">
        <v>1519887</v>
      </c>
      <c r="I231" s="3">
        <v>28</v>
      </c>
      <c r="J231" s="3">
        <v>51702</v>
      </c>
      <c r="K231" s="3">
        <v>4348763</v>
      </c>
      <c r="L231" s="3" t="s">
        <v>13</v>
      </c>
    </row>
    <row r="232" spans="1:12" x14ac:dyDescent="0.25">
      <c r="A232" s="3" t="str">
        <f t="shared" si="3"/>
        <v>APP231</v>
      </c>
      <c r="B232" s="3">
        <v>59</v>
      </c>
      <c r="C232" s="3">
        <v>1885303</v>
      </c>
      <c r="D232" s="3" t="s">
        <v>12</v>
      </c>
      <c r="E232" s="3">
        <v>8</v>
      </c>
      <c r="F232" s="3">
        <v>715</v>
      </c>
      <c r="G232" s="3">
        <v>4</v>
      </c>
      <c r="H232" s="3">
        <v>474870</v>
      </c>
      <c r="I232" s="3">
        <v>4</v>
      </c>
      <c r="J232" s="3">
        <v>46639</v>
      </c>
      <c r="K232" s="3">
        <v>7895712</v>
      </c>
      <c r="L232" s="3" t="s">
        <v>15</v>
      </c>
    </row>
    <row r="233" spans="1:12" x14ac:dyDescent="0.25">
      <c r="A233" s="3" t="str">
        <f t="shared" si="3"/>
        <v>APP232</v>
      </c>
      <c r="B233" s="3">
        <v>45</v>
      </c>
      <c r="C233" s="3">
        <v>781075</v>
      </c>
      <c r="D233" s="3" t="s">
        <v>14</v>
      </c>
      <c r="E233" s="3">
        <v>14</v>
      </c>
      <c r="F233" s="3">
        <v>684</v>
      </c>
      <c r="G233" s="3">
        <v>4</v>
      </c>
      <c r="H233" s="3">
        <v>4940637</v>
      </c>
      <c r="I233" s="3">
        <v>1</v>
      </c>
      <c r="J233" s="3">
        <v>11801</v>
      </c>
      <c r="K233" s="3">
        <v>6805708</v>
      </c>
      <c r="L233" s="3" t="s">
        <v>13</v>
      </c>
    </row>
    <row r="234" spans="1:12" x14ac:dyDescent="0.25">
      <c r="A234" s="3" t="str">
        <f t="shared" si="3"/>
        <v>APP233</v>
      </c>
      <c r="B234" s="3">
        <v>35</v>
      </c>
      <c r="C234" s="3">
        <v>1945852</v>
      </c>
      <c r="D234" s="3" t="s">
        <v>16</v>
      </c>
      <c r="E234" s="3">
        <v>34</v>
      </c>
      <c r="F234" s="3">
        <v>408</v>
      </c>
      <c r="G234" s="3">
        <v>5</v>
      </c>
      <c r="H234" s="3">
        <v>4586493</v>
      </c>
      <c r="I234" s="3">
        <v>25</v>
      </c>
      <c r="J234" s="3">
        <v>739</v>
      </c>
      <c r="K234" s="3">
        <v>2078992</v>
      </c>
      <c r="L234" s="3" t="s">
        <v>15</v>
      </c>
    </row>
    <row r="235" spans="1:12" x14ac:dyDescent="0.25">
      <c r="A235" s="3" t="str">
        <f t="shared" si="3"/>
        <v>APP234</v>
      </c>
      <c r="B235" s="3">
        <v>45</v>
      </c>
      <c r="C235" s="3">
        <v>2405182</v>
      </c>
      <c r="D235" s="3" t="s">
        <v>14</v>
      </c>
      <c r="E235" s="3">
        <v>32</v>
      </c>
      <c r="F235" s="3">
        <v>796</v>
      </c>
      <c r="G235" s="3">
        <v>4</v>
      </c>
      <c r="H235" s="3">
        <v>4764529</v>
      </c>
      <c r="I235" s="3">
        <v>30</v>
      </c>
      <c r="J235" s="3">
        <v>46675</v>
      </c>
      <c r="K235" s="3">
        <v>5896056</v>
      </c>
      <c r="L235" s="3" t="s">
        <v>13</v>
      </c>
    </row>
    <row r="236" spans="1:12" x14ac:dyDescent="0.25">
      <c r="A236" s="3" t="str">
        <f t="shared" si="3"/>
        <v>APP235</v>
      </c>
      <c r="B236" s="3">
        <v>64</v>
      </c>
      <c r="C236" s="3">
        <v>2430299</v>
      </c>
      <c r="D236" s="3" t="s">
        <v>16</v>
      </c>
      <c r="E236" s="3">
        <v>14</v>
      </c>
      <c r="F236" s="3">
        <v>460</v>
      </c>
      <c r="G236" s="3">
        <v>5</v>
      </c>
      <c r="H236" s="3">
        <v>3138406</v>
      </c>
      <c r="I236" s="3">
        <v>9</v>
      </c>
      <c r="J236" s="3">
        <v>908</v>
      </c>
      <c r="K236" s="3">
        <v>6004981</v>
      </c>
      <c r="L236" s="3" t="s">
        <v>13</v>
      </c>
    </row>
    <row r="237" spans="1:12" x14ac:dyDescent="0.25">
      <c r="A237" s="3" t="str">
        <f t="shared" si="3"/>
        <v>APP236</v>
      </c>
      <c r="B237" s="3">
        <v>58</v>
      </c>
      <c r="C237" s="3">
        <v>423920</v>
      </c>
      <c r="D237" s="3" t="s">
        <v>16</v>
      </c>
      <c r="E237" s="3">
        <v>19</v>
      </c>
      <c r="F237" s="3">
        <v>347</v>
      </c>
      <c r="G237" s="3">
        <v>4</v>
      </c>
      <c r="H237" s="3">
        <v>967019</v>
      </c>
      <c r="I237" s="3">
        <v>28</v>
      </c>
      <c r="J237" s="3">
        <v>39335</v>
      </c>
      <c r="K237" s="3">
        <v>5897533</v>
      </c>
      <c r="L237" s="3" t="s">
        <v>15</v>
      </c>
    </row>
    <row r="238" spans="1:12" x14ac:dyDescent="0.25">
      <c r="A238" s="3" t="str">
        <f t="shared" si="3"/>
        <v>APP237</v>
      </c>
      <c r="B238" s="3">
        <v>22</v>
      </c>
      <c r="C238" s="3">
        <v>2432235</v>
      </c>
      <c r="D238" s="3" t="s">
        <v>14</v>
      </c>
      <c r="E238" s="3">
        <v>30</v>
      </c>
      <c r="F238" s="3">
        <v>553</v>
      </c>
      <c r="G238" s="3">
        <v>3</v>
      </c>
      <c r="H238" s="3">
        <v>4550064</v>
      </c>
      <c r="I238" s="3">
        <v>29</v>
      </c>
      <c r="J238" s="3">
        <v>67651</v>
      </c>
      <c r="K238" s="3">
        <v>371936</v>
      </c>
      <c r="L238" s="3" t="s">
        <v>13</v>
      </c>
    </row>
    <row r="239" spans="1:12" x14ac:dyDescent="0.25">
      <c r="A239" s="3" t="str">
        <f t="shared" si="3"/>
        <v>APP238</v>
      </c>
      <c r="B239" s="3">
        <v>55</v>
      </c>
      <c r="C239" s="3">
        <v>2159935</v>
      </c>
      <c r="D239" s="3" t="s">
        <v>16</v>
      </c>
      <c r="E239" s="3">
        <v>19</v>
      </c>
      <c r="F239" s="3">
        <v>561</v>
      </c>
      <c r="G239" s="3">
        <v>4</v>
      </c>
      <c r="H239" s="3">
        <v>4763118</v>
      </c>
      <c r="I239" s="3">
        <v>22</v>
      </c>
      <c r="J239" s="3">
        <v>41873</v>
      </c>
      <c r="K239" s="3">
        <v>6286276</v>
      </c>
      <c r="L239" s="3" t="s">
        <v>15</v>
      </c>
    </row>
    <row r="240" spans="1:12" x14ac:dyDescent="0.25">
      <c r="A240" s="3" t="str">
        <f t="shared" si="3"/>
        <v>APP239</v>
      </c>
      <c r="B240" s="3">
        <v>52</v>
      </c>
      <c r="C240" s="3">
        <v>777859</v>
      </c>
      <c r="D240" s="3" t="s">
        <v>12</v>
      </c>
      <c r="E240" s="3">
        <v>21</v>
      </c>
      <c r="F240" s="3">
        <v>633</v>
      </c>
      <c r="G240" s="3">
        <v>3</v>
      </c>
      <c r="H240" s="3">
        <v>1538104</v>
      </c>
      <c r="I240" s="3">
        <v>7</v>
      </c>
      <c r="J240" s="3">
        <v>39141</v>
      </c>
      <c r="K240" s="3">
        <v>2581680</v>
      </c>
      <c r="L240" s="3" t="s">
        <v>13</v>
      </c>
    </row>
    <row r="241" spans="1:12" x14ac:dyDescent="0.25">
      <c r="A241" s="3" t="str">
        <f t="shared" si="3"/>
        <v>APP240</v>
      </c>
      <c r="B241" s="3">
        <v>57</v>
      </c>
      <c r="C241" s="3">
        <v>196917</v>
      </c>
      <c r="D241" s="3" t="s">
        <v>14</v>
      </c>
      <c r="E241" s="3">
        <v>7</v>
      </c>
      <c r="F241" s="3">
        <v>667</v>
      </c>
      <c r="G241" s="3">
        <v>1</v>
      </c>
      <c r="H241" s="3">
        <v>1263670</v>
      </c>
      <c r="I241" s="3">
        <v>1</v>
      </c>
      <c r="J241" s="3">
        <v>45849</v>
      </c>
      <c r="K241" s="3">
        <v>3893248</v>
      </c>
      <c r="L241" s="3" t="s">
        <v>13</v>
      </c>
    </row>
    <row r="242" spans="1:12" x14ac:dyDescent="0.25">
      <c r="A242" s="3" t="str">
        <f t="shared" si="3"/>
        <v>APP241</v>
      </c>
      <c r="B242" s="3">
        <v>43</v>
      </c>
      <c r="C242" s="3">
        <v>2333500</v>
      </c>
      <c r="D242" s="3" t="s">
        <v>12</v>
      </c>
      <c r="E242" s="3">
        <v>0</v>
      </c>
      <c r="F242" s="3">
        <v>805</v>
      </c>
      <c r="G242" s="3">
        <v>5</v>
      </c>
      <c r="H242" s="3">
        <v>3086471</v>
      </c>
      <c r="I242" s="3">
        <v>7</v>
      </c>
      <c r="J242" s="3">
        <v>13557</v>
      </c>
      <c r="K242" s="3">
        <v>3996618</v>
      </c>
      <c r="L242" s="3" t="s">
        <v>13</v>
      </c>
    </row>
    <row r="243" spans="1:12" x14ac:dyDescent="0.25">
      <c r="A243" s="3" t="str">
        <f t="shared" si="3"/>
        <v>APP242</v>
      </c>
      <c r="B243" s="3">
        <v>32</v>
      </c>
      <c r="C243" s="3">
        <v>2156313</v>
      </c>
      <c r="D243" s="3" t="s">
        <v>16</v>
      </c>
      <c r="E243" s="3">
        <v>2</v>
      </c>
      <c r="F243" s="3">
        <v>598</v>
      </c>
      <c r="G243" s="3">
        <v>2</v>
      </c>
      <c r="H243" s="3">
        <v>3163431</v>
      </c>
      <c r="I243" s="3">
        <v>26</v>
      </c>
      <c r="J243" s="3">
        <v>66668</v>
      </c>
      <c r="K243" s="3">
        <v>4038601</v>
      </c>
      <c r="L243" s="3" t="s">
        <v>13</v>
      </c>
    </row>
    <row r="244" spans="1:12" x14ac:dyDescent="0.25">
      <c r="A244" s="3" t="str">
        <f t="shared" si="3"/>
        <v>APP243</v>
      </c>
      <c r="B244" s="3">
        <v>61</v>
      </c>
      <c r="C244" s="3">
        <v>473879</v>
      </c>
      <c r="D244" s="3" t="s">
        <v>12</v>
      </c>
      <c r="E244" s="3">
        <v>33</v>
      </c>
      <c r="F244" s="3">
        <v>677</v>
      </c>
      <c r="G244" s="3">
        <v>5</v>
      </c>
      <c r="H244" s="3">
        <v>3209331</v>
      </c>
      <c r="I244" s="3">
        <v>17</v>
      </c>
      <c r="J244" s="3">
        <v>44144</v>
      </c>
      <c r="K244" s="3">
        <v>8116941</v>
      </c>
      <c r="L244" s="3" t="s">
        <v>13</v>
      </c>
    </row>
    <row r="245" spans="1:12" x14ac:dyDescent="0.25">
      <c r="A245" s="3" t="str">
        <f t="shared" si="3"/>
        <v>APP244</v>
      </c>
      <c r="B245" s="3">
        <v>41</v>
      </c>
      <c r="C245" s="3">
        <v>2297013</v>
      </c>
      <c r="D245" s="3" t="s">
        <v>12</v>
      </c>
      <c r="E245" s="3">
        <v>22</v>
      </c>
      <c r="F245" s="3">
        <v>795</v>
      </c>
      <c r="G245" s="3">
        <v>5</v>
      </c>
      <c r="H245" s="3">
        <v>1136189</v>
      </c>
      <c r="I245" s="3">
        <v>24</v>
      </c>
      <c r="J245" s="3">
        <v>72633</v>
      </c>
      <c r="K245" s="3">
        <v>5544711</v>
      </c>
      <c r="L245" s="3" t="s">
        <v>15</v>
      </c>
    </row>
    <row r="246" spans="1:12" x14ac:dyDescent="0.25">
      <c r="A246" s="3" t="str">
        <f t="shared" si="3"/>
        <v>APP245</v>
      </c>
      <c r="B246" s="3">
        <v>49</v>
      </c>
      <c r="C246" s="3">
        <v>2090689</v>
      </c>
      <c r="D246" s="3" t="s">
        <v>16</v>
      </c>
      <c r="E246" s="3">
        <v>35</v>
      </c>
      <c r="F246" s="3">
        <v>473</v>
      </c>
      <c r="G246" s="3">
        <v>2</v>
      </c>
      <c r="H246" s="3">
        <v>4026859</v>
      </c>
      <c r="I246" s="3">
        <v>1</v>
      </c>
      <c r="J246" s="3">
        <v>17060</v>
      </c>
      <c r="K246" s="3">
        <v>2106476</v>
      </c>
      <c r="L246" s="3" t="s">
        <v>13</v>
      </c>
    </row>
    <row r="247" spans="1:12" x14ac:dyDescent="0.25">
      <c r="A247" s="3" t="str">
        <f t="shared" si="3"/>
        <v>APP246</v>
      </c>
      <c r="B247" s="3">
        <v>64</v>
      </c>
      <c r="C247" s="3">
        <v>341781</v>
      </c>
      <c r="D247" s="3" t="s">
        <v>12</v>
      </c>
      <c r="E247" s="3">
        <v>25</v>
      </c>
      <c r="F247" s="3">
        <v>692</v>
      </c>
      <c r="G247" s="3">
        <v>1</v>
      </c>
      <c r="H247" s="3">
        <v>1485944</v>
      </c>
      <c r="I247" s="3">
        <v>18</v>
      </c>
      <c r="J247" s="3">
        <v>8651</v>
      </c>
      <c r="K247" s="3">
        <v>769863</v>
      </c>
      <c r="L247" s="3" t="s">
        <v>13</v>
      </c>
    </row>
    <row r="248" spans="1:12" x14ac:dyDescent="0.25">
      <c r="A248" s="3" t="str">
        <f t="shared" si="3"/>
        <v>APP247</v>
      </c>
      <c r="B248" s="3">
        <v>38</v>
      </c>
      <c r="C248" s="3">
        <v>1364782</v>
      </c>
      <c r="D248" s="3" t="s">
        <v>14</v>
      </c>
      <c r="E248" s="3">
        <v>2</v>
      </c>
      <c r="F248" s="3">
        <v>534</v>
      </c>
      <c r="G248" s="3">
        <v>4</v>
      </c>
      <c r="H248" s="3">
        <v>3245737</v>
      </c>
      <c r="I248" s="3">
        <v>25</v>
      </c>
      <c r="J248" s="3">
        <v>53936</v>
      </c>
      <c r="K248" s="3">
        <v>1382814</v>
      </c>
      <c r="L248" s="3" t="s">
        <v>13</v>
      </c>
    </row>
    <row r="249" spans="1:12" x14ac:dyDescent="0.25">
      <c r="A249" s="3" t="str">
        <f t="shared" si="3"/>
        <v>APP248</v>
      </c>
      <c r="B249" s="3">
        <v>33</v>
      </c>
      <c r="C249" s="3">
        <v>164142</v>
      </c>
      <c r="D249" s="3" t="s">
        <v>12</v>
      </c>
      <c r="E249" s="3">
        <v>30</v>
      </c>
      <c r="F249" s="3">
        <v>487</v>
      </c>
      <c r="G249" s="3">
        <v>3</v>
      </c>
      <c r="H249" s="3">
        <v>1590074</v>
      </c>
      <c r="I249" s="3">
        <v>17</v>
      </c>
      <c r="J249" s="3">
        <v>37411</v>
      </c>
      <c r="K249" s="3">
        <v>2542382</v>
      </c>
      <c r="L249" s="3" t="s">
        <v>13</v>
      </c>
    </row>
    <row r="250" spans="1:12" x14ac:dyDescent="0.25">
      <c r="A250" s="3" t="str">
        <f t="shared" si="3"/>
        <v>APP249</v>
      </c>
      <c r="B250" s="3">
        <v>51</v>
      </c>
      <c r="C250" s="3">
        <v>985593</v>
      </c>
      <c r="D250" s="3" t="s">
        <v>16</v>
      </c>
      <c r="E250" s="3">
        <v>10</v>
      </c>
      <c r="F250" s="3">
        <v>790</v>
      </c>
      <c r="G250" s="3">
        <v>4</v>
      </c>
      <c r="H250" s="3">
        <v>1678028</v>
      </c>
      <c r="I250" s="3">
        <v>7</v>
      </c>
      <c r="J250" s="3">
        <v>15811</v>
      </c>
      <c r="K250" s="3">
        <v>5745055</v>
      </c>
      <c r="L250" s="3" t="s">
        <v>13</v>
      </c>
    </row>
    <row r="251" spans="1:12" x14ac:dyDescent="0.25">
      <c r="A251" s="3" t="str">
        <f t="shared" si="3"/>
        <v>APP250</v>
      </c>
      <c r="B251" s="3">
        <v>27</v>
      </c>
      <c r="C251" s="3">
        <v>560418</v>
      </c>
      <c r="D251" s="3" t="s">
        <v>16</v>
      </c>
      <c r="E251" s="3">
        <v>15</v>
      </c>
      <c r="F251" s="3">
        <v>449</v>
      </c>
      <c r="G251" s="3">
        <v>0</v>
      </c>
      <c r="H251" s="3">
        <v>4495716</v>
      </c>
      <c r="I251" s="3">
        <v>22</v>
      </c>
      <c r="J251" s="3">
        <v>6798</v>
      </c>
      <c r="K251" s="3">
        <v>7498801</v>
      </c>
      <c r="L251" s="3" t="s">
        <v>13</v>
      </c>
    </row>
    <row r="252" spans="1:12" x14ac:dyDescent="0.25">
      <c r="A252" s="3" t="str">
        <f t="shared" si="3"/>
        <v>APP251</v>
      </c>
      <c r="B252" s="3">
        <v>33</v>
      </c>
      <c r="C252" s="3">
        <v>773339</v>
      </c>
      <c r="D252" s="3" t="s">
        <v>16</v>
      </c>
      <c r="E252" s="3">
        <v>8</v>
      </c>
      <c r="F252" s="3">
        <v>506</v>
      </c>
      <c r="G252" s="3">
        <v>0</v>
      </c>
      <c r="H252" s="3">
        <v>982335</v>
      </c>
      <c r="I252" s="3">
        <v>3</v>
      </c>
      <c r="J252" s="3">
        <v>13628</v>
      </c>
      <c r="K252" s="3">
        <v>5134377</v>
      </c>
      <c r="L252" s="3" t="s">
        <v>13</v>
      </c>
    </row>
    <row r="253" spans="1:12" x14ac:dyDescent="0.25">
      <c r="A253" s="3" t="str">
        <f t="shared" si="3"/>
        <v>APP252</v>
      </c>
      <c r="B253" s="3">
        <v>46</v>
      </c>
      <c r="C253" s="3">
        <v>1377335</v>
      </c>
      <c r="D253" s="3" t="s">
        <v>14</v>
      </c>
      <c r="E253" s="3">
        <v>4</v>
      </c>
      <c r="F253" s="3">
        <v>533</v>
      </c>
      <c r="G253" s="3">
        <v>0</v>
      </c>
      <c r="H253" s="3">
        <v>3428341</v>
      </c>
      <c r="I253" s="3">
        <v>19</v>
      </c>
      <c r="J253" s="3">
        <v>70074</v>
      </c>
      <c r="K253" s="3">
        <v>2940962</v>
      </c>
      <c r="L253" s="3" t="s">
        <v>15</v>
      </c>
    </row>
    <row r="254" spans="1:12" x14ac:dyDescent="0.25">
      <c r="A254" s="3" t="str">
        <f t="shared" si="3"/>
        <v>APP253</v>
      </c>
      <c r="B254" s="3">
        <v>51</v>
      </c>
      <c r="C254" s="3">
        <v>2241689</v>
      </c>
      <c r="D254" s="3" t="s">
        <v>14</v>
      </c>
      <c r="E254" s="3">
        <v>32</v>
      </c>
      <c r="F254" s="3">
        <v>473</v>
      </c>
      <c r="G254" s="3">
        <v>0</v>
      </c>
      <c r="H254" s="3">
        <v>908017</v>
      </c>
      <c r="I254" s="3">
        <v>6</v>
      </c>
      <c r="J254" s="3">
        <v>30976</v>
      </c>
      <c r="K254" s="3">
        <v>3367544</v>
      </c>
      <c r="L254" s="3" t="s">
        <v>13</v>
      </c>
    </row>
    <row r="255" spans="1:12" x14ac:dyDescent="0.25">
      <c r="A255" s="3" t="str">
        <f t="shared" si="3"/>
        <v>APP254</v>
      </c>
      <c r="B255" s="3">
        <v>23</v>
      </c>
      <c r="C255" s="3">
        <v>290999</v>
      </c>
      <c r="D255" s="3" t="s">
        <v>16</v>
      </c>
      <c r="E255" s="3">
        <v>22</v>
      </c>
      <c r="F255" s="3">
        <v>628</v>
      </c>
      <c r="G255" s="3">
        <v>5</v>
      </c>
      <c r="H255" s="3">
        <v>4543749</v>
      </c>
      <c r="I255" s="3">
        <v>28</v>
      </c>
      <c r="J255" s="3">
        <v>33478</v>
      </c>
      <c r="K255" s="3">
        <v>1049073</v>
      </c>
      <c r="L255" s="3" t="s">
        <v>13</v>
      </c>
    </row>
    <row r="256" spans="1:12" x14ac:dyDescent="0.25">
      <c r="A256" s="3" t="str">
        <f t="shared" si="3"/>
        <v>APP255</v>
      </c>
      <c r="B256" s="3">
        <v>64</v>
      </c>
      <c r="C256" s="3">
        <v>1859574</v>
      </c>
      <c r="D256" s="3" t="s">
        <v>16</v>
      </c>
      <c r="E256" s="3">
        <v>16</v>
      </c>
      <c r="F256" s="3">
        <v>755</v>
      </c>
      <c r="G256" s="3">
        <v>5</v>
      </c>
      <c r="H256" s="3">
        <v>2263243</v>
      </c>
      <c r="I256" s="3">
        <v>22</v>
      </c>
      <c r="J256" s="3">
        <v>59557</v>
      </c>
      <c r="K256" s="3">
        <v>9052634</v>
      </c>
      <c r="L256" s="3" t="s">
        <v>15</v>
      </c>
    </row>
    <row r="257" spans="1:12" x14ac:dyDescent="0.25">
      <c r="A257" s="3" t="str">
        <f t="shared" si="3"/>
        <v>APP256</v>
      </c>
      <c r="B257" s="3">
        <v>40</v>
      </c>
      <c r="C257" s="3">
        <v>1358279</v>
      </c>
      <c r="D257" s="3" t="s">
        <v>14</v>
      </c>
      <c r="E257" s="3">
        <v>26</v>
      </c>
      <c r="F257" s="3">
        <v>858</v>
      </c>
      <c r="G257" s="3">
        <v>5</v>
      </c>
      <c r="H257" s="3">
        <v>3443081</v>
      </c>
      <c r="I257" s="3">
        <v>10</v>
      </c>
      <c r="J257" s="3">
        <v>5536</v>
      </c>
      <c r="K257" s="3">
        <v>4397768</v>
      </c>
      <c r="L257" s="3" t="s">
        <v>13</v>
      </c>
    </row>
    <row r="258" spans="1:12" x14ac:dyDescent="0.25">
      <c r="A258" s="3" t="str">
        <f t="shared" si="3"/>
        <v>APP257</v>
      </c>
      <c r="B258" s="3">
        <v>43</v>
      </c>
      <c r="C258" s="3">
        <v>228399</v>
      </c>
      <c r="D258" s="3" t="s">
        <v>16</v>
      </c>
      <c r="E258" s="3">
        <v>30</v>
      </c>
      <c r="F258" s="3">
        <v>523</v>
      </c>
      <c r="G258" s="3">
        <v>2</v>
      </c>
      <c r="H258" s="3">
        <v>3968619</v>
      </c>
      <c r="I258" s="3">
        <v>23</v>
      </c>
      <c r="J258" s="3">
        <v>79118</v>
      </c>
      <c r="K258" s="3">
        <v>1579845</v>
      </c>
      <c r="L258" s="3" t="s">
        <v>15</v>
      </c>
    </row>
    <row r="259" spans="1:12" x14ac:dyDescent="0.25">
      <c r="A259" s="3" t="str">
        <f t="shared" ref="A259:A322" si="4">"APP"&amp;TEXT(ROW()-1,"000")</f>
        <v>APP258</v>
      </c>
      <c r="B259" s="3">
        <v>25</v>
      </c>
      <c r="C259" s="3">
        <v>1211372</v>
      </c>
      <c r="D259" s="3" t="s">
        <v>16</v>
      </c>
      <c r="E259" s="3">
        <v>28</v>
      </c>
      <c r="F259" s="3">
        <v>373</v>
      </c>
      <c r="G259" s="3">
        <v>1</v>
      </c>
      <c r="H259" s="3">
        <v>3361388</v>
      </c>
      <c r="I259" s="3">
        <v>28</v>
      </c>
      <c r="J259" s="3">
        <v>59705</v>
      </c>
      <c r="K259" s="3">
        <v>4063994</v>
      </c>
      <c r="L259" s="3" t="s">
        <v>15</v>
      </c>
    </row>
    <row r="260" spans="1:12" x14ac:dyDescent="0.25">
      <c r="A260" s="3" t="str">
        <f t="shared" si="4"/>
        <v>APP259</v>
      </c>
      <c r="B260" s="3">
        <v>36</v>
      </c>
      <c r="C260" s="3">
        <v>340598</v>
      </c>
      <c r="D260" s="3" t="s">
        <v>14</v>
      </c>
      <c r="E260" s="3">
        <v>9</v>
      </c>
      <c r="F260" s="3">
        <v>778</v>
      </c>
      <c r="G260" s="3">
        <v>2</v>
      </c>
      <c r="H260" s="3">
        <v>1454256</v>
      </c>
      <c r="I260" s="3">
        <v>23</v>
      </c>
      <c r="J260" s="3">
        <v>6270</v>
      </c>
      <c r="K260" s="3">
        <v>2348347</v>
      </c>
      <c r="L260" s="3" t="s">
        <v>13</v>
      </c>
    </row>
    <row r="261" spans="1:12" x14ac:dyDescent="0.25">
      <c r="A261" s="3" t="str">
        <f t="shared" si="4"/>
        <v>APP260</v>
      </c>
      <c r="B261" s="3">
        <v>44</v>
      </c>
      <c r="C261" s="3">
        <v>365195</v>
      </c>
      <c r="D261" s="3" t="s">
        <v>16</v>
      </c>
      <c r="E261" s="3">
        <v>25</v>
      </c>
      <c r="F261" s="3">
        <v>717</v>
      </c>
      <c r="G261" s="3">
        <v>0</v>
      </c>
      <c r="H261" s="3">
        <v>1958385</v>
      </c>
      <c r="I261" s="3">
        <v>26</v>
      </c>
      <c r="J261" s="3">
        <v>14895</v>
      </c>
      <c r="K261" s="3">
        <v>1345015</v>
      </c>
      <c r="L261" s="3" t="s">
        <v>13</v>
      </c>
    </row>
    <row r="262" spans="1:12" x14ac:dyDescent="0.25">
      <c r="A262" s="3" t="str">
        <f t="shared" si="4"/>
        <v>APP261</v>
      </c>
      <c r="B262" s="3">
        <v>34</v>
      </c>
      <c r="C262" s="3">
        <v>1171535</v>
      </c>
      <c r="D262" s="3" t="s">
        <v>16</v>
      </c>
      <c r="E262" s="3">
        <v>23</v>
      </c>
      <c r="F262" s="3">
        <v>796</v>
      </c>
      <c r="G262" s="3">
        <v>4</v>
      </c>
      <c r="H262" s="3">
        <v>3631928</v>
      </c>
      <c r="I262" s="3">
        <v>8</v>
      </c>
      <c r="J262" s="3">
        <v>51873</v>
      </c>
      <c r="K262" s="3">
        <v>6411803</v>
      </c>
      <c r="L262" s="3" t="s">
        <v>13</v>
      </c>
    </row>
    <row r="263" spans="1:12" x14ac:dyDescent="0.25">
      <c r="A263" s="3" t="str">
        <f t="shared" si="4"/>
        <v>APP262</v>
      </c>
      <c r="B263" s="3">
        <v>41</v>
      </c>
      <c r="C263" s="3">
        <v>705700</v>
      </c>
      <c r="D263" s="3" t="s">
        <v>12</v>
      </c>
      <c r="E263" s="3">
        <v>9</v>
      </c>
      <c r="F263" s="3">
        <v>391</v>
      </c>
      <c r="G263" s="3">
        <v>1</v>
      </c>
      <c r="H263" s="3">
        <v>3598284</v>
      </c>
      <c r="I263" s="3">
        <v>9</v>
      </c>
      <c r="J263" s="3">
        <v>67524</v>
      </c>
      <c r="K263" s="3">
        <v>2763092</v>
      </c>
      <c r="L263" s="3" t="s">
        <v>13</v>
      </c>
    </row>
    <row r="264" spans="1:12" x14ac:dyDescent="0.25">
      <c r="A264" s="3" t="str">
        <f t="shared" si="4"/>
        <v>APP263</v>
      </c>
      <c r="B264" s="3">
        <v>56</v>
      </c>
      <c r="C264" s="3">
        <v>792406</v>
      </c>
      <c r="D264" s="3" t="s">
        <v>12</v>
      </c>
      <c r="E264" s="3">
        <v>11</v>
      </c>
      <c r="F264" s="3">
        <v>474</v>
      </c>
      <c r="G264" s="3">
        <v>5</v>
      </c>
      <c r="H264" s="3">
        <v>1127473</v>
      </c>
      <c r="I264" s="3">
        <v>24</v>
      </c>
      <c r="J264" s="3">
        <v>7581</v>
      </c>
      <c r="K264" s="3">
        <v>8328433</v>
      </c>
      <c r="L264" s="3" t="s">
        <v>13</v>
      </c>
    </row>
    <row r="265" spans="1:12" x14ac:dyDescent="0.25">
      <c r="A265" s="3" t="str">
        <f t="shared" si="4"/>
        <v>APP264</v>
      </c>
      <c r="B265" s="3">
        <v>38</v>
      </c>
      <c r="C265" s="3">
        <v>1192534</v>
      </c>
      <c r="D265" s="3" t="s">
        <v>16</v>
      </c>
      <c r="E265" s="3">
        <v>21</v>
      </c>
      <c r="F265" s="3">
        <v>470</v>
      </c>
      <c r="G265" s="3">
        <v>2</v>
      </c>
      <c r="H265" s="3">
        <v>1789377</v>
      </c>
      <c r="I265" s="3">
        <v>24</v>
      </c>
      <c r="J265" s="3">
        <v>10689</v>
      </c>
      <c r="K265" s="3">
        <v>2173214</v>
      </c>
      <c r="L265" s="3" t="s">
        <v>13</v>
      </c>
    </row>
    <row r="266" spans="1:12" x14ac:dyDescent="0.25">
      <c r="A266" s="3" t="str">
        <f t="shared" si="4"/>
        <v>APP265</v>
      </c>
      <c r="B266" s="3">
        <v>51</v>
      </c>
      <c r="C266" s="3">
        <v>1668616</v>
      </c>
      <c r="D266" s="3" t="s">
        <v>16</v>
      </c>
      <c r="E266" s="3">
        <v>0</v>
      </c>
      <c r="F266" s="3">
        <v>380</v>
      </c>
      <c r="G266" s="3">
        <v>2</v>
      </c>
      <c r="H266" s="3">
        <v>4538533</v>
      </c>
      <c r="I266" s="3">
        <v>16</v>
      </c>
      <c r="J266" s="3">
        <v>35888</v>
      </c>
      <c r="K266" s="3">
        <v>6951885</v>
      </c>
      <c r="L266" s="3" t="s">
        <v>13</v>
      </c>
    </row>
    <row r="267" spans="1:12" x14ac:dyDescent="0.25">
      <c r="A267" s="3" t="str">
        <f t="shared" si="4"/>
        <v>APP266</v>
      </c>
      <c r="B267" s="3">
        <v>55</v>
      </c>
      <c r="C267" s="3">
        <v>231810</v>
      </c>
      <c r="D267" s="3" t="s">
        <v>12</v>
      </c>
      <c r="E267" s="3">
        <v>5</v>
      </c>
      <c r="F267" s="3">
        <v>696</v>
      </c>
      <c r="G267" s="3">
        <v>0</v>
      </c>
      <c r="H267" s="3">
        <v>4053079</v>
      </c>
      <c r="I267" s="3">
        <v>4</v>
      </c>
      <c r="J267" s="3">
        <v>10097</v>
      </c>
      <c r="K267" s="3">
        <v>8477438</v>
      </c>
      <c r="L267" s="3" t="s">
        <v>15</v>
      </c>
    </row>
    <row r="268" spans="1:12" x14ac:dyDescent="0.25">
      <c r="A268" s="3" t="str">
        <f t="shared" si="4"/>
        <v>APP267</v>
      </c>
      <c r="B268" s="3">
        <v>33</v>
      </c>
      <c r="C268" s="3">
        <v>2332787</v>
      </c>
      <c r="D268" s="3" t="s">
        <v>12</v>
      </c>
      <c r="E268" s="3">
        <v>7</v>
      </c>
      <c r="F268" s="3">
        <v>635</v>
      </c>
      <c r="G268" s="3">
        <v>2</v>
      </c>
      <c r="H268" s="3">
        <v>4502852</v>
      </c>
      <c r="I268" s="3">
        <v>22</v>
      </c>
      <c r="J268" s="3">
        <v>46397</v>
      </c>
      <c r="K268" s="3">
        <v>1737259</v>
      </c>
      <c r="L268" s="3" t="s">
        <v>13</v>
      </c>
    </row>
    <row r="269" spans="1:12" x14ac:dyDescent="0.25">
      <c r="A269" s="3" t="str">
        <f t="shared" si="4"/>
        <v>APP268</v>
      </c>
      <c r="B269" s="3">
        <v>56</v>
      </c>
      <c r="C269" s="3">
        <v>1649247</v>
      </c>
      <c r="D269" s="3" t="s">
        <v>16</v>
      </c>
      <c r="E269" s="3">
        <v>30</v>
      </c>
      <c r="F269" s="3">
        <v>756</v>
      </c>
      <c r="G269" s="3">
        <v>3</v>
      </c>
      <c r="H269" s="3">
        <v>2778435</v>
      </c>
      <c r="I269" s="3">
        <v>30</v>
      </c>
      <c r="J269" s="3">
        <v>35739</v>
      </c>
      <c r="K269" s="3">
        <v>4993795</v>
      </c>
      <c r="L269" s="3" t="s">
        <v>13</v>
      </c>
    </row>
    <row r="270" spans="1:12" x14ac:dyDescent="0.25">
      <c r="A270" s="3" t="str">
        <f t="shared" si="4"/>
        <v>APP269</v>
      </c>
      <c r="B270" s="3">
        <v>27</v>
      </c>
      <c r="C270" s="3">
        <v>220520</v>
      </c>
      <c r="D270" s="3" t="s">
        <v>12</v>
      </c>
      <c r="E270" s="3">
        <v>15</v>
      </c>
      <c r="F270" s="3">
        <v>876</v>
      </c>
      <c r="G270" s="3">
        <v>1</v>
      </c>
      <c r="H270" s="3">
        <v>3312843</v>
      </c>
      <c r="I270" s="3">
        <v>27</v>
      </c>
      <c r="J270" s="3">
        <v>5134</v>
      </c>
      <c r="K270" s="3">
        <v>8931757</v>
      </c>
      <c r="L270" s="3" t="s">
        <v>15</v>
      </c>
    </row>
    <row r="271" spans="1:12" x14ac:dyDescent="0.25">
      <c r="A271" s="3" t="str">
        <f t="shared" si="4"/>
        <v>APP270</v>
      </c>
      <c r="B271" s="3">
        <v>61</v>
      </c>
      <c r="C271" s="3">
        <v>748308</v>
      </c>
      <c r="D271" s="3" t="s">
        <v>12</v>
      </c>
      <c r="E271" s="3">
        <v>2</v>
      </c>
      <c r="F271" s="3">
        <v>826</v>
      </c>
      <c r="G271" s="3">
        <v>4</v>
      </c>
      <c r="H271" s="3">
        <v>3691047</v>
      </c>
      <c r="I271" s="3">
        <v>3</v>
      </c>
      <c r="J271" s="3">
        <v>14384</v>
      </c>
      <c r="K271" s="3">
        <v>6445482</v>
      </c>
      <c r="L271" s="3" t="s">
        <v>15</v>
      </c>
    </row>
    <row r="272" spans="1:12" x14ac:dyDescent="0.25">
      <c r="A272" s="3" t="str">
        <f t="shared" si="4"/>
        <v>APP271</v>
      </c>
      <c r="B272" s="3">
        <v>33</v>
      </c>
      <c r="C272" s="3">
        <v>674086</v>
      </c>
      <c r="D272" s="3" t="s">
        <v>16</v>
      </c>
      <c r="E272" s="3">
        <v>17</v>
      </c>
      <c r="F272" s="3">
        <v>778</v>
      </c>
      <c r="G272" s="3">
        <v>0</v>
      </c>
      <c r="H272" s="3">
        <v>4470909</v>
      </c>
      <c r="I272" s="3">
        <v>15</v>
      </c>
      <c r="J272" s="3">
        <v>32827</v>
      </c>
      <c r="K272" s="3">
        <v>6959474</v>
      </c>
      <c r="L272" s="3" t="s">
        <v>15</v>
      </c>
    </row>
    <row r="273" spans="1:12" x14ac:dyDescent="0.25">
      <c r="A273" s="3" t="str">
        <f t="shared" si="4"/>
        <v>APP272</v>
      </c>
      <c r="B273" s="3">
        <v>52</v>
      </c>
      <c r="C273" s="3">
        <v>2455104</v>
      </c>
      <c r="D273" s="3" t="s">
        <v>12</v>
      </c>
      <c r="E273" s="3">
        <v>18</v>
      </c>
      <c r="F273" s="3">
        <v>381</v>
      </c>
      <c r="G273" s="3">
        <v>1</v>
      </c>
      <c r="H273" s="3">
        <v>3865530</v>
      </c>
      <c r="I273" s="3">
        <v>9</v>
      </c>
      <c r="J273" s="3">
        <v>56523</v>
      </c>
      <c r="K273" s="3">
        <v>2467912</v>
      </c>
      <c r="L273" s="3" t="s">
        <v>13</v>
      </c>
    </row>
    <row r="274" spans="1:12" x14ac:dyDescent="0.25">
      <c r="A274" s="3" t="str">
        <f t="shared" si="4"/>
        <v>APP273</v>
      </c>
      <c r="B274" s="3">
        <v>21</v>
      </c>
      <c r="C274" s="3">
        <v>1954626</v>
      </c>
      <c r="D274" s="3" t="s">
        <v>14</v>
      </c>
      <c r="E274" s="3">
        <v>32</v>
      </c>
      <c r="F274" s="3">
        <v>831</v>
      </c>
      <c r="G274" s="3">
        <v>3</v>
      </c>
      <c r="H274" s="3">
        <v>3374328</v>
      </c>
      <c r="I274" s="3">
        <v>10</v>
      </c>
      <c r="J274" s="3">
        <v>22552</v>
      </c>
      <c r="K274" s="3">
        <v>6436225</v>
      </c>
      <c r="L274" s="3" t="s">
        <v>13</v>
      </c>
    </row>
    <row r="275" spans="1:12" x14ac:dyDescent="0.25">
      <c r="A275" s="3" t="str">
        <f t="shared" si="4"/>
        <v>APP274</v>
      </c>
      <c r="B275" s="3">
        <v>29</v>
      </c>
      <c r="C275" s="3">
        <v>797015</v>
      </c>
      <c r="D275" s="3" t="s">
        <v>14</v>
      </c>
      <c r="E275" s="3">
        <v>32</v>
      </c>
      <c r="F275" s="3">
        <v>493</v>
      </c>
      <c r="G275" s="3">
        <v>3</v>
      </c>
      <c r="H275" s="3">
        <v>4926153</v>
      </c>
      <c r="I275" s="3">
        <v>3</v>
      </c>
      <c r="J275" s="3">
        <v>14962</v>
      </c>
      <c r="K275" s="3">
        <v>8053868</v>
      </c>
      <c r="L275" s="3" t="s">
        <v>13</v>
      </c>
    </row>
    <row r="276" spans="1:12" x14ac:dyDescent="0.25">
      <c r="A276" s="3" t="str">
        <f t="shared" si="4"/>
        <v>APP275</v>
      </c>
      <c r="B276" s="3">
        <v>50</v>
      </c>
      <c r="C276" s="3">
        <v>2017524</v>
      </c>
      <c r="D276" s="3" t="s">
        <v>14</v>
      </c>
      <c r="E276" s="3">
        <v>28</v>
      </c>
      <c r="F276" s="3">
        <v>335</v>
      </c>
      <c r="G276" s="3">
        <v>4</v>
      </c>
      <c r="H276" s="3">
        <v>1901776</v>
      </c>
      <c r="I276" s="3">
        <v>27</v>
      </c>
      <c r="J276" s="3">
        <v>60734</v>
      </c>
      <c r="K276" s="3">
        <v>178834</v>
      </c>
      <c r="L276" s="3" t="s">
        <v>13</v>
      </c>
    </row>
    <row r="277" spans="1:12" x14ac:dyDescent="0.25">
      <c r="A277" s="3" t="str">
        <f t="shared" si="4"/>
        <v>APP276</v>
      </c>
      <c r="B277" s="3">
        <v>52</v>
      </c>
      <c r="C277" s="3">
        <v>1145621</v>
      </c>
      <c r="D277" s="3" t="s">
        <v>12</v>
      </c>
      <c r="E277" s="3">
        <v>22</v>
      </c>
      <c r="F277" s="3">
        <v>856</v>
      </c>
      <c r="G277" s="3">
        <v>2</v>
      </c>
      <c r="H277" s="3">
        <v>1557593</v>
      </c>
      <c r="I277" s="3">
        <v>9</v>
      </c>
      <c r="J277" s="3">
        <v>47144</v>
      </c>
      <c r="K277" s="3">
        <v>4963096</v>
      </c>
      <c r="L277" s="3" t="s">
        <v>13</v>
      </c>
    </row>
    <row r="278" spans="1:12" x14ac:dyDescent="0.25">
      <c r="A278" s="3" t="str">
        <f t="shared" si="4"/>
        <v>APP277</v>
      </c>
      <c r="B278" s="3">
        <v>55</v>
      </c>
      <c r="C278" s="3">
        <v>823421</v>
      </c>
      <c r="D278" s="3" t="s">
        <v>14</v>
      </c>
      <c r="E278" s="3">
        <v>30</v>
      </c>
      <c r="F278" s="3">
        <v>402</v>
      </c>
      <c r="G278" s="3">
        <v>4</v>
      </c>
      <c r="H278" s="3">
        <v>950585</v>
      </c>
      <c r="I278" s="3">
        <v>7</v>
      </c>
      <c r="J278" s="3">
        <v>1645</v>
      </c>
      <c r="K278" s="3">
        <v>1416739</v>
      </c>
      <c r="L278" s="3" t="s">
        <v>13</v>
      </c>
    </row>
    <row r="279" spans="1:12" x14ac:dyDescent="0.25">
      <c r="A279" s="3" t="str">
        <f t="shared" si="4"/>
        <v>APP278</v>
      </c>
      <c r="B279" s="3">
        <v>40</v>
      </c>
      <c r="C279" s="3">
        <v>2240576</v>
      </c>
      <c r="D279" s="3" t="s">
        <v>12</v>
      </c>
      <c r="E279" s="3">
        <v>27</v>
      </c>
      <c r="F279" s="3">
        <v>576</v>
      </c>
      <c r="G279" s="3">
        <v>4</v>
      </c>
      <c r="H279" s="3">
        <v>1774165</v>
      </c>
      <c r="I279" s="3">
        <v>6</v>
      </c>
      <c r="J279" s="3">
        <v>50682</v>
      </c>
      <c r="K279" s="3">
        <v>2576524</v>
      </c>
      <c r="L279" s="3" t="s">
        <v>13</v>
      </c>
    </row>
    <row r="280" spans="1:12" x14ac:dyDescent="0.25">
      <c r="A280" s="3" t="str">
        <f t="shared" si="4"/>
        <v>APP279</v>
      </c>
      <c r="B280" s="3">
        <v>52</v>
      </c>
      <c r="C280" s="3">
        <v>2413508</v>
      </c>
      <c r="D280" s="3" t="s">
        <v>16</v>
      </c>
      <c r="E280" s="3">
        <v>33</v>
      </c>
      <c r="F280" s="3">
        <v>739</v>
      </c>
      <c r="G280" s="3">
        <v>2</v>
      </c>
      <c r="H280" s="3">
        <v>4929928</v>
      </c>
      <c r="I280" s="3">
        <v>6</v>
      </c>
      <c r="J280" s="3">
        <v>61899</v>
      </c>
      <c r="K280" s="3">
        <v>4601493</v>
      </c>
      <c r="L280" s="3" t="s">
        <v>13</v>
      </c>
    </row>
    <row r="281" spans="1:12" x14ac:dyDescent="0.25">
      <c r="A281" s="3" t="str">
        <f t="shared" si="4"/>
        <v>APP280</v>
      </c>
      <c r="B281" s="3">
        <v>25</v>
      </c>
      <c r="C281" s="3">
        <v>2465799</v>
      </c>
      <c r="D281" s="3" t="s">
        <v>12</v>
      </c>
      <c r="E281" s="3">
        <v>12</v>
      </c>
      <c r="F281" s="3">
        <v>679</v>
      </c>
      <c r="G281" s="3">
        <v>1</v>
      </c>
      <c r="H281" s="3">
        <v>160062</v>
      </c>
      <c r="I281" s="3">
        <v>29</v>
      </c>
      <c r="J281" s="3">
        <v>9017</v>
      </c>
      <c r="K281" s="3">
        <v>7468664</v>
      </c>
      <c r="L281" s="3" t="s">
        <v>13</v>
      </c>
    </row>
    <row r="282" spans="1:12" x14ac:dyDescent="0.25">
      <c r="A282" s="3" t="str">
        <f t="shared" si="4"/>
        <v>APP281</v>
      </c>
      <c r="B282" s="3">
        <v>53</v>
      </c>
      <c r="C282" s="3">
        <v>1238007</v>
      </c>
      <c r="D282" s="3" t="s">
        <v>14</v>
      </c>
      <c r="E282" s="3">
        <v>2</v>
      </c>
      <c r="F282" s="3">
        <v>629</v>
      </c>
      <c r="G282" s="3">
        <v>4</v>
      </c>
      <c r="H282" s="3">
        <v>1354173</v>
      </c>
      <c r="I282" s="3">
        <v>2</v>
      </c>
      <c r="J282" s="3">
        <v>40374</v>
      </c>
      <c r="K282" s="3">
        <v>7309179</v>
      </c>
      <c r="L282" s="3" t="s">
        <v>13</v>
      </c>
    </row>
    <row r="283" spans="1:12" x14ac:dyDescent="0.25">
      <c r="A283" s="3" t="str">
        <f t="shared" si="4"/>
        <v>APP282</v>
      </c>
      <c r="B283" s="3">
        <v>29</v>
      </c>
      <c r="C283" s="3">
        <v>602993</v>
      </c>
      <c r="D283" s="3" t="s">
        <v>16</v>
      </c>
      <c r="E283" s="3">
        <v>3</v>
      </c>
      <c r="F283" s="3">
        <v>528</v>
      </c>
      <c r="G283" s="3">
        <v>5</v>
      </c>
      <c r="H283" s="3">
        <v>3290219</v>
      </c>
      <c r="I283" s="3">
        <v>4</v>
      </c>
      <c r="J283" s="3">
        <v>1816</v>
      </c>
      <c r="K283" s="3">
        <v>6234524</v>
      </c>
      <c r="L283" s="3" t="s">
        <v>13</v>
      </c>
    </row>
    <row r="284" spans="1:12" x14ac:dyDescent="0.25">
      <c r="A284" s="3" t="str">
        <f t="shared" si="4"/>
        <v>APP283</v>
      </c>
      <c r="B284" s="3">
        <v>65</v>
      </c>
      <c r="C284" s="3">
        <v>918883</v>
      </c>
      <c r="D284" s="3" t="s">
        <v>16</v>
      </c>
      <c r="E284" s="3">
        <v>2</v>
      </c>
      <c r="F284" s="3">
        <v>815</v>
      </c>
      <c r="G284" s="3">
        <v>3</v>
      </c>
      <c r="H284" s="3">
        <v>2215567</v>
      </c>
      <c r="I284" s="3">
        <v>26</v>
      </c>
      <c r="J284" s="3">
        <v>1325</v>
      </c>
      <c r="K284" s="3">
        <v>7741685</v>
      </c>
      <c r="L284" s="3" t="s">
        <v>13</v>
      </c>
    </row>
    <row r="285" spans="1:12" x14ac:dyDescent="0.25">
      <c r="A285" s="3" t="str">
        <f t="shared" si="4"/>
        <v>APP284</v>
      </c>
      <c r="B285" s="3">
        <v>25</v>
      </c>
      <c r="C285" s="3">
        <v>1149435</v>
      </c>
      <c r="D285" s="3" t="s">
        <v>12</v>
      </c>
      <c r="E285" s="3">
        <v>23</v>
      </c>
      <c r="F285" s="3">
        <v>635</v>
      </c>
      <c r="G285" s="3">
        <v>5</v>
      </c>
      <c r="H285" s="3">
        <v>1660058</v>
      </c>
      <c r="I285" s="3">
        <v>23</v>
      </c>
      <c r="J285" s="3">
        <v>61985</v>
      </c>
      <c r="K285" s="3">
        <v>4595904</v>
      </c>
      <c r="L285" s="3" t="s">
        <v>13</v>
      </c>
    </row>
    <row r="286" spans="1:12" x14ac:dyDescent="0.25">
      <c r="A286" s="3" t="str">
        <f t="shared" si="4"/>
        <v>APP285</v>
      </c>
      <c r="B286" s="3">
        <v>34</v>
      </c>
      <c r="C286" s="3">
        <v>1297555</v>
      </c>
      <c r="D286" s="3" t="s">
        <v>16</v>
      </c>
      <c r="E286" s="3">
        <v>10</v>
      </c>
      <c r="F286" s="3">
        <v>455</v>
      </c>
      <c r="G286" s="3">
        <v>2</v>
      </c>
      <c r="H286" s="3">
        <v>2010200</v>
      </c>
      <c r="I286" s="3">
        <v>27</v>
      </c>
      <c r="J286" s="3">
        <v>55052</v>
      </c>
      <c r="K286" s="3">
        <v>6910349</v>
      </c>
      <c r="L286" s="3" t="s">
        <v>13</v>
      </c>
    </row>
    <row r="287" spans="1:12" x14ac:dyDescent="0.25">
      <c r="A287" s="3" t="str">
        <f t="shared" si="4"/>
        <v>APP286</v>
      </c>
      <c r="B287" s="3">
        <v>43</v>
      </c>
      <c r="C287" s="3">
        <v>2498884</v>
      </c>
      <c r="D287" s="3" t="s">
        <v>14</v>
      </c>
      <c r="E287" s="3">
        <v>7</v>
      </c>
      <c r="F287" s="3">
        <v>769</v>
      </c>
      <c r="G287" s="3">
        <v>0</v>
      </c>
      <c r="H287" s="3">
        <v>3678146</v>
      </c>
      <c r="I287" s="3">
        <v>17</v>
      </c>
      <c r="J287" s="3">
        <v>45797</v>
      </c>
      <c r="K287" s="3">
        <v>7245468</v>
      </c>
      <c r="L287" s="3" t="s">
        <v>13</v>
      </c>
    </row>
    <row r="288" spans="1:12" x14ac:dyDescent="0.25">
      <c r="A288" s="3" t="str">
        <f t="shared" si="4"/>
        <v>APP287</v>
      </c>
      <c r="B288" s="3">
        <v>42</v>
      </c>
      <c r="C288" s="3">
        <v>1452379</v>
      </c>
      <c r="D288" s="3" t="s">
        <v>14</v>
      </c>
      <c r="E288" s="3">
        <v>16</v>
      </c>
      <c r="F288" s="3">
        <v>858</v>
      </c>
      <c r="G288" s="3">
        <v>3</v>
      </c>
      <c r="H288" s="3">
        <v>4982008</v>
      </c>
      <c r="I288" s="3">
        <v>6</v>
      </c>
      <c r="J288" s="3">
        <v>54419</v>
      </c>
      <c r="K288" s="3">
        <v>6655556</v>
      </c>
      <c r="L288" s="3" t="s">
        <v>13</v>
      </c>
    </row>
    <row r="289" spans="1:12" x14ac:dyDescent="0.25">
      <c r="A289" s="3" t="str">
        <f t="shared" si="4"/>
        <v>APP288</v>
      </c>
      <c r="B289" s="3">
        <v>56</v>
      </c>
      <c r="C289" s="3">
        <v>2345405</v>
      </c>
      <c r="D289" s="3" t="s">
        <v>16</v>
      </c>
      <c r="E289" s="3">
        <v>5</v>
      </c>
      <c r="F289" s="3">
        <v>579</v>
      </c>
      <c r="G289" s="3">
        <v>1</v>
      </c>
      <c r="H289" s="3">
        <v>401974</v>
      </c>
      <c r="I289" s="3">
        <v>11</v>
      </c>
      <c r="J289" s="3">
        <v>28512</v>
      </c>
      <c r="K289" s="3">
        <v>3357114</v>
      </c>
      <c r="L289" s="3" t="s">
        <v>15</v>
      </c>
    </row>
    <row r="290" spans="1:12" x14ac:dyDescent="0.25">
      <c r="A290" s="3" t="str">
        <f t="shared" si="4"/>
        <v>APP289</v>
      </c>
      <c r="B290" s="3">
        <v>61</v>
      </c>
      <c r="C290" s="3">
        <v>598815</v>
      </c>
      <c r="D290" s="3" t="s">
        <v>14</v>
      </c>
      <c r="E290" s="3">
        <v>0</v>
      </c>
      <c r="F290" s="3">
        <v>517</v>
      </c>
      <c r="G290" s="3">
        <v>0</v>
      </c>
      <c r="H290" s="3">
        <v>4461341</v>
      </c>
      <c r="I290" s="3">
        <v>2</v>
      </c>
      <c r="J290" s="3">
        <v>14633</v>
      </c>
      <c r="K290" s="3">
        <v>2847469</v>
      </c>
      <c r="L290" s="3" t="s">
        <v>13</v>
      </c>
    </row>
    <row r="291" spans="1:12" x14ac:dyDescent="0.25">
      <c r="A291" s="3" t="str">
        <f t="shared" si="4"/>
        <v>APP290</v>
      </c>
      <c r="B291" s="3">
        <v>56</v>
      </c>
      <c r="C291" s="3">
        <v>278347</v>
      </c>
      <c r="D291" s="3" t="s">
        <v>16</v>
      </c>
      <c r="E291" s="3">
        <v>33</v>
      </c>
      <c r="F291" s="3">
        <v>328</v>
      </c>
      <c r="G291" s="3">
        <v>5</v>
      </c>
      <c r="H291" s="3">
        <v>2370980</v>
      </c>
      <c r="I291" s="3">
        <v>23</v>
      </c>
      <c r="J291" s="3">
        <v>8404</v>
      </c>
      <c r="K291" s="3">
        <v>783094</v>
      </c>
      <c r="L291" s="3" t="s">
        <v>13</v>
      </c>
    </row>
    <row r="292" spans="1:12" x14ac:dyDescent="0.25">
      <c r="A292" s="3" t="str">
        <f t="shared" si="4"/>
        <v>APP291</v>
      </c>
      <c r="B292" s="3">
        <v>25</v>
      </c>
      <c r="C292" s="3">
        <v>1088350</v>
      </c>
      <c r="D292" s="3" t="s">
        <v>12</v>
      </c>
      <c r="E292" s="3">
        <v>0</v>
      </c>
      <c r="F292" s="3">
        <v>552</v>
      </c>
      <c r="G292" s="3">
        <v>0</v>
      </c>
      <c r="H292" s="3">
        <v>1429320</v>
      </c>
      <c r="I292" s="3">
        <v>13</v>
      </c>
      <c r="J292" s="3">
        <v>43696</v>
      </c>
      <c r="K292" s="3">
        <v>8939350</v>
      </c>
      <c r="L292" s="3" t="s">
        <v>13</v>
      </c>
    </row>
    <row r="293" spans="1:12" x14ac:dyDescent="0.25">
      <c r="A293" s="3" t="str">
        <f t="shared" si="4"/>
        <v>APP292</v>
      </c>
      <c r="B293" s="3">
        <v>60</v>
      </c>
      <c r="C293" s="3">
        <v>2032452</v>
      </c>
      <c r="D293" s="3" t="s">
        <v>16</v>
      </c>
      <c r="E293" s="3">
        <v>1</v>
      </c>
      <c r="F293" s="3">
        <v>395</v>
      </c>
      <c r="G293" s="3">
        <v>0</v>
      </c>
      <c r="H293" s="3">
        <v>166745</v>
      </c>
      <c r="I293" s="3">
        <v>18</v>
      </c>
      <c r="J293" s="3">
        <v>28791</v>
      </c>
      <c r="K293" s="3">
        <v>4301618</v>
      </c>
      <c r="L293" s="3" t="s">
        <v>15</v>
      </c>
    </row>
    <row r="294" spans="1:12" x14ac:dyDescent="0.25">
      <c r="A294" s="3" t="str">
        <f t="shared" si="4"/>
        <v>APP293</v>
      </c>
      <c r="B294" s="3">
        <v>65</v>
      </c>
      <c r="C294" s="3">
        <v>1502109</v>
      </c>
      <c r="D294" s="3" t="s">
        <v>12</v>
      </c>
      <c r="E294" s="3">
        <v>28</v>
      </c>
      <c r="F294" s="3">
        <v>817</v>
      </c>
      <c r="G294" s="3">
        <v>5</v>
      </c>
      <c r="H294" s="3">
        <v>461964</v>
      </c>
      <c r="I294" s="3">
        <v>15</v>
      </c>
      <c r="J294" s="3">
        <v>50474</v>
      </c>
      <c r="K294" s="3">
        <v>2167821</v>
      </c>
      <c r="L294" s="3" t="s">
        <v>13</v>
      </c>
    </row>
    <row r="295" spans="1:12" x14ac:dyDescent="0.25">
      <c r="A295" s="3" t="str">
        <f t="shared" si="4"/>
        <v>APP294</v>
      </c>
      <c r="B295" s="3">
        <v>51</v>
      </c>
      <c r="C295" s="3">
        <v>2116669</v>
      </c>
      <c r="D295" s="3" t="s">
        <v>12</v>
      </c>
      <c r="E295" s="3">
        <v>12</v>
      </c>
      <c r="F295" s="3">
        <v>500</v>
      </c>
      <c r="G295" s="3">
        <v>0</v>
      </c>
      <c r="H295" s="3">
        <v>3811827</v>
      </c>
      <c r="I295" s="3">
        <v>26</v>
      </c>
      <c r="J295" s="3">
        <v>40577</v>
      </c>
      <c r="K295" s="3">
        <v>3371721</v>
      </c>
      <c r="L295" s="3" t="s">
        <v>13</v>
      </c>
    </row>
    <row r="296" spans="1:12" x14ac:dyDescent="0.25">
      <c r="A296" s="3" t="str">
        <f t="shared" si="4"/>
        <v>APP295</v>
      </c>
      <c r="B296" s="3">
        <v>40</v>
      </c>
      <c r="C296" s="3">
        <v>1457491</v>
      </c>
      <c r="D296" s="3" t="s">
        <v>14</v>
      </c>
      <c r="E296" s="3">
        <v>10</v>
      </c>
      <c r="F296" s="3">
        <v>887</v>
      </c>
      <c r="G296" s="3">
        <v>5</v>
      </c>
      <c r="H296" s="3">
        <v>3146581</v>
      </c>
      <c r="I296" s="3">
        <v>16</v>
      </c>
      <c r="J296" s="3">
        <v>7636</v>
      </c>
      <c r="K296" s="3">
        <v>6507182</v>
      </c>
      <c r="L296" s="3" t="s">
        <v>13</v>
      </c>
    </row>
    <row r="297" spans="1:12" x14ac:dyDescent="0.25">
      <c r="A297" s="3" t="str">
        <f t="shared" si="4"/>
        <v>APP296</v>
      </c>
      <c r="B297" s="3">
        <v>60</v>
      </c>
      <c r="C297" s="3">
        <v>382577</v>
      </c>
      <c r="D297" s="3" t="s">
        <v>14</v>
      </c>
      <c r="E297" s="3">
        <v>7</v>
      </c>
      <c r="F297" s="3">
        <v>875</v>
      </c>
      <c r="G297" s="3">
        <v>3</v>
      </c>
      <c r="H297" s="3">
        <v>243486</v>
      </c>
      <c r="I297" s="3">
        <v>18</v>
      </c>
      <c r="J297" s="3">
        <v>43545</v>
      </c>
      <c r="K297" s="3">
        <v>6166927</v>
      </c>
      <c r="L297" s="3" t="s">
        <v>13</v>
      </c>
    </row>
    <row r="298" spans="1:12" x14ac:dyDescent="0.25">
      <c r="A298" s="3" t="str">
        <f t="shared" si="4"/>
        <v>APP297</v>
      </c>
      <c r="B298" s="3">
        <v>24</v>
      </c>
      <c r="C298" s="3">
        <v>1687994</v>
      </c>
      <c r="D298" s="3" t="s">
        <v>16</v>
      </c>
      <c r="E298" s="3">
        <v>24</v>
      </c>
      <c r="F298" s="3">
        <v>362</v>
      </c>
      <c r="G298" s="3">
        <v>2</v>
      </c>
      <c r="H298" s="3">
        <v>3165395</v>
      </c>
      <c r="I298" s="3">
        <v>2</v>
      </c>
      <c r="J298" s="3">
        <v>63888</v>
      </c>
      <c r="K298" s="3">
        <v>1023587</v>
      </c>
      <c r="L298" s="3" t="s">
        <v>13</v>
      </c>
    </row>
    <row r="299" spans="1:12" x14ac:dyDescent="0.25">
      <c r="A299" s="3" t="str">
        <f t="shared" si="4"/>
        <v>APP298</v>
      </c>
      <c r="B299" s="3">
        <v>61</v>
      </c>
      <c r="C299" s="3">
        <v>1072019</v>
      </c>
      <c r="D299" s="3" t="s">
        <v>12</v>
      </c>
      <c r="E299" s="3">
        <v>4</v>
      </c>
      <c r="F299" s="3">
        <v>567</v>
      </c>
      <c r="G299" s="3">
        <v>5</v>
      </c>
      <c r="H299" s="3">
        <v>2451392</v>
      </c>
      <c r="I299" s="3">
        <v>3</v>
      </c>
      <c r="J299" s="3">
        <v>20914</v>
      </c>
      <c r="K299" s="3">
        <v>9406585</v>
      </c>
      <c r="L299" s="3" t="s">
        <v>13</v>
      </c>
    </row>
    <row r="300" spans="1:12" x14ac:dyDescent="0.25">
      <c r="A300" s="3" t="str">
        <f t="shared" si="4"/>
        <v>APP299</v>
      </c>
      <c r="B300" s="3">
        <v>57</v>
      </c>
      <c r="C300" s="3">
        <v>186254</v>
      </c>
      <c r="D300" s="3" t="s">
        <v>12</v>
      </c>
      <c r="E300" s="3">
        <v>0</v>
      </c>
      <c r="F300" s="3">
        <v>619</v>
      </c>
      <c r="G300" s="3">
        <v>3</v>
      </c>
      <c r="H300" s="3">
        <v>4144798</v>
      </c>
      <c r="I300" s="3">
        <v>28</v>
      </c>
      <c r="J300" s="3">
        <v>24940</v>
      </c>
      <c r="K300" s="3">
        <v>2059317</v>
      </c>
      <c r="L300" s="3" t="s">
        <v>13</v>
      </c>
    </row>
    <row r="301" spans="1:12" x14ac:dyDescent="0.25">
      <c r="A301" s="3" t="str">
        <f t="shared" si="4"/>
        <v>APP300</v>
      </c>
      <c r="B301" s="3">
        <v>23</v>
      </c>
      <c r="C301" s="3">
        <v>1559131</v>
      </c>
      <c r="D301" s="3" t="s">
        <v>16</v>
      </c>
      <c r="E301" s="3">
        <v>31</v>
      </c>
      <c r="F301" s="3">
        <v>680</v>
      </c>
      <c r="G301" s="3">
        <v>1</v>
      </c>
      <c r="H301" s="3">
        <v>1191140</v>
      </c>
      <c r="I301" s="3">
        <v>6</v>
      </c>
      <c r="J301" s="3">
        <v>332</v>
      </c>
      <c r="K301" s="3">
        <v>500472</v>
      </c>
      <c r="L301" s="3" t="s">
        <v>13</v>
      </c>
    </row>
    <row r="302" spans="1:12" x14ac:dyDescent="0.25">
      <c r="A302" s="3" t="str">
        <f t="shared" si="4"/>
        <v>APP301</v>
      </c>
      <c r="B302" s="3">
        <v>40</v>
      </c>
      <c r="C302" s="3">
        <v>594045</v>
      </c>
      <c r="D302" s="3" t="s">
        <v>12</v>
      </c>
      <c r="E302" s="3">
        <v>29</v>
      </c>
      <c r="F302" s="3">
        <v>329</v>
      </c>
      <c r="G302" s="3">
        <v>3</v>
      </c>
      <c r="H302" s="3">
        <v>56964</v>
      </c>
      <c r="I302" s="3">
        <v>17</v>
      </c>
      <c r="J302" s="3">
        <v>35261</v>
      </c>
      <c r="K302" s="3">
        <v>2731645</v>
      </c>
      <c r="L302" s="3" t="s">
        <v>15</v>
      </c>
    </row>
    <row r="303" spans="1:12" x14ac:dyDescent="0.25">
      <c r="A303" s="3" t="str">
        <f t="shared" si="4"/>
        <v>APP302</v>
      </c>
      <c r="B303" s="3">
        <v>35</v>
      </c>
      <c r="C303" s="3">
        <v>1025748</v>
      </c>
      <c r="D303" s="3" t="s">
        <v>14</v>
      </c>
      <c r="E303" s="3">
        <v>18</v>
      </c>
      <c r="F303" s="3">
        <v>638</v>
      </c>
      <c r="G303" s="3">
        <v>0</v>
      </c>
      <c r="H303" s="3">
        <v>2176969</v>
      </c>
      <c r="I303" s="3">
        <v>20</v>
      </c>
      <c r="J303" s="3">
        <v>17170</v>
      </c>
      <c r="K303" s="3">
        <v>44037</v>
      </c>
      <c r="L303" s="3" t="s">
        <v>15</v>
      </c>
    </row>
    <row r="304" spans="1:12" x14ac:dyDescent="0.25">
      <c r="A304" s="3" t="str">
        <f t="shared" si="4"/>
        <v>APP303</v>
      </c>
      <c r="B304" s="3">
        <v>31</v>
      </c>
      <c r="C304" s="3">
        <v>1146083</v>
      </c>
      <c r="D304" s="3" t="s">
        <v>16</v>
      </c>
      <c r="E304" s="3">
        <v>0</v>
      </c>
      <c r="F304" s="3">
        <v>558</v>
      </c>
      <c r="G304" s="3">
        <v>3</v>
      </c>
      <c r="H304" s="3">
        <v>4009859</v>
      </c>
      <c r="I304" s="3">
        <v>10</v>
      </c>
      <c r="J304" s="3">
        <v>73585</v>
      </c>
      <c r="K304" s="3">
        <v>6354338</v>
      </c>
      <c r="L304" s="3" t="s">
        <v>13</v>
      </c>
    </row>
    <row r="305" spans="1:12" x14ac:dyDescent="0.25">
      <c r="A305" s="3" t="str">
        <f t="shared" si="4"/>
        <v>APP304</v>
      </c>
      <c r="B305" s="3">
        <v>31</v>
      </c>
      <c r="C305" s="3">
        <v>2357135</v>
      </c>
      <c r="D305" s="3" t="s">
        <v>12</v>
      </c>
      <c r="E305" s="3">
        <v>3</v>
      </c>
      <c r="F305" s="3">
        <v>517</v>
      </c>
      <c r="G305" s="3">
        <v>2</v>
      </c>
      <c r="H305" s="3">
        <v>236837</v>
      </c>
      <c r="I305" s="3">
        <v>1</v>
      </c>
      <c r="J305" s="3">
        <v>36053</v>
      </c>
      <c r="K305" s="3">
        <v>7907172</v>
      </c>
      <c r="L305" s="3" t="s">
        <v>13</v>
      </c>
    </row>
    <row r="306" spans="1:12" x14ac:dyDescent="0.25">
      <c r="A306" s="3" t="str">
        <f t="shared" si="4"/>
        <v>APP305</v>
      </c>
      <c r="B306" s="3">
        <v>58</v>
      </c>
      <c r="C306" s="3">
        <v>1133633</v>
      </c>
      <c r="D306" s="3" t="s">
        <v>16</v>
      </c>
      <c r="E306" s="3">
        <v>27</v>
      </c>
      <c r="F306" s="3">
        <v>553</v>
      </c>
      <c r="G306" s="3">
        <v>0</v>
      </c>
      <c r="H306" s="3">
        <v>4890397</v>
      </c>
      <c r="I306" s="3">
        <v>1</v>
      </c>
      <c r="J306" s="3">
        <v>16616</v>
      </c>
      <c r="K306" s="3">
        <v>8508511</v>
      </c>
      <c r="L306" s="3" t="s">
        <v>13</v>
      </c>
    </row>
    <row r="307" spans="1:12" x14ac:dyDescent="0.25">
      <c r="A307" s="3" t="str">
        <f t="shared" si="4"/>
        <v>APP306</v>
      </c>
      <c r="B307" s="3">
        <v>43</v>
      </c>
      <c r="C307" s="3">
        <v>1794811</v>
      </c>
      <c r="D307" s="3" t="s">
        <v>12</v>
      </c>
      <c r="E307" s="3">
        <v>13</v>
      </c>
      <c r="F307" s="3">
        <v>659</v>
      </c>
      <c r="G307" s="3">
        <v>4</v>
      </c>
      <c r="H307" s="3">
        <v>2048713</v>
      </c>
      <c r="I307" s="3">
        <v>24</v>
      </c>
      <c r="J307" s="3">
        <v>28944</v>
      </c>
      <c r="K307" s="3">
        <v>3243213</v>
      </c>
      <c r="L307" s="3" t="s">
        <v>13</v>
      </c>
    </row>
    <row r="308" spans="1:12" x14ac:dyDescent="0.25">
      <c r="A308" s="3" t="str">
        <f t="shared" si="4"/>
        <v>APP307</v>
      </c>
      <c r="B308" s="3">
        <v>43</v>
      </c>
      <c r="C308" s="3">
        <v>1206488</v>
      </c>
      <c r="D308" s="3" t="s">
        <v>12</v>
      </c>
      <c r="E308" s="3">
        <v>19</v>
      </c>
      <c r="F308" s="3">
        <v>404</v>
      </c>
      <c r="G308" s="3">
        <v>2</v>
      </c>
      <c r="H308" s="3">
        <v>1446835</v>
      </c>
      <c r="I308" s="3">
        <v>9</v>
      </c>
      <c r="J308" s="3">
        <v>75480</v>
      </c>
      <c r="K308" s="3">
        <v>9303572</v>
      </c>
      <c r="L308" s="3" t="s">
        <v>13</v>
      </c>
    </row>
    <row r="309" spans="1:12" x14ac:dyDescent="0.25">
      <c r="A309" s="3" t="str">
        <f t="shared" si="4"/>
        <v>APP308</v>
      </c>
      <c r="B309" s="3">
        <v>57</v>
      </c>
      <c r="C309" s="3">
        <v>921262</v>
      </c>
      <c r="D309" s="3" t="s">
        <v>12</v>
      </c>
      <c r="E309" s="3">
        <v>21</v>
      </c>
      <c r="F309" s="3">
        <v>678</v>
      </c>
      <c r="G309" s="3">
        <v>3</v>
      </c>
      <c r="H309" s="3">
        <v>1206943</v>
      </c>
      <c r="I309" s="3">
        <v>1</v>
      </c>
      <c r="J309" s="3">
        <v>26196</v>
      </c>
      <c r="K309" s="3">
        <v>2755341</v>
      </c>
      <c r="L309" s="3" t="s">
        <v>15</v>
      </c>
    </row>
    <row r="310" spans="1:12" x14ac:dyDescent="0.25">
      <c r="A310" s="3" t="str">
        <f t="shared" si="4"/>
        <v>APP309</v>
      </c>
      <c r="B310" s="3">
        <v>63</v>
      </c>
      <c r="C310" s="3">
        <v>1931133</v>
      </c>
      <c r="D310" s="3" t="s">
        <v>14</v>
      </c>
      <c r="E310" s="3">
        <v>9</v>
      </c>
      <c r="F310" s="3">
        <v>832</v>
      </c>
      <c r="G310" s="3">
        <v>1</v>
      </c>
      <c r="H310" s="3">
        <v>1017715</v>
      </c>
      <c r="I310" s="3">
        <v>13</v>
      </c>
      <c r="J310" s="3">
        <v>55984</v>
      </c>
      <c r="K310" s="3">
        <v>8611466</v>
      </c>
      <c r="L310" s="3" t="s">
        <v>13</v>
      </c>
    </row>
    <row r="311" spans="1:12" x14ac:dyDescent="0.25">
      <c r="A311" s="3" t="str">
        <f t="shared" si="4"/>
        <v>APP310</v>
      </c>
      <c r="B311" s="3">
        <v>42</v>
      </c>
      <c r="C311" s="3">
        <v>2286308</v>
      </c>
      <c r="D311" s="3" t="s">
        <v>14</v>
      </c>
      <c r="E311" s="3">
        <v>14</v>
      </c>
      <c r="F311" s="3">
        <v>326</v>
      </c>
      <c r="G311" s="3">
        <v>3</v>
      </c>
      <c r="H311" s="3">
        <v>4944832</v>
      </c>
      <c r="I311" s="3">
        <v>10</v>
      </c>
      <c r="J311" s="3">
        <v>26529</v>
      </c>
      <c r="K311" s="3">
        <v>6076003</v>
      </c>
      <c r="L311" s="3" t="s">
        <v>13</v>
      </c>
    </row>
    <row r="312" spans="1:12" x14ac:dyDescent="0.25">
      <c r="A312" s="3" t="str">
        <f t="shared" si="4"/>
        <v>APP311</v>
      </c>
      <c r="B312" s="3">
        <v>62</v>
      </c>
      <c r="C312" s="3">
        <v>1470840</v>
      </c>
      <c r="D312" s="3" t="s">
        <v>16</v>
      </c>
      <c r="E312" s="3">
        <v>7</v>
      </c>
      <c r="F312" s="3">
        <v>698</v>
      </c>
      <c r="G312" s="3">
        <v>1</v>
      </c>
      <c r="H312" s="3">
        <v>2645415</v>
      </c>
      <c r="I312" s="3">
        <v>27</v>
      </c>
      <c r="J312" s="3">
        <v>62287</v>
      </c>
      <c r="K312" s="3">
        <v>3082995</v>
      </c>
      <c r="L312" s="3" t="s">
        <v>13</v>
      </c>
    </row>
    <row r="313" spans="1:12" x14ac:dyDescent="0.25">
      <c r="A313" s="3" t="str">
        <f t="shared" si="4"/>
        <v>APP312</v>
      </c>
      <c r="B313" s="3">
        <v>26</v>
      </c>
      <c r="C313" s="3">
        <v>877330</v>
      </c>
      <c r="D313" s="3" t="s">
        <v>16</v>
      </c>
      <c r="E313" s="3">
        <v>23</v>
      </c>
      <c r="F313" s="3">
        <v>554</v>
      </c>
      <c r="G313" s="3">
        <v>1</v>
      </c>
      <c r="H313" s="3">
        <v>2071057</v>
      </c>
      <c r="I313" s="3">
        <v>3</v>
      </c>
      <c r="J313" s="3">
        <v>54322</v>
      </c>
      <c r="K313" s="3">
        <v>5037790</v>
      </c>
      <c r="L313" s="3" t="s">
        <v>15</v>
      </c>
    </row>
    <row r="314" spans="1:12" x14ac:dyDescent="0.25">
      <c r="A314" s="3" t="str">
        <f t="shared" si="4"/>
        <v>APP313</v>
      </c>
      <c r="B314" s="3">
        <v>50</v>
      </c>
      <c r="C314" s="3">
        <v>559610</v>
      </c>
      <c r="D314" s="3" t="s">
        <v>16</v>
      </c>
      <c r="E314" s="3">
        <v>12</v>
      </c>
      <c r="F314" s="3">
        <v>479</v>
      </c>
      <c r="G314" s="3">
        <v>2</v>
      </c>
      <c r="H314" s="3">
        <v>2162471</v>
      </c>
      <c r="I314" s="3">
        <v>27</v>
      </c>
      <c r="J314" s="3">
        <v>36700</v>
      </c>
      <c r="K314" s="3">
        <v>3947219</v>
      </c>
      <c r="L314" s="3" t="s">
        <v>13</v>
      </c>
    </row>
    <row r="315" spans="1:12" x14ac:dyDescent="0.25">
      <c r="A315" s="3" t="str">
        <f t="shared" si="4"/>
        <v>APP314</v>
      </c>
      <c r="B315" s="3">
        <v>36</v>
      </c>
      <c r="C315" s="3">
        <v>1010956</v>
      </c>
      <c r="D315" s="3" t="s">
        <v>16</v>
      </c>
      <c r="E315" s="3">
        <v>0</v>
      </c>
      <c r="F315" s="3">
        <v>631</v>
      </c>
      <c r="G315" s="3">
        <v>5</v>
      </c>
      <c r="H315" s="3">
        <v>4334523</v>
      </c>
      <c r="I315" s="3">
        <v>19</v>
      </c>
      <c r="J315" s="3">
        <v>28259</v>
      </c>
      <c r="K315" s="3">
        <v>4451249</v>
      </c>
      <c r="L315" s="3" t="s">
        <v>13</v>
      </c>
    </row>
    <row r="316" spans="1:12" x14ac:dyDescent="0.25">
      <c r="A316" s="3" t="str">
        <f t="shared" si="4"/>
        <v>APP315</v>
      </c>
      <c r="B316" s="3">
        <v>53</v>
      </c>
      <c r="C316" s="3">
        <v>364048</v>
      </c>
      <c r="D316" s="3" t="s">
        <v>16</v>
      </c>
      <c r="E316" s="3">
        <v>35</v>
      </c>
      <c r="F316" s="3">
        <v>587</v>
      </c>
      <c r="G316" s="3">
        <v>5</v>
      </c>
      <c r="H316" s="3">
        <v>2638349</v>
      </c>
      <c r="I316" s="3">
        <v>30</v>
      </c>
      <c r="J316" s="3">
        <v>39588</v>
      </c>
      <c r="K316" s="3">
        <v>5205098</v>
      </c>
      <c r="L316" s="3" t="s">
        <v>13</v>
      </c>
    </row>
    <row r="317" spans="1:12" x14ac:dyDescent="0.25">
      <c r="A317" s="3" t="str">
        <f t="shared" si="4"/>
        <v>APP316</v>
      </c>
      <c r="B317" s="3">
        <v>26</v>
      </c>
      <c r="C317" s="3">
        <v>1335158</v>
      </c>
      <c r="D317" s="3" t="s">
        <v>14</v>
      </c>
      <c r="E317" s="3">
        <v>3</v>
      </c>
      <c r="F317" s="3">
        <v>496</v>
      </c>
      <c r="G317" s="3">
        <v>3</v>
      </c>
      <c r="H317" s="3">
        <v>1193425</v>
      </c>
      <c r="I317" s="3">
        <v>3</v>
      </c>
      <c r="J317" s="3">
        <v>37031</v>
      </c>
      <c r="K317" s="3">
        <v>8500328</v>
      </c>
      <c r="L317" s="3" t="s">
        <v>13</v>
      </c>
    </row>
    <row r="318" spans="1:12" x14ac:dyDescent="0.25">
      <c r="A318" s="3" t="str">
        <f t="shared" si="4"/>
        <v>APP317</v>
      </c>
      <c r="B318" s="3">
        <v>32</v>
      </c>
      <c r="C318" s="3">
        <v>2403245</v>
      </c>
      <c r="D318" s="3" t="s">
        <v>16</v>
      </c>
      <c r="E318" s="3">
        <v>27</v>
      </c>
      <c r="F318" s="3">
        <v>302</v>
      </c>
      <c r="G318" s="3">
        <v>0</v>
      </c>
      <c r="H318" s="3">
        <v>2469255</v>
      </c>
      <c r="I318" s="3">
        <v>2</v>
      </c>
      <c r="J318" s="3">
        <v>73567</v>
      </c>
      <c r="K318" s="3">
        <v>5737274</v>
      </c>
      <c r="L318" s="3" t="s">
        <v>13</v>
      </c>
    </row>
    <row r="319" spans="1:12" x14ac:dyDescent="0.25">
      <c r="A319" s="3" t="str">
        <f t="shared" si="4"/>
        <v>APP318</v>
      </c>
      <c r="B319" s="3">
        <v>52</v>
      </c>
      <c r="C319" s="3">
        <v>1733879</v>
      </c>
      <c r="D319" s="3" t="s">
        <v>12</v>
      </c>
      <c r="E319" s="3">
        <v>13</v>
      </c>
      <c r="F319" s="3">
        <v>783</v>
      </c>
      <c r="G319" s="3">
        <v>1</v>
      </c>
      <c r="H319" s="3">
        <v>1324918</v>
      </c>
      <c r="I319" s="3">
        <v>25</v>
      </c>
      <c r="J319" s="3">
        <v>56303</v>
      </c>
      <c r="K319" s="3">
        <v>6553912</v>
      </c>
      <c r="L319" s="3" t="s">
        <v>13</v>
      </c>
    </row>
    <row r="320" spans="1:12" x14ac:dyDescent="0.25">
      <c r="A320" s="3" t="str">
        <f t="shared" si="4"/>
        <v>APP319</v>
      </c>
      <c r="B320" s="3">
        <v>65</v>
      </c>
      <c r="C320" s="3">
        <v>155917</v>
      </c>
      <c r="D320" s="3" t="s">
        <v>16</v>
      </c>
      <c r="E320" s="3">
        <v>17</v>
      </c>
      <c r="F320" s="3">
        <v>468</v>
      </c>
      <c r="G320" s="3">
        <v>5</v>
      </c>
      <c r="H320" s="3">
        <v>4004699</v>
      </c>
      <c r="I320" s="3">
        <v>20</v>
      </c>
      <c r="J320" s="3">
        <v>8882</v>
      </c>
      <c r="K320" s="3">
        <v>1297148</v>
      </c>
      <c r="L320" s="3" t="s">
        <v>13</v>
      </c>
    </row>
    <row r="321" spans="1:12" x14ac:dyDescent="0.25">
      <c r="A321" s="3" t="str">
        <f t="shared" si="4"/>
        <v>APP320</v>
      </c>
      <c r="B321" s="3">
        <v>60</v>
      </c>
      <c r="C321" s="3">
        <v>1645284</v>
      </c>
      <c r="D321" s="3" t="s">
        <v>14</v>
      </c>
      <c r="E321" s="3">
        <v>29</v>
      </c>
      <c r="F321" s="3">
        <v>664</v>
      </c>
      <c r="G321" s="3">
        <v>5</v>
      </c>
      <c r="H321" s="3">
        <v>1372390</v>
      </c>
      <c r="I321" s="3">
        <v>15</v>
      </c>
      <c r="J321" s="3">
        <v>29989</v>
      </c>
      <c r="K321" s="3">
        <v>4975178</v>
      </c>
      <c r="L321" s="3" t="s">
        <v>13</v>
      </c>
    </row>
    <row r="322" spans="1:12" x14ac:dyDescent="0.25">
      <c r="A322" s="3" t="str">
        <f t="shared" si="4"/>
        <v>APP321</v>
      </c>
      <c r="B322" s="3">
        <v>28</v>
      </c>
      <c r="C322" s="3">
        <v>2336402</v>
      </c>
      <c r="D322" s="3" t="s">
        <v>12</v>
      </c>
      <c r="E322" s="3">
        <v>34</v>
      </c>
      <c r="F322" s="3">
        <v>357</v>
      </c>
      <c r="G322" s="3">
        <v>3</v>
      </c>
      <c r="H322" s="3">
        <v>4247774</v>
      </c>
      <c r="I322" s="3">
        <v>18</v>
      </c>
      <c r="J322" s="3">
        <v>71133</v>
      </c>
      <c r="K322" s="3">
        <v>8975841</v>
      </c>
      <c r="L322" s="3" t="s">
        <v>13</v>
      </c>
    </row>
    <row r="323" spans="1:12" x14ac:dyDescent="0.25">
      <c r="A323" s="3" t="str">
        <f t="shared" ref="A323:A386" si="5">"APP"&amp;TEXT(ROW()-1,"000")</f>
        <v>APP322</v>
      </c>
      <c r="B323" s="3">
        <v>58</v>
      </c>
      <c r="C323" s="3">
        <v>1722794</v>
      </c>
      <c r="D323" s="3" t="s">
        <v>14</v>
      </c>
      <c r="E323" s="3">
        <v>34</v>
      </c>
      <c r="F323" s="3">
        <v>378</v>
      </c>
      <c r="G323" s="3">
        <v>1</v>
      </c>
      <c r="H323" s="3">
        <v>4657562</v>
      </c>
      <c r="I323" s="3">
        <v>25</v>
      </c>
      <c r="J323" s="3">
        <v>70984</v>
      </c>
      <c r="K323" s="3">
        <v>9378971</v>
      </c>
      <c r="L323" s="3" t="s">
        <v>13</v>
      </c>
    </row>
    <row r="324" spans="1:12" x14ac:dyDescent="0.25">
      <c r="A324" s="3" t="str">
        <f t="shared" si="5"/>
        <v>APP323</v>
      </c>
      <c r="B324" s="3">
        <v>59</v>
      </c>
      <c r="C324" s="3">
        <v>1523049</v>
      </c>
      <c r="D324" s="3" t="s">
        <v>12</v>
      </c>
      <c r="E324" s="3">
        <v>26</v>
      </c>
      <c r="F324" s="3">
        <v>791</v>
      </c>
      <c r="G324" s="3">
        <v>1</v>
      </c>
      <c r="H324" s="3">
        <v>4352917</v>
      </c>
      <c r="I324" s="3">
        <v>8</v>
      </c>
      <c r="J324" s="3">
        <v>73651</v>
      </c>
      <c r="K324" s="3">
        <v>5426814</v>
      </c>
      <c r="L324" s="3" t="s">
        <v>13</v>
      </c>
    </row>
    <row r="325" spans="1:12" x14ac:dyDescent="0.25">
      <c r="A325" s="3" t="str">
        <f t="shared" si="5"/>
        <v>APP324</v>
      </c>
      <c r="B325" s="3">
        <v>27</v>
      </c>
      <c r="C325" s="3">
        <v>2355340</v>
      </c>
      <c r="D325" s="3" t="s">
        <v>12</v>
      </c>
      <c r="E325" s="3">
        <v>19</v>
      </c>
      <c r="F325" s="3">
        <v>616</v>
      </c>
      <c r="G325" s="3">
        <v>2</v>
      </c>
      <c r="H325" s="3">
        <v>1033667</v>
      </c>
      <c r="I325" s="3">
        <v>11</v>
      </c>
      <c r="J325" s="3">
        <v>21144</v>
      </c>
      <c r="K325" s="3">
        <v>5488824</v>
      </c>
      <c r="L325" s="3" t="s">
        <v>13</v>
      </c>
    </row>
    <row r="326" spans="1:12" x14ac:dyDescent="0.25">
      <c r="A326" s="3" t="str">
        <f t="shared" si="5"/>
        <v>APP325</v>
      </c>
      <c r="B326" s="3">
        <v>49</v>
      </c>
      <c r="C326" s="3">
        <v>877659</v>
      </c>
      <c r="D326" s="3" t="s">
        <v>14</v>
      </c>
      <c r="E326" s="3">
        <v>30</v>
      </c>
      <c r="F326" s="3">
        <v>305</v>
      </c>
      <c r="G326" s="3">
        <v>4</v>
      </c>
      <c r="H326" s="3">
        <v>4255070</v>
      </c>
      <c r="I326" s="3">
        <v>29</v>
      </c>
      <c r="J326" s="3">
        <v>30073</v>
      </c>
      <c r="K326" s="3">
        <v>6814041</v>
      </c>
      <c r="L326" s="3" t="s">
        <v>13</v>
      </c>
    </row>
    <row r="327" spans="1:12" x14ac:dyDescent="0.25">
      <c r="A327" s="3" t="str">
        <f t="shared" si="5"/>
        <v>APP326</v>
      </c>
      <c r="B327" s="3">
        <v>27</v>
      </c>
      <c r="C327" s="3">
        <v>1335898</v>
      </c>
      <c r="D327" s="3" t="s">
        <v>12</v>
      </c>
      <c r="E327" s="3">
        <v>10</v>
      </c>
      <c r="F327" s="3">
        <v>561</v>
      </c>
      <c r="G327" s="3">
        <v>3</v>
      </c>
      <c r="H327" s="3">
        <v>3539800</v>
      </c>
      <c r="I327" s="3">
        <v>15</v>
      </c>
      <c r="J327" s="3">
        <v>559</v>
      </c>
      <c r="K327" s="3">
        <v>6417162</v>
      </c>
      <c r="L327" s="3" t="s">
        <v>13</v>
      </c>
    </row>
    <row r="328" spans="1:12" x14ac:dyDescent="0.25">
      <c r="A328" s="3" t="str">
        <f t="shared" si="5"/>
        <v>APP327</v>
      </c>
      <c r="B328" s="3">
        <v>41</v>
      </c>
      <c r="C328" s="3">
        <v>1220043</v>
      </c>
      <c r="D328" s="3" t="s">
        <v>12</v>
      </c>
      <c r="E328" s="3">
        <v>33</v>
      </c>
      <c r="F328" s="3">
        <v>316</v>
      </c>
      <c r="G328" s="3">
        <v>2</v>
      </c>
      <c r="H328" s="3">
        <v>1039268</v>
      </c>
      <c r="I328" s="3">
        <v>13</v>
      </c>
      <c r="J328" s="3">
        <v>41170</v>
      </c>
      <c r="K328" s="3">
        <v>6729832</v>
      </c>
      <c r="L328" s="3" t="s">
        <v>13</v>
      </c>
    </row>
    <row r="329" spans="1:12" x14ac:dyDescent="0.25">
      <c r="A329" s="3" t="str">
        <f t="shared" si="5"/>
        <v>APP328</v>
      </c>
      <c r="B329" s="3">
        <v>38</v>
      </c>
      <c r="C329" s="3">
        <v>2328157</v>
      </c>
      <c r="D329" s="3" t="s">
        <v>12</v>
      </c>
      <c r="E329" s="3">
        <v>35</v>
      </c>
      <c r="F329" s="3">
        <v>489</v>
      </c>
      <c r="G329" s="3">
        <v>0</v>
      </c>
      <c r="H329" s="3">
        <v>1691264</v>
      </c>
      <c r="I329" s="3">
        <v>3</v>
      </c>
      <c r="J329" s="3">
        <v>66312</v>
      </c>
      <c r="K329" s="3">
        <v>4859046</v>
      </c>
      <c r="L329" s="3" t="s">
        <v>13</v>
      </c>
    </row>
    <row r="330" spans="1:12" x14ac:dyDescent="0.25">
      <c r="A330" s="3" t="str">
        <f t="shared" si="5"/>
        <v>APP329</v>
      </c>
      <c r="B330" s="3">
        <v>58</v>
      </c>
      <c r="C330" s="3">
        <v>594375</v>
      </c>
      <c r="D330" s="3" t="s">
        <v>14</v>
      </c>
      <c r="E330" s="3">
        <v>27</v>
      </c>
      <c r="F330" s="3">
        <v>642</v>
      </c>
      <c r="G330" s="3">
        <v>4</v>
      </c>
      <c r="H330" s="3">
        <v>3755785</v>
      </c>
      <c r="I330" s="3">
        <v>14</v>
      </c>
      <c r="J330" s="3">
        <v>16385</v>
      </c>
      <c r="K330" s="3">
        <v>2811843</v>
      </c>
      <c r="L330" s="3" t="s">
        <v>13</v>
      </c>
    </row>
    <row r="331" spans="1:12" x14ac:dyDescent="0.25">
      <c r="A331" s="3" t="str">
        <f t="shared" si="5"/>
        <v>APP330</v>
      </c>
      <c r="B331" s="3">
        <v>55</v>
      </c>
      <c r="C331" s="3">
        <v>522466</v>
      </c>
      <c r="D331" s="3" t="s">
        <v>12</v>
      </c>
      <c r="E331" s="3">
        <v>34</v>
      </c>
      <c r="F331" s="3">
        <v>844</v>
      </c>
      <c r="G331" s="3">
        <v>5</v>
      </c>
      <c r="H331" s="3">
        <v>1843969</v>
      </c>
      <c r="I331" s="3">
        <v>25</v>
      </c>
      <c r="J331" s="3">
        <v>33408</v>
      </c>
      <c r="K331" s="3">
        <v>3058173</v>
      </c>
      <c r="L331" s="3" t="s">
        <v>15</v>
      </c>
    </row>
    <row r="332" spans="1:12" x14ac:dyDescent="0.25">
      <c r="A332" s="3" t="str">
        <f t="shared" si="5"/>
        <v>APP331</v>
      </c>
      <c r="B332" s="3">
        <v>41</v>
      </c>
      <c r="C332" s="3">
        <v>2191585</v>
      </c>
      <c r="D332" s="3" t="s">
        <v>12</v>
      </c>
      <c r="E332" s="3">
        <v>13</v>
      </c>
      <c r="F332" s="3">
        <v>627</v>
      </c>
      <c r="G332" s="3">
        <v>0</v>
      </c>
      <c r="H332" s="3">
        <v>1821979</v>
      </c>
      <c r="I332" s="3">
        <v>19</v>
      </c>
      <c r="J332" s="3">
        <v>30994</v>
      </c>
      <c r="K332" s="3">
        <v>8062429</v>
      </c>
      <c r="L332" s="3" t="s">
        <v>13</v>
      </c>
    </row>
    <row r="333" spans="1:12" x14ac:dyDescent="0.25">
      <c r="A333" s="3" t="str">
        <f t="shared" si="5"/>
        <v>APP332</v>
      </c>
      <c r="B333" s="3">
        <v>57</v>
      </c>
      <c r="C333" s="3">
        <v>1819755</v>
      </c>
      <c r="D333" s="3" t="s">
        <v>14</v>
      </c>
      <c r="E333" s="3">
        <v>25</v>
      </c>
      <c r="F333" s="3">
        <v>421</v>
      </c>
      <c r="G333" s="3">
        <v>4</v>
      </c>
      <c r="H333" s="3">
        <v>736269</v>
      </c>
      <c r="I333" s="3">
        <v>12</v>
      </c>
      <c r="J333" s="3">
        <v>25774</v>
      </c>
      <c r="K333" s="3">
        <v>2025647</v>
      </c>
      <c r="L333" s="3" t="s">
        <v>13</v>
      </c>
    </row>
    <row r="334" spans="1:12" x14ac:dyDescent="0.25">
      <c r="A334" s="3" t="str">
        <f t="shared" si="5"/>
        <v>APP333</v>
      </c>
      <c r="B334" s="3">
        <v>24</v>
      </c>
      <c r="C334" s="3">
        <v>1569386</v>
      </c>
      <c r="D334" s="3" t="s">
        <v>16</v>
      </c>
      <c r="E334" s="3">
        <v>34</v>
      </c>
      <c r="F334" s="3">
        <v>880</v>
      </c>
      <c r="G334" s="3">
        <v>5</v>
      </c>
      <c r="H334" s="3">
        <v>4867225</v>
      </c>
      <c r="I334" s="3">
        <v>18</v>
      </c>
      <c r="J334" s="3">
        <v>70490</v>
      </c>
      <c r="K334" s="3">
        <v>8898803</v>
      </c>
      <c r="L334" s="3" t="s">
        <v>13</v>
      </c>
    </row>
    <row r="335" spans="1:12" x14ac:dyDescent="0.25">
      <c r="A335" s="3" t="str">
        <f t="shared" si="5"/>
        <v>APP334</v>
      </c>
      <c r="B335" s="3">
        <v>58</v>
      </c>
      <c r="C335" s="3">
        <v>1611193</v>
      </c>
      <c r="D335" s="3" t="s">
        <v>12</v>
      </c>
      <c r="E335" s="3">
        <v>10</v>
      </c>
      <c r="F335" s="3">
        <v>586</v>
      </c>
      <c r="G335" s="3">
        <v>4</v>
      </c>
      <c r="H335" s="3">
        <v>2561895</v>
      </c>
      <c r="I335" s="3">
        <v>20</v>
      </c>
      <c r="J335" s="3">
        <v>34956</v>
      </c>
      <c r="K335" s="3">
        <v>9981373</v>
      </c>
      <c r="L335" s="3" t="s">
        <v>15</v>
      </c>
    </row>
    <row r="336" spans="1:12" x14ac:dyDescent="0.25">
      <c r="A336" s="3" t="str">
        <f t="shared" si="5"/>
        <v>APP335</v>
      </c>
      <c r="B336" s="3">
        <v>45</v>
      </c>
      <c r="C336" s="3">
        <v>1757452</v>
      </c>
      <c r="D336" s="3" t="s">
        <v>16</v>
      </c>
      <c r="E336" s="3">
        <v>32</v>
      </c>
      <c r="F336" s="3">
        <v>810</v>
      </c>
      <c r="G336" s="3">
        <v>1</v>
      </c>
      <c r="H336" s="3">
        <v>1837053</v>
      </c>
      <c r="I336" s="3">
        <v>12</v>
      </c>
      <c r="J336" s="3">
        <v>20324</v>
      </c>
      <c r="K336" s="3">
        <v>1875370</v>
      </c>
      <c r="L336" s="3" t="s">
        <v>13</v>
      </c>
    </row>
    <row r="337" spans="1:12" x14ac:dyDescent="0.25">
      <c r="A337" s="3" t="str">
        <f t="shared" si="5"/>
        <v>APP336</v>
      </c>
      <c r="B337" s="3">
        <v>40</v>
      </c>
      <c r="C337" s="3">
        <v>1165356</v>
      </c>
      <c r="D337" s="3" t="s">
        <v>16</v>
      </c>
      <c r="E337" s="3">
        <v>5</v>
      </c>
      <c r="F337" s="3">
        <v>860</v>
      </c>
      <c r="G337" s="3">
        <v>1</v>
      </c>
      <c r="H337" s="3">
        <v>4204307</v>
      </c>
      <c r="I337" s="3">
        <v>16</v>
      </c>
      <c r="J337" s="3">
        <v>55956</v>
      </c>
      <c r="K337" s="3">
        <v>1713060</v>
      </c>
      <c r="L337" s="3" t="s">
        <v>13</v>
      </c>
    </row>
    <row r="338" spans="1:12" x14ac:dyDescent="0.25">
      <c r="A338" s="3" t="str">
        <f t="shared" si="5"/>
        <v>APP337</v>
      </c>
      <c r="B338" s="3">
        <v>22</v>
      </c>
      <c r="C338" s="3">
        <v>241447</v>
      </c>
      <c r="D338" s="3" t="s">
        <v>12</v>
      </c>
      <c r="E338" s="3">
        <v>2</v>
      </c>
      <c r="F338" s="3">
        <v>654</v>
      </c>
      <c r="G338" s="3">
        <v>4</v>
      </c>
      <c r="H338" s="3">
        <v>3527585</v>
      </c>
      <c r="I338" s="3">
        <v>1</v>
      </c>
      <c r="J338" s="3">
        <v>28899</v>
      </c>
      <c r="K338" s="3">
        <v>866779</v>
      </c>
      <c r="L338" s="3" t="s">
        <v>15</v>
      </c>
    </row>
    <row r="339" spans="1:12" x14ac:dyDescent="0.25">
      <c r="A339" s="3" t="str">
        <f t="shared" si="5"/>
        <v>APP338</v>
      </c>
      <c r="B339" s="3">
        <v>41</v>
      </c>
      <c r="C339" s="3">
        <v>2404637</v>
      </c>
      <c r="D339" s="3" t="s">
        <v>14</v>
      </c>
      <c r="E339" s="3">
        <v>27</v>
      </c>
      <c r="F339" s="3">
        <v>469</v>
      </c>
      <c r="G339" s="3">
        <v>2</v>
      </c>
      <c r="H339" s="3">
        <v>2390897</v>
      </c>
      <c r="I339" s="3">
        <v>25</v>
      </c>
      <c r="J339" s="3">
        <v>8318</v>
      </c>
      <c r="K339" s="3">
        <v>5900293</v>
      </c>
      <c r="L339" s="3" t="s">
        <v>13</v>
      </c>
    </row>
    <row r="340" spans="1:12" x14ac:dyDescent="0.25">
      <c r="A340" s="3" t="str">
        <f t="shared" si="5"/>
        <v>APP339</v>
      </c>
      <c r="B340" s="3">
        <v>46</v>
      </c>
      <c r="C340" s="3">
        <v>1944182</v>
      </c>
      <c r="D340" s="3" t="s">
        <v>12</v>
      </c>
      <c r="E340" s="3">
        <v>29</v>
      </c>
      <c r="F340" s="3">
        <v>381</v>
      </c>
      <c r="G340" s="3">
        <v>5</v>
      </c>
      <c r="H340" s="3">
        <v>596582</v>
      </c>
      <c r="I340" s="3">
        <v>21</v>
      </c>
      <c r="J340" s="3">
        <v>46998</v>
      </c>
      <c r="K340" s="3">
        <v>2797522</v>
      </c>
      <c r="L340" s="3" t="s">
        <v>15</v>
      </c>
    </row>
    <row r="341" spans="1:12" x14ac:dyDescent="0.25">
      <c r="A341" s="3" t="str">
        <f t="shared" si="5"/>
        <v>APP340</v>
      </c>
      <c r="B341" s="3">
        <v>30</v>
      </c>
      <c r="C341" s="3">
        <v>1780886</v>
      </c>
      <c r="D341" s="3" t="s">
        <v>12</v>
      </c>
      <c r="E341" s="3">
        <v>24</v>
      </c>
      <c r="F341" s="3">
        <v>467</v>
      </c>
      <c r="G341" s="3">
        <v>2</v>
      </c>
      <c r="H341" s="3">
        <v>197936</v>
      </c>
      <c r="I341" s="3">
        <v>9</v>
      </c>
      <c r="J341" s="3">
        <v>35148</v>
      </c>
      <c r="K341" s="3">
        <v>284122</v>
      </c>
      <c r="L341" s="3" t="s">
        <v>13</v>
      </c>
    </row>
    <row r="342" spans="1:12" x14ac:dyDescent="0.25">
      <c r="A342" s="3" t="str">
        <f t="shared" si="5"/>
        <v>APP341</v>
      </c>
      <c r="B342" s="3">
        <v>46</v>
      </c>
      <c r="C342" s="3">
        <v>645104</v>
      </c>
      <c r="D342" s="3" t="s">
        <v>12</v>
      </c>
      <c r="E342" s="3">
        <v>10</v>
      </c>
      <c r="F342" s="3">
        <v>434</v>
      </c>
      <c r="G342" s="3">
        <v>1</v>
      </c>
      <c r="H342" s="3">
        <v>616029</v>
      </c>
      <c r="I342" s="3">
        <v>11</v>
      </c>
      <c r="J342" s="3">
        <v>7553</v>
      </c>
      <c r="K342" s="3">
        <v>4832279</v>
      </c>
      <c r="L342" s="3" t="s">
        <v>13</v>
      </c>
    </row>
    <row r="343" spans="1:12" x14ac:dyDescent="0.25">
      <c r="A343" s="3" t="str">
        <f t="shared" si="5"/>
        <v>APP342</v>
      </c>
      <c r="B343" s="3">
        <v>29</v>
      </c>
      <c r="C343" s="3">
        <v>773290</v>
      </c>
      <c r="D343" s="3" t="s">
        <v>16</v>
      </c>
      <c r="E343" s="3">
        <v>3</v>
      </c>
      <c r="F343" s="3">
        <v>354</v>
      </c>
      <c r="G343" s="3">
        <v>4</v>
      </c>
      <c r="H343" s="3">
        <v>3467172</v>
      </c>
      <c r="I343" s="3">
        <v>21</v>
      </c>
      <c r="J343" s="3">
        <v>74711</v>
      </c>
      <c r="K343" s="3">
        <v>7604841</v>
      </c>
      <c r="L343" s="3" t="s">
        <v>13</v>
      </c>
    </row>
    <row r="344" spans="1:12" x14ac:dyDescent="0.25">
      <c r="A344" s="3" t="str">
        <f t="shared" si="5"/>
        <v>APP343</v>
      </c>
      <c r="B344" s="3">
        <v>53</v>
      </c>
      <c r="C344" s="3">
        <v>458954</v>
      </c>
      <c r="D344" s="3" t="s">
        <v>12</v>
      </c>
      <c r="E344" s="3">
        <v>8</v>
      </c>
      <c r="F344" s="3">
        <v>554</v>
      </c>
      <c r="G344" s="3">
        <v>2</v>
      </c>
      <c r="H344" s="3">
        <v>1566295</v>
      </c>
      <c r="I344" s="3">
        <v>10</v>
      </c>
      <c r="J344" s="3">
        <v>19672</v>
      </c>
      <c r="K344" s="3">
        <v>7630203</v>
      </c>
      <c r="L344" s="3" t="s">
        <v>13</v>
      </c>
    </row>
    <row r="345" spans="1:12" x14ac:dyDescent="0.25">
      <c r="A345" s="3" t="str">
        <f t="shared" si="5"/>
        <v>APP344</v>
      </c>
      <c r="B345" s="3">
        <v>27</v>
      </c>
      <c r="C345" s="3">
        <v>1820834</v>
      </c>
      <c r="D345" s="3" t="s">
        <v>14</v>
      </c>
      <c r="E345" s="3">
        <v>11</v>
      </c>
      <c r="F345" s="3">
        <v>840</v>
      </c>
      <c r="G345" s="3">
        <v>1</v>
      </c>
      <c r="H345" s="3">
        <v>3162464</v>
      </c>
      <c r="I345" s="3">
        <v>23</v>
      </c>
      <c r="J345" s="3">
        <v>3720</v>
      </c>
      <c r="K345" s="3">
        <v>92571</v>
      </c>
      <c r="L345" s="3" t="s">
        <v>13</v>
      </c>
    </row>
    <row r="346" spans="1:12" x14ac:dyDescent="0.25">
      <c r="A346" s="3" t="str">
        <f t="shared" si="5"/>
        <v>APP345</v>
      </c>
      <c r="B346" s="3">
        <v>36</v>
      </c>
      <c r="C346" s="3">
        <v>1733601</v>
      </c>
      <c r="D346" s="3" t="s">
        <v>14</v>
      </c>
      <c r="E346" s="3">
        <v>29</v>
      </c>
      <c r="F346" s="3">
        <v>671</v>
      </c>
      <c r="G346" s="3">
        <v>3</v>
      </c>
      <c r="H346" s="3">
        <v>1529714</v>
      </c>
      <c r="I346" s="3">
        <v>27</v>
      </c>
      <c r="J346" s="3">
        <v>54197</v>
      </c>
      <c r="K346" s="3">
        <v>8488619</v>
      </c>
      <c r="L346" s="3" t="s">
        <v>13</v>
      </c>
    </row>
    <row r="347" spans="1:12" x14ac:dyDescent="0.25">
      <c r="A347" s="3" t="str">
        <f t="shared" si="5"/>
        <v>APP346</v>
      </c>
      <c r="B347" s="3">
        <v>22</v>
      </c>
      <c r="C347" s="3">
        <v>2044775</v>
      </c>
      <c r="D347" s="3" t="s">
        <v>14</v>
      </c>
      <c r="E347" s="3">
        <v>19</v>
      </c>
      <c r="F347" s="3">
        <v>331</v>
      </c>
      <c r="G347" s="3">
        <v>2</v>
      </c>
      <c r="H347" s="3">
        <v>3535013</v>
      </c>
      <c r="I347" s="3">
        <v>19</v>
      </c>
      <c r="J347" s="3">
        <v>24461</v>
      </c>
      <c r="K347" s="3">
        <v>8184366</v>
      </c>
      <c r="L347" s="3" t="s">
        <v>13</v>
      </c>
    </row>
    <row r="348" spans="1:12" x14ac:dyDescent="0.25">
      <c r="A348" s="3" t="str">
        <f t="shared" si="5"/>
        <v>APP347</v>
      </c>
      <c r="B348" s="3">
        <v>65</v>
      </c>
      <c r="C348" s="3">
        <v>937029</v>
      </c>
      <c r="D348" s="3" t="s">
        <v>12</v>
      </c>
      <c r="E348" s="3">
        <v>19</v>
      </c>
      <c r="F348" s="3">
        <v>865</v>
      </c>
      <c r="G348" s="3">
        <v>4</v>
      </c>
      <c r="H348" s="3">
        <v>2345830</v>
      </c>
      <c r="I348" s="3">
        <v>4</v>
      </c>
      <c r="J348" s="3">
        <v>68488</v>
      </c>
      <c r="K348" s="3">
        <v>8704933</v>
      </c>
      <c r="L348" s="3" t="s">
        <v>15</v>
      </c>
    </row>
    <row r="349" spans="1:12" x14ac:dyDescent="0.25">
      <c r="A349" s="3" t="str">
        <f t="shared" si="5"/>
        <v>APP348</v>
      </c>
      <c r="B349" s="3">
        <v>57</v>
      </c>
      <c r="C349" s="3">
        <v>1986400</v>
      </c>
      <c r="D349" s="3" t="s">
        <v>12</v>
      </c>
      <c r="E349" s="3">
        <v>27</v>
      </c>
      <c r="F349" s="3">
        <v>427</v>
      </c>
      <c r="G349" s="3">
        <v>5</v>
      </c>
      <c r="H349" s="3">
        <v>187439</v>
      </c>
      <c r="I349" s="3">
        <v>28</v>
      </c>
      <c r="J349" s="3">
        <v>57610</v>
      </c>
      <c r="K349" s="3">
        <v>1901609</v>
      </c>
      <c r="L349" s="3" t="s">
        <v>13</v>
      </c>
    </row>
    <row r="350" spans="1:12" x14ac:dyDescent="0.25">
      <c r="A350" s="3" t="str">
        <f t="shared" si="5"/>
        <v>APP349</v>
      </c>
      <c r="B350" s="3">
        <v>27</v>
      </c>
      <c r="C350" s="3">
        <v>396234</v>
      </c>
      <c r="D350" s="3" t="s">
        <v>12</v>
      </c>
      <c r="E350" s="3">
        <v>17</v>
      </c>
      <c r="F350" s="3">
        <v>740</v>
      </c>
      <c r="G350" s="3">
        <v>5</v>
      </c>
      <c r="H350" s="3">
        <v>4520526</v>
      </c>
      <c r="I350" s="3">
        <v>16</v>
      </c>
      <c r="J350" s="3">
        <v>25768</v>
      </c>
      <c r="K350" s="3">
        <v>6614070</v>
      </c>
      <c r="L350" s="3" t="s">
        <v>13</v>
      </c>
    </row>
    <row r="351" spans="1:12" x14ac:dyDescent="0.25">
      <c r="A351" s="3" t="str">
        <f t="shared" si="5"/>
        <v>APP350</v>
      </c>
      <c r="B351" s="3">
        <v>60</v>
      </c>
      <c r="C351" s="3">
        <v>2060361</v>
      </c>
      <c r="D351" s="3" t="s">
        <v>12</v>
      </c>
      <c r="E351" s="3">
        <v>9</v>
      </c>
      <c r="F351" s="3">
        <v>465</v>
      </c>
      <c r="G351" s="3">
        <v>4</v>
      </c>
      <c r="H351" s="3">
        <v>2729664</v>
      </c>
      <c r="I351" s="3">
        <v>27</v>
      </c>
      <c r="J351" s="3">
        <v>53583</v>
      </c>
      <c r="K351" s="3">
        <v>5238984</v>
      </c>
      <c r="L351" s="3" t="s">
        <v>13</v>
      </c>
    </row>
    <row r="352" spans="1:12" x14ac:dyDescent="0.25">
      <c r="A352" s="3" t="str">
        <f t="shared" si="5"/>
        <v>APP351</v>
      </c>
      <c r="B352" s="3">
        <v>49</v>
      </c>
      <c r="C352" s="3">
        <v>1776735</v>
      </c>
      <c r="D352" s="3" t="s">
        <v>14</v>
      </c>
      <c r="E352" s="3">
        <v>21</v>
      </c>
      <c r="F352" s="3">
        <v>358</v>
      </c>
      <c r="G352" s="3">
        <v>2</v>
      </c>
      <c r="H352" s="3">
        <v>2640622</v>
      </c>
      <c r="I352" s="3">
        <v>9</v>
      </c>
      <c r="J352" s="3">
        <v>66930</v>
      </c>
      <c r="K352" s="3">
        <v>2799089</v>
      </c>
      <c r="L352" s="3" t="s">
        <v>13</v>
      </c>
    </row>
    <row r="353" spans="1:12" x14ac:dyDescent="0.25">
      <c r="A353" s="3" t="str">
        <f t="shared" si="5"/>
        <v>APP352</v>
      </c>
      <c r="B353" s="3">
        <v>54</v>
      </c>
      <c r="C353" s="3">
        <v>1069830</v>
      </c>
      <c r="D353" s="3" t="s">
        <v>14</v>
      </c>
      <c r="E353" s="3">
        <v>5</v>
      </c>
      <c r="F353" s="3">
        <v>457</v>
      </c>
      <c r="G353" s="3">
        <v>5</v>
      </c>
      <c r="H353" s="3">
        <v>205945</v>
      </c>
      <c r="I353" s="3">
        <v>4</v>
      </c>
      <c r="J353" s="3">
        <v>27794</v>
      </c>
      <c r="K353" s="3">
        <v>8918317</v>
      </c>
      <c r="L353" s="3" t="s">
        <v>13</v>
      </c>
    </row>
    <row r="354" spans="1:12" x14ac:dyDescent="0.25">
      <c r="A354" s="3" t="str">
        <f t="shared" si="5"/>
        <v>APP353</v>
      </c>
      <c r="B354" s="3">
        <v>48</v>
      </c>
      <c r="C354" s="3">
        <v>618256</v>
      </c>
      <c r="D354" s="3" t="s">
        <v>16</v>
      </c>
      <c r="E354" s="3">
        <v>14</v>
      </c>
      <c r="F354" s="3">
        <v>570</v>
      </c>
      <c r="G354" s="3">
        <v>1</v>
      </c>
      <c r="H354" s="3">
        <v>1799547</v>
      </c>
      <c r="I354" s="3">
        <v>3</v>
      </c>
      <c r="J354" s="3">
        <v>50596</v>
      </c>
      <c r="K354" s="3">
        <v>9503914</v>
      </c>
      <c r="L354" s="3" t="s">
        <v>13</v>
      </c>
    </row>
    <row r="355" spans="1:12" x14ac:dyDescent="0.25">
      <c r="A355" s="3" t="str">
        <f t="shared" si="5"/>
        <v>APP354</v>
      </c>
      <c r="B355" s="3">
        <v>29</v>
      </c>
      <c r="C355" s="3">
        <v>759562</v>
      </c>
      <c r="D355" s="3" t="s">
        <v>12</v>
      </c>
      <c r="E355" s="3">
        <v>8</v>
      </c>
      <c r="F355" s="3">
        <v>774</v>
      </c>
      <c r="G355" s="3">
        <v>1</v>
      </c>
      <c r="H355" s="3">
        <v>3556424</v>
      </c>
      <c r="I355" s="3">
        <v>1</v>
      </c>
      <c r="J355" s="3">
        <v>40418</v>
      </c>
      <c r="K355" s="3">
        <v>4930905</v>
      </c>
      <c r="L355" s="3" t="s">
        <v>13</v>
      </c>
    </row>
    <row r="356" spans="1:12" x14ac:dyDescent="0.25">
      <c r="A356" s="3" t="str">
        <f t="shared" si="5"/>
        <v>APP355</v>
      </c>
      <c r="B356" s="3">
        <v>42</v>
      </c>
      <c r="C356" s="3">
        <v>806753</v>
      </c>
      <c r="D356" s="3" t="s">
        <v>16</v>
      </c>
      <c r="E356" s="3">
        <v>9</v>
      </c>
      <c r="F356" s="3">
        <v>669</v>
      </c>
      <c r="G356" s="3">
        <v>3</v>
      </c>
      <c r="H356" s="3">
        <v>823777</v>
      </c>
      <c r="I356" s="3">
        <v>24</v>
      </c>
      <c r="J356" s="3">
        <v>76800</v>
      </c>
      <c r="K356" s="3">
        <v>4456730</v>
      </c>
      <c r="L356" s="3" t="s">
        <v>13</v>
      </c>
    </row>
    <row r="357" spans="1:12" x14ac:dyDescent="0.25">
      <c r="A357" s="3" t="str">
        <f t="shared" si="5"/>
        <v>APP356</v>
      </c>
      <c r="B357" s="3">
        <v>50</v>
      </c>
      <c r="C357" s="3">
        <v>2430316</v>
      </c>
      <c r="D357" s="3" t="s">
        <v>14</v>
      </c>
      <c r="E357" s="3">
        <v>24</v>
      </c>
      <c r="F357" s="3">
        <v>789</v>
      </c>
      <c r="G357" s="3">
        <v>4</v>
      </c>
      <c r="H357" s="3">
        <v>2424225</v>
      </c>
      <c r="I357" s="3">
        <v>23</v>
      </c>
      <c r="J357" s="3">
        <v>6443</v>
      </c>
      <c r="K357" s="3">
        <v>7582096</v>
      </c>
      <c r="L357" s="3" t="s">
        <v>13</v>
      </c>
    </row>
    <row r="358" spans="1:12" x14ac:dyDescent="0.25">
      <c r="A358" s="3" t="str">
        <f t="shared" si="5"/>
        <v>APP357</v>
      </c>
      <c r="B358" s="3">
        <v>31</v>
      </c>
      <c r="C358" s="3">
        <v>792115</v>
      </c>
      <c r="D358" s="3" t="s">
        <v>16</v>
      </c>
      <c r="E358" s="3">
        <v>19</v>
      </c>
      <c r="F358" s="3">
        <v>665</v>
      </c>
      <c r="G358" s="3">
        <v>0</v>
      </c>
      <c r="H358" s="3">
        <v>2003664</v>
      </c>
      <c r="I358" s="3">
        <v>1</v>
      </c>
      <c r="J358" s="3">
        <v>9499</v>
      </c>
      <c r="K358" s="3">
        <v>8467933</v>
      </c>
      <c r="L358" s="3" t="s">
        <v>13</v>
      </c>
    </row>
    <row r="359" spans="1:12" x14ac:dyDescent="0.25">
      <c r="A359" s="3" t="str">
        <f t="shared" si="5"/>
        <v>APP358</v>
      </c>
      <c r="B359" s="3">
        <v>38</v>
      </c>
      <c r="C359" s="3">
        <v>2001229</v>
      </c>
      <c r="D359" s="3" t="s">
        <v>16</v>
      </c>
      <c r="E359" s="3">
        <v>0</v>
      </c>
      <c r="F359" s="3">
        <v>636</v>
      </c>
      <c r="G359" s="3">
        <v>4</v>
      </c>
      <c r="H359" s="3">
        <v>3210013</v>
      </c>
      <c r="I359" s="3">
        <v>3</v>
      </c>
      <c r="J359" s="3">
        <v>32059</v>
      </c>
      <c r="K359" s="3">
        <v>4736279</v>
      </c>
      <c r="L359" s="3" t="s">
        <v>13</v>
      </c>
    </row>
    <row r="360" spans="1:12" x14ac:dyDescent="0.25">
      <c r="A360" s="3" t="str">
        <f t="shared" si="5"/>
        <v>APP359</v>
      </c>
      <c r="B360" s="3">
        <v>24</v>
      </c>
      <c r="C360" s="3">
        <v>1160036</v>
      </c>
      <c r="D360" s="3" t="s">
        <v>14</v>
      </c>
      <c r="E360" s="3">
        <v>32</v>
      </c>
      <c r="F360" s="3">
        <v>350</v>
      </c>
      <c r="G360" s="3">
        <v>5</v>
      </c>
      <c r="H360" s="3">
        <v>2468934</v>
      </c>
      <c r="I360" s="3">
        <v>1</v>
      </c>
      <c r="J360" s="3">
        <v>23849</v>
      </c>
      <c r="K360" s="3">
        <v>4084024</v>
      </c>
      <c r="L360" s="3" t="s">
        <v>13</v>
      </c>
    </row>
    <row r="361" spans="1:12" x14ac:dyDescent="0.25">
      <c r="A361" s="3" t="str">
        <f t="shared" si="5"/>
        <v>APP360</v>
      </c>
      <c r="B361" s="3">
        <v>22</v>
      </c>
      <c r="C361" s="3">
        <v>978227</v>
      </c>
      <c r="D361" s="3" t="s">
        <v>14</v>
      </c>
      <c r="E361" s="3">
        <v>13</v>
      </c>
      <c r="F361" s="3">
        <v>471</v>
      </c>
      <c r="G361" s="3">
        <v>5</v>
      </c>
      <c r="H361" s="3">
        <v>2099399</v>
      </c>
      <c r="I361" s="3">
        <v>20</v>
      </c>
      <c r="J361" s="3">
        <v>43915</v>
      </c>
      <c r="K361" s="3">
        <v>6809265</v>
      </c>
      <c r="L361" s="3" t="s">
        <v>13</v>
      </c>
    </row>
    <row r="362" spans="1:12" x14ac:dyDescent="0.25">
      <c r="A362" s="3" t="str">
        <f t="shared" si="5"/>
        <v>APP361</v>
      </c>
      <c r="B362" s="3">
        <v>49</v>
      </c>
      <c r="C362" s="3">
        <v>499277</v>
      </c>
      <c r="D362" s="3" t="s">
        <v>12</v>
      </c>
      <c r="E362" s="3">
        <v>17</v>
      </c>
      <c r="F362" s="3">
        <v>868</v>
      </c>
      <c r="G362" s="3">
        <v>1</v>
      </c>
      <c r="H362" s="3">
        <v>1562296</v>
      </c>
      <c r="I362" s="3">
        <v>16</v>
      </c>
      <c r="J362" s="3">
        <v>45912</v>
      </c>
      <c r="K362" s="3">
        <v>6716629</v>
      </c>
      <c r="L362" s="3" t="s">
        <v>15</v>
      </c>
    </row>
    <row r="363" spans="1:12" x14ac:dyDescent="0.25">
      <c r="A363" s="3" t="str">
        <f t="shared" si="5"/>
        <v>APP362</v>
      </c>
      <c r="B363" s="3">
        <v>42</v>
      </c>
      <c r="C363" s="3">
        <v>1699072</v>
      </c>
      <c r="D363" s="3" t="s">
        <v>12</v>
      </c>
      <c r="E363" s="3">
        <v>29</v>
      </c>
      <c r="F363" s="3">
        <v>634</v>
      </c>
      <c r="G363" s="3">
        <v>4</v>
      </c>
      <c r="H363" s="3">
        <v>653782</v>
      </c>
      <c r="I363" s="3">
        <v>17</v>
      </c>
      <c r="J363" s="3">
        <v>79331</v>
      </c>
      <c r="K363" s="3">
        <v>3075861</v>
      </c>
      <c r="L363" s="3" t="s">
        <v>13</v>
      </c>
    </row>
    <row r="364" spans="1:12" x14ac:dyDescent="0.25">
      <c r="A364" s="3" t="str">
        <f t="shared" si="5"/>
        <v>APP363</v>
      </c>
      <c r="B364" s="3">
        <v>45</v>
      </c>
      <c r="C364" s="3">
        <v>1265817</v>
      </c>
      <c r="D364" s="3" t="s">
        <v>12</v>
      </c>
      <c r="E364" s="3">
        <v>9</v>
      </c>
      <c r="F364" s="3">
        <v>839</v>
      </c>
      <c r="G364" s="3">
        <v>1</v>
      </c>
      <c r="H364" s="3">
        <v>1902190</v>
      </c>
      <c r="I364" s="3">
        <v>12</v>
      </c>
      <c r="J364" s="3">
        <v>25486</v>
      </c>
      <c r="K364" s="3">
        <v>3588357</v>
      </c>
      <c r="L364" s="3" t="s">
        <v>13</v>
      </c>
    </row>
    <row r="365" spans="1:12" x14ac:dyDescent="0.25">
      <c r="A365" s="3" t="str">
        <f t="shared" si="5"/>
        <v>APP364</v>
      </c>
      <c r="B365" s="3">
        <v>60</v>
      </c>
      <c r="C365" s="3">
        <v>1724558</v>
      </c>
      <c r="D365" s="3" t="s">
        <v>12</v>
      </c>
      <c r="E365" s="3">
        <v>3</v>
      </c>
      <c r="F365" s="3">
        <v>791</v>
      </c>
      <c r="G365" s="3">
        <v>2</v>
      </c>
      <c r="H365" s="3">
        <v>3243538</v>
      </c>
      <c r="I365" s="3">
        <v>3</v>
      </c>
      <c r="J365" s="3">
        <v>52601</v>
      </c>
      <c r="K365" s="3">
        <v>7699301</v>
      </c>
      <c r="L365" s="3" t="s">
        <v>15</v>
      </c>
    </row>
    <row r="366" spans="1:12" x14ac:dyDescent="0.25">
      <c r="A366" s="3" t="str">
        <f t="shared" si="5"/>
        <v>APP365</v>
      </c>
      <c r="B366" s="3">
        <v>61</v>
      </c>
      <c r="C366" s="3">
        <v>1881535</v>
      </c>
      <c r="D366" s="3" t="s">
        <v>12</v>
      </c>
      <c r="E366" s="3">
        <v>1</v>
      </c>
      <c r="F366" s="3">
        <v>864</v>
      </c>
      <c r="G366" s="3">
        <v>1</v>
      </c>
      <c r="H366" s="3">
        <v>3800806</v>
      </c>
      <c r="I366" s="3">
        <v>20</v>
      </c>
      <c r="J366" s="3">
        <v>73060</v>
      </c>
      <c r="K366" s="3">
        <v>8104448</v>
      </c>
      <c r="L366" s="3" t="s">
        <v>13</v>
      </c>
    </row>
    <row r="367" spans="1:12" x14ac:dyDescent="0.25">
      <c r="A367" s="3" t="str">
        <f t="shared" si="5"/>
        <v>APP366</v>
      </c>
      <c r="B367" s="3">
        <v>42</v>
      </c>
      <c r="C367" s="3">
        <v>497013</v>
      </c>
      <c r="D367" s="3" t="s">
        <v>16</v>
      </c>
      <c r="E367" s="3">
        <v>29</v>
      </c>
      <c r="F367" s="3">
        <v>774</v>
      </c>
      <c r="G367" s="3">
        <v>5</v>
      </c>
      <c r="H367" s="3">
        <v>2298991</v>
      </c>
      <c r="I367" s="3">
        <v>18</v>
      </c>
      <c r="J367" s="3">
        <v>1548</v>
      </c>
      <c r="K367" s="3">
        <v>2591081</v>
      </c>
      <c r="L367" s="3" t="s">
        <v>13</v>
      </c>
    </row>
    <row r="368" spans="1:12" x14ac:dyDescent="0.25">
      <c r="A368" s="3" t="str">
        <f t="shared" si="5"/>
        <v>APP367</v>
      </c>
      <c r="B368" s="3">
        <v>24</v>
      </c>
      <c r="C368" s="3">
        <v>532964</v>
      </c>
      <c r="D368" s="3" t="s">
        <v>12</v>
      </c>
      <c r="E368" s="3">
        <v>31</v>
      </c>
      <c r="F368" s="3">
        <v>751</v>
      </c>
      <c r="G368" s="3">
        <v>3</v>
      </c>
      <c r="H368" s="3">
        <v>1452134</v>
      </c>
      <c r="I368" s="3">
        <v>2</v>
      </c>
      <c r="J368" s="3">
        <v>50618</v>
      </c>
      <c r="K368" s="3">
        <v>4992945</v>
      </c>
      <c r="L368" s="3" t="s">
        <v>13</v>
      </c>
    </row>
    <row r="369" spans="1:12" x14ac:dyDescent="0.25">
      <c r="A369" s="3" t="str">
        <f t="shared" si="5"/>
        <v>APP368</v>
      </c>
      <c r="B369" s="3">
        <v>23</v>
      </c>
      <c r="C369" s="3">
        <v>701229</v>
      </c>
      <c r="D369" s="3" t="s">
        <v>14</v>
      </c>
      <c r="E369" s="3">
        <v>6</v>
      </c>
      <c r="F369" s="3">
        <v>598</v>
      </c>
      <c r="G369" s="3">
        <v>0</v>
      </c>
      <c r="H369" s="3">
        <v>575921</v>
      </c>
      <c r="I369" s="3">
        <v>12</v>
      </c>
      <c r="J369" s="3">
        <v>29127</v>
      </c>
      <c r="K369" s="3">
        <v>4714711</v>
      </c>
      <c r="L369" s="3" t="s">
        <v>13</v>
      </c>
    </row>
    <row r="370" spans="1:12" x14ac:dyDescent="0.25">
      <c r="A370" s="3" t="str">
        <f t="shared" si="5"/>
        <v>APP369</v>
      </c>
      <c r="B370" s="3">
        <v>56</v>
      </c>
      <c r="C370" s="3">
        <v>2486498</v>
      </c>
      <c r="D370" s="3" t="s">
        <v>12</v>
      </c>
      <c r="E370" s="3">
        <v>19</v>
      </c>
      <c r="F370" s="3">
        <v>362</v>
      </c>
      <c r="G370" s="3">
        <v>0</v>
      </c>
      <c r="H370" s="3">
        <v>610377</v>
      </c>
      <c r="I370" s="3">
        <v>27</v>
      </c>
      <c r="J370" s="3">
        <v>58458</v>
      </c>
      <c r="K370" s="3">
        <v>7969756</v>
      </c>
      <c r="L370" s="3" t="s">
        <v>13</v>
      </c>
    </row>
    <row r="371" spans="1:12" x14ac:dyDescent="0.25">
      <c r="A371" s="3" t="str">
        <f t="shared" si="5"/>
        <v>APP370</v>
      </c>
      <c r="B371" s="3">
        <v>55</v>
      </c>
      <c r="C371" s="3">
        <v>1265663</v>
      </c>
      <c r="D371" s="3" t="s">
        <v>14</v>
      </c>
      <c r="E371" s="3">
        <v>17</v>
      </c>
      <c r="F371" s="3">
        <v>642</v>
      </c>
      <c r="G371" s="3">
        <v>5</v>
      </c>
      <c r="H371" s="3">
        <v>3840491</v>
      </c>
      <c r="I371" s="3">
        <v>28</v>
      </c>
      <c r="J371" s="3">
        <v>56506</v>
      </c>
      <c r="K371" s="3">
        <v>5620261</v>
      </c>
      <c r="L371" s="3" t="s">
        <v>13</v>
      </c>
    </row>
    <row r="372" spans="1:12" x14ac:dyDescent="0.25">
      <c r="A372" s="3" t="str">
        <f t="shared" si="5"/>
        <v>APP371</v>
      </c>
      <c r="B372" s="3">
        <v>43</v>
      </c>
      <c r="C372" s="3">
        <v>1602508</v>
      </c>
      <c r="D372" s="3" t="s">
        <v>16</v>
      </c>
      <c r="E372" s="3">
        <v>32</v>
      </c>
      <c r="F372" s="3">
        <v>799</v>
      </c>
      <c r="G372" s="3">
        <v>5</v>
      </c>
      <c r="H372" s="3">
        <v>3616043</v>
      </c>
      <c r="I372" s="3">
        <v>3</v>
      </c>
      <c r="J372" s="3">
        <v>44592</v>
      </c>
      <c r="K372" s="3">
        <v>7457762</v>
      </c>
      <c r="L372" s="3" t="s">
        <v>13</v>
      </c>
    </row>
    <row r="373" spans="1:12" x14ac:dyDescent="0.25">
      <c r="A373" s="3" t="str">
        <f t="shared" si="5"/>
        <v>APP372</v>
      </c>
      <c r="B373" s="3">
        <v>60</v>
      </c>
      <c r="C373" s="3">
        <v>2394822</v>
      </c>
      <c r="D373" s="3" t="s">
        <v>14</v>
      </c>
      <c r="E373" s="3">
        <v>14</v>
      </c>
      <c r="F373" s="3">
        <v>887</v>
      </c>
      <c r="G373" s="3">
        <v>2</v>
      </c>
      <c r="H373" s="3">
        <v>652656</v>
      </c>
      <c r="I373" s="3">
        <v>16</v>
      </c>
      <c r="J373" s="3">
        <v>58692</v>
      </c>
      <c r="K373" s="3">
        <v>2463334</v>
      </c>
      <c r="L373" s="3" t="s">
        <v>13</v>
      </c>
    </row>
    <row r="374" spans="1:12" x14ac:dyDescent="0.25">
      <c r="A374" s="3" t="str">
        <f t="shared" si="5"/>
        <v>APP373</v>
      </c>
      <c r="B374" s="3">
        <v>33</v>
      </c>
      <c r="C374" s="3">
        <v>508293</v>
      </c>
      <c r="D374" s="3" t="s">
        <v>16</v>
      </c>
      <c r="E374" s="3">
        <v>15</v>
      </c>
      <c r="F374" s="3">
        <v>370</v>
      </c>
      <c r="G374" s="3">
        <v>0</v>
      </c>
      <c r="H374" s="3">
        <v>964219</v>
      </c>
      <c r="I374" s="3">
        <v>12</v>
      </c>
      <c r="J374" s="3">
        <v>73770</v>
      </c>
      <c r="K374" s="3">
        <v>4056385</v>
      </c>
      <c r="L374" s="3" t="s">
        <v>13</v>
      </c>
    </row>
    <row r="375" spans="1:12" x14ac:dyDescent="0.25">
      <c r="A375" s="3" t="str">
        <f t="shared" si="5"/>
        <v>APP374</v>
      </c>
      <c r="B375" s="3">
        <v>64</v>
      </c>
      <c r="C375" s="3">
        <v>539023</v>
      </c>
      <c r="D375" s="3" t="s">
        <v>16</v>
      </c>
      <c r="E375" s="3">
        <v>27</v>
      </c>
      <c r="F375" s="3">
        <v>565</v>
      </c>
      <c r="G375" s="3">
        <v>3</v>
      </c>
      <c r="H375" s="3">
        <v>3450455</v>
      </c>
      <c r="I375" s="3">
        <v>30</v>
      </c>
      <c r="J375" s="3">
        <v>56162</v>
      </c>
      <c r="K375" s="3">
        <v>6061798</v>
      </c>
      <c r="L375" s="3" t="s">
        <v>13</v>
      </c>
    </row>
    <row r="376" spans="1:12" x14ac:dyDescent="0.25">
      <c r="A376" s="3" t="str">
        <f t="shared" si="5"/>
        <v>APP375</v>
      </c>
      <c r="B376" s="3">
        <v>54</v>
      </c>
      <c r="C376" s="3">
        <v>1287396</v>
      </c>
      <c r="D376" s="3" t="s">
        <v>14</v>
      </c>
      <c r="E376" s="3">
        <v>7</v>
      </c>
      <c r="F376" s="3">
        <v>602</v>
      </c>
      <c r="G376" s="3">
        <v>2</v>
      </c>
      <c r="H376" s="3">
        <v>1747584</v>
      </c>
      <c r="I376" s="3">
        <v>29</v>
      </c>
      <c r="J376" s="3">
        <v>67568</v>
      </c>
      <c r="K376" s="3">
        <v>2947717</v>
      </c>
      <c r="L376" s="3" t="s">
        <v>13</v>
      </c>
    </row>
    <row r="377" spans="1:12" x14ac:dyDescent="0.25">
      <c r="A377" s="3" t="str">
        <f t="shared" si="5"/>
        <v>APP376</v>
      </c>
      <c r="B377" s="3">
        <v>45</v>
      </c>
      <c r="C377" s="3">
        <v>1438716</v>
      </c>
      <c r="D377" s="3" t="s">
        <v>16</v>
      </c>
      <c r="E377" s="3">
        <v>11</v>
      </c>
      <c r="F377" s="3">
        <v>525</v>
      </c>
      <c r="G377" s="3">
        <v>2</v>
      </c>
      <c r="H377" s="3">
        <v>3482550</v>
      </c>
      <c r="I377" s="3">
        <v>26</v>
      </c>
      <c r="J377" s="3">
        <v>21205</v>
      </c>
      <c r="K377" s="3">
        <v>9261401</v>
      </c>
      <c r="L377" s="3" t="s">
        <v>13</v>
      </c>
    </row>
    <row r="378" spans="1:12" x14ac:dyDescent="0.25">
      <c r="A378" s="3" t="str">
        <f t="shared" si="5"/>
        <v>APP377</v>
      </c>
      <c r="B378" s="3">
        <v>64</v>
      </c>
      <c r="C378" s="3">
        <v>617478</v>
      </c>
      <c r="D378" s="3" t="s">
        <v>14</v>
      </c>
      <c r="E378" s="3">
        <v>19</v>
      </c>
      <c r="F378" s="3">
        <v>694</v>
      </c>
      <c r="G378" s="3">
        <v>2</v>
      </c>
      <c r="H378" s="3">
        <v>4157605</v>
      </c>
      <c r="I378" s="3">
        <v>30</v>
      </c>
      <c r="J378" s="3">
        <v>33765</v>
      </c>
      <c r="K378" s="3">
        <v>5476087</v>
      </c>
      <c r="L378" s="3" t="s">
        <v>13</v>
      </c>
    </row>
    <row r="379" spans="1:12" x14ac:dyDescent="0.25">
      <c r="A379" s="3" t="str">
        <f t="shared" si="5"/>
        <v>APP378</v>
      </c>
      <c r="B379" s="3">
        <v>62</v>
      </c>
      <c r="C379" s="3">
        <v>565750</v>
      </c>
      <c r="D379" s="3" t="s">
        <v>16</v>
      </c>
      <c r="E379" s="3">
        <v>22</v>
      </c>
      <c r="F379" s="3">
        <v>867</v>
      </c>
      <c r="G379" s="3">
        <v>0</v>
      </c>
      <c r="H379" s="3">
        <v>2572495</v>
      </c>
      <c r="I379" s="3">
        <v>12</v>
      </c>
      <c r="J379" s="3">
        <v>16816</v>
      </c>
      <c r="K379" s="3">
        <v>3031365</v>
      </c>
      <c r="L379" s="3" t="s">
        <v>13</v>
      </c>
    </row>
    <row r="380" spans="1:12" x14ac:dyDescent="0.25">
      <c r="A380" s="3" t="str">
        <f t="shared" si="5"/>
        <v>APP379</v>
      </c>
      <c r="B380" s="3">
        <v>62</v>
      </c>
      <c r="C380" s="3">
        <v>1086414</v>
      </c>
      <c r="D380" s="3" t="s">
        <v>12</v>
      </c>
      <c r="E380" s="3">
        <v>15</v>
      </c>
      <c r="F380" s="3">
        <v>330</v>
      </c>
      <c r="G380" s="3">
        <v>4</v>
      </c>
      <c r="H380" s="3">
        <v>1933019</v>
      </c>
      <c r="I380" s="3">
        <v>22</v>
      </c>
      <c r="J380" s="3">
        <v>77555</v>
      </c>
      <c r="K380" s="3">
        <v>3290418</v>
      </c>
      <c r="L380" s="3" t="s">
        <v>15</v>
      </c>
    </row>
    <row r="381" spans="1:12" x14ac:dyDescent="0.25">
      <c r="A381" s="3" t="str">
        <f t="shared" si="5"/>
        <v>APP380</v>
      </c>
      <c r="B381" s="3">
        <v>26</v>
      </c>
      <c r="C381" s="3">
        <v>2309913</v>
      </c>
      <c r="D381" s="3" t="s">
        <v>12</v>
      </c>
      <c r="E381" s="3">
        <v>15</v>
      </c>
      <c r="F381" s="3">
        <v>399</v>
      </c>
      <c r="G381" s="3">
        <v>5</v>
      </c>
      <c r="H381" s="3">
        <v>3743070</v>
      </c>
      <c r="I381" s="3">
        <v>12</v>
      </c>
      <c r="J381" s="3">
        <v>34673</v>
      </c>
      <c r="K381" s="3">
        <v>1620590</v>
      </c>
      <c r="L381" s="3" t="s">
        <v>13</v>
      </c>
    </row>
    <row r="382" spans="1:12" x14ac:dyDescent="0.25">
      <c r="A382" s="3" t="str">
        <f t="shared" si="5"/>
        <v>APP381</v>
      </c>
      <c r="B382" s="3">
        <v>25</v>
      </c>
      <c r="C382" s="3">
        <v>515138</v>
      </c>
      <c r="D382" s="3" t="s">
        <v>14</v>
      </c>
      <c r="E382" s="3">
        <v>17</v>
      </c>
      <c r="F382" s="3">
        <v>777</v>
      </c>
      <c r="G382" s="3">
        <v>4</v>
      </c>
      <c r="H382" s="3">
        <v>3712730</v>
      </c>
      <c r="I382" s="3">
        <v>9</v>
      </c>
      <c r="J382" s="3">
        <v>17986</v>
      </c>
      <c r="K382" s="3">
        <v>2027541</v>
      </c>
      <c r="L382" s="3" t="s">
        <v>13</v>
      </c>
    </row>
    <row r="383" spans="1:12" x14ac:dyDescent="0.25">
      <c r="A383" s="3" t="str">
        <f t="shared" si="5"/>
        <v>APP382</v>
      </c>
      <c r="B383" s="3">
        <v>36</v>
      </c>
      <c r="C383" s="3">
        <v>2434067</v>
      </c>
      <c r="D383" s="3" t="s">
        <v>16</v>
      </c>
      <c r="E383" s="3">
        <v>8</v>
      </c>
      <c r="F383" s="3">
        <v>582</v>
      </c>
      <c r="G383" s="3">
        <v>3</v>
      </c>
      <c r="H383" s="3">
        <v>2280053</v>
      </c>
      <c r="I383" s="3">
        <v>21</v>
      </c>
      <c r="J383" s="3">
        <v>8446</v>
      </c>
      <c r="K383" s="3">
        <v>5497466</v>
      </c>
      <c r="L383" s="3" t="s">
        <v>13</v>
      </c>
    </row>
    <row r="384" spans="1:12" x14ac:dyDescent="0.25">
      <c r="A384" s="3" t="str">
        <f t="shared" si="5"/>
        <v>APP383</v>
      </c>
      <c r="B384" s="3">
        <v>38</v>
      </c>
      <c r="C384" s="3">
        <v>2349405</v>
      </c>
      <c r="D384" s="3" t="s">
        <v>14</v>
      </c>
      <c r="E384" s="3">
        <v>0</v>
      </c>
      <c r="F384" s="3">
        <v>509</v>
      </c>
      <c r="G384" s="3">
        <v>3</v>
      </c>
      <c r="H384" s="3">
        <v>3094638</v>
      </c>
      <c r="I384" s="3">
        <v>29</v>
      </c>
      <c r="J384" s="3">
        <v>18898</v>
      </c>
      <c r="K384" s="3">
        <v>6752095</v>
      </c>
      <c r="L384" s="3" t="s">
        <v>13</v>
      </c>
    </row>
    <row r="385" spans="1:12" x14ac:dyDescent="0.25">
      <c r="A385" s="3" t="str">
        <f t="shared" si="5"/>
        <v>APP384</v>
      </c>
      <c r="B385" s="3">
        <v>65</v>
      </c>
      <c r="C385" s="3">
        <v>964596</v>
      </c>
      <c r="D385" s="3" t="s">
        <v>12</v>
      </c>
      <c r="E385" s="3">
        <v>26</v>
      </c>
      <c r="F385" s="3">
        <v>495</v>
      </c>
      <c r="G385" s="3">
        <v>1</v>
      </c>
      <c r="H385" s="3">
        <v>1674631</v>
      </c>
      <c r="I385" s="3">
        <v>5</v>
      </c>
      <c r="J385" s="3">
        <v>30604</v>
      </c>
      <c r="K385" s="3">
        <v>8283077</v>
      </c>
      <c r="L385" s="3" t="s">
        <v>13</v>
      </c>
    </row>
    <row r="386" spans="1:12" x14ac:dyDescent="0.25">
      <c r="A386" s="3" t="str">
        <f t="shared" si="5"/>
        <v>APP385</v>
      </c>
      <c r="B386" s="3">
        <v>40</v>
      </c>
      <c r="C386" s="3">
        <v>2359786</v>
      </c>
      <c r="D386" s="3" t="s">
        <v>12</v>
      </c>
      <c r="E386" s="3">
        <v>28</v>
      </c>
      <c r="F386" s="3">
        <v>422</v>
      </c>
      <c r="G386" s="3">
        <v>5</v>
      </c>
      <c r="H386" s="3">
        <v>4394258</v>
      </c>
      <c r="I386" s="3">
        <v>15</v>
      </c>
      <c r="J386" s="3">
        <v>79468</v>
      </c>
      <c r="K386" s="3">
        <v>5234401</v>
      </c>
      <c r="L386" s="3" t="s">
        <v>13</v>
      </c>
    </row>
    <row r="387" spans="1:12" x14ac:dyDescent="0.25">
      <c r="A387" s="3" t="str">
        <f t="shared" ref="A387:A450" si="6">"APP"&amp;TEXT(ROW()-1,"000")</f>
        <v>APP386</v>
      </c>
      <c r="B387" s="3">
        <v>44</v>
      </c>
      <c r="C387" s="3">
        <v>2418490</v>
      </c>
      <c r="D387" s="3" t="s">
        <v>16</v>
      </c>
      <c r="E387" s="3">
        <v>20</v>
      </c>
      <c r="F387" s="3">
        <v>719</v>
      </c>
      <c r="G387" s="3">
        <v>5</v>
      </c>
      <c r="H387" s="3">
        <v>3294498</v>
      </c>
      <c r="I387" s="3">
        <v>6</v>
      </c>
      <c r="J387" s="3">
        <v>45186</v>
      </c>
      <c r="K387" s="3">
        <v>8680629</v>
      </c>
      <c r="L387" s="3" t="s">
        <v>13</v>
      </c>
    </row>
    <row r="388" spans="1:12" x14ac:dyDescent="0.25">
      <c r="A388" s="3" t="str">
        <f t="shared" si="6"/>
        <v>APP387</v>
      </c>
      <c r="B388" s="3">
        <v>24</v>
      </c>
      <c r="C388" s="3">
        <v>170594</v>
      </c>
      <c r="D388" s="3" t="s">
        <v>12</v>
      </c>
      <c r="E388" s="3">
        <v>3</v>
      </c>
      <c r="F388" s="3">
        <v>446</v>
      </c>
      <c r="G388" s="3">
        <v>3</v>
      </c>
      <c r="H388" s="3">
        <v>1582298</v>
      </c>
      <c r="I388" s="3">
        <v>8</v>
      </c>
      <c r="J388" s="3">
        <v>33278</v>
      </c>
      <c r="K388" s="3">
        <v>5669763</v>
      </c>
      <c r="L388" s="3" t="s">
        <v>13</v>
      </c>
    </row>
    <row r="389" spans="1:12" x14ac:dyDescent="0.25">
      <c r="A389" s="3" t="str">
        <f t="shared" si="6"/>
        <v>APP388</v>
      </c>
      <c r="B389" s="3">
        <v>47</v>
      </c>
      <c r="C389" s="3">
        <v>1197209</v>
      </c>
      <c r="D389" s="3" t="s">
        <v>12</v>
      </c>
      <c r="E389" s="3">
        <v>6</v>
      </c>
      <c r="F389" s="3">
        <v>446</v>
      </c>
      <c r="G389" s="3">
        <v>0</v>
      </c>
      <c r="H389" s="3">
        <v>4155186</v>
      </c>
      <c r="I389" s="3">
        <v>10</v>
      </c>
      <c r="J389" s="3">
        <v>546</v>
      </c>
      <c r="K389" s="3">
        <v>6772462</v>
      </c>
      <c r="L389" s="3" t="s">
        <v>13</v>
      </c>
    </row>
    <row r="390" spans="1:12" x14ac:dyDescent="0.25">
      <c r="A390" s="3" t="str">
        <f t="shared" si="6"/>
        <v>APP389</v>
      </c>
      <c r="B390" s="3">
        <v>29</v>
      </c>
      <c r="C390" s="3">
        <v>1076407</v>
      </c>
      <c r="D390" s="3" t="s">
        <v>16</v>
      </c>
      <c r="E390" s="3">
        <v>35</v>
      </c>
      <c r="F390" s="3">
        <v>839</v>
      </c>
      <c r="G390" s="3">
        <v>5</v>
      </c>
      <c r="H390" s="3">
        <v>2646697</v>
      </c>
      <c r="I390" s="3">
        <v>17</v>
      </c>
      <c r="J390" s="3">
        <v>39196</v>
      </c>
      <c r="K390" s="3">
        <v>3698760</v>
      </c>
      <c r="L390" s="3" t="s">
        <v>15</v>
      </c>
    </row>
    <row r="391" spans="1:12" x14ac:dyDescent="0.25">
      <c r="A391" s="3" t="str">
        <f t="shared" si="6"/>
        <v>APP390</v>
      </c>
      <c r="B391" s="3">
        <v>28</v>
      </c>
      <c r="C391" s="3">
        <v>320437</v>
      </c>
      <c r="D391" s="3" t="s">
        <v>16</v>
      </c>
      <c r="E391" s="3">
        <v>15</v>
      </c>
      <c r="F391" s="3">
        <v>425</v>
      </c>
      <c r="G391" s="3">
        <v>4</v>
      </c>
      <c r="H391" s="3">
        <v>4983664</v>
      </c>
      <c r="I391" s="3">
        <v>2</v>
      </c>
      <c r="J391" s="3">
        <v>20977</v>
      </c>
      <c r="K391" s="3">
        <v>2805773</v>
      </c>
      <c r="L391" s="3" t="s">
        <v>15</v>
      </c>
    </row>
    <row r="392" spans="1:12" x14ac:dyDescent="0.25">
      <c r="A392" s="3" t="str">
        <f t="shared" si="6"/>
        <v>APP391</v>
      </c>
      <c r="B392" s="3">
        <v>48</v>
      </c>
      <c r="C392" s="3">
        <v>947462</v>
      </c>
      <c r="D392" s="3" t="s">
        <v>14</v>
      </c>
      <c r="E392" s="3">
        <v>32</v>
      </c>
      <c r="F392" s="3">
        <v>472</v>
      </c>
      <c r="G392" s="3">
        <v>3</v>
      </c>
      <c r="H392" s="3">
        <v>3688495</v>
      </c>
      <c r="I392" s="3">
        <v>11</v>
      </c>
      <c r="J392" s="3">
        <v>39206</v>
      </c>
      <c r="K392" s="3">
        <v>8925712</v>
      </c>
      <c r="L392" s="3" t="s">
        <v>13</v>
      </c>
    </row>
    <row r="393" spans="1:12" x14ac:dyDescent="0.25">
      <c r="A393" s="3" t="str">
        <f t="shared" si="6"/>
        <v>APP392</v>
      </c>
      <c r="B393" s="3">
        <v>30</v>
      </c>
      <c r="C393" s="3">
        <v>1692921</v>
      </c>
      <c r="D393" s="3" t="s">
        <v>16</v>
      </c>
      <c r="E393" s="3">
        <v>8</v>
      </c>
      <c r="F393" s="3">
        <v>588</v>
      </c>
      <c r="G393" s="3">
        <v>3</v>
      </c>
      <c r="H393" s="3">
        <v>491297</v>
      </c>
      <c r="I393" s="3">
        <v>7</v>
      </c>
      <c r="J393" s="3">
        <v>30142</v>
      </c>
      <c r="K393" s="3">
        <v>8343212</v>
      </c>
      <c r="L393" s="3" t="s">
        <v>13</v>
      </c>
    </row>
    <row r="394" spans="1:12" x14ac:dyDescent="0.25">
      <c r="A394" s="3" t="str">
        <f t="shared" si="6"/>
        <v>APP393</v>
      </c>
      <c r="B394" s="3">
        <v>29</v>
      </c>
      <c r="C394" s="3">
        <v>885734</v>
      </c>
      <c r="D394" s="3" t="s">
        <v>14</v>
      </c>
      <c r="E394" s="3">
        <v>14</v>
      </c>
      <c r="F394" s="3">
        <v>822</v>
      </c>
      <c r="G394" s="3">
        <v>2</v>
      </c>
      <c r="H394" s="3">
        <v>4129964</v>
      </c>
      <c r="I394" s="3">
        <v>28</v>
      </c>
      <c r="J394" s="3">
        <v>20941</v>
      </c>
      <c r="K394" s="3">
        <v>6222993</v>
      </c>
      <c r="L394" s="3" t="s">
        <v>15</v>
      </c>
    </row>
    <row r="395" spans="1:12" x14ac:dyDescent="0.25">
      <c r="A395" s="3" t="str">
        <f t="shared" si="6"/>
        <v>APP394</v>
      </c>
      <c r="B395" s="3">
        <v>21</v>
      </c>
      <c r="C395" s="3">
        <v>875217</v>
      </c>
      <c r="D395" s="3" t="s">
        <v>12</v>
      </c>
      <c r="E395" s="3">
        <v>9</v>
      </c>
      <c r="F395" s="3">
        <v>648</v>
      </c>
      <c r="G395" s="3">
        <v>3</v>
      </c>
      <c r="H395" s="3">
        <v>1348980</v>
      </c>
      <c r="I395" s="3">
        <v>18</v>
      </c>
      <c r="J395" s="3">
        <v>30926</v>
      </c>
      <c r="K395" s="3">
        <v>8909116</v>
      </c>
      <c r="L395" s="3" t="s">
        <v>13</v>
      </c>
    </row>
    <row r="396" spans="1:12" x14ac:dyDescent="0.25">
      <c r="A396" s="3" t="str">
        <f t="shared" si="6"/>
        <v>APP395</v>
      </c>
      <c r="B396" s="3">
        <v>47</v>
      </c>
      <c r="C396" s="3">
        <v>1339571</v>
      </c>
      <c r="D396" s="3" t="s">
        <v>16</v>
      </c>
      <c r="E396" s="3">
        <v>18</v>
      </c>
      <c r="F396" s="3">
        <v>398</v>
      </c>
      <c r="G396" s="3">
        <v>1</v>
      </c>
      <c r="H396" s="3">
        <v>4064579</v>
      </c>
      <c r="I396" s="3">
        <v>4</v>
      </c>
      <c r="J396" s="3">
        <v>6316</v>
      </c>
      <c r="K396" s="3">
        <v>1588021</v>
      </c>
      <c r="L396" s="3" t="s">
        <v>15</v>
      </c>
    </row>
    <row r="397" spans="1:12" x14ac:dyDescent="0.25">
      <c r="A397" s="3" t="str">
        <f t="shared" si="6"/>
        <v>APP396</v>
      </c>
      <c r="B397" s="3">
        <v>51</v>
      </c>
      <c r="C397" s="3">
        <v>2007699</v>
      </c>
      <c r="D397" s="3" t="s">
        <v>16</v>
      </c>
      <c r="E397" s="3">
        <v>0</v>
      </c>
      <c r="F397" s="3">
        <v>373</v>
      </c>
      <c r="G397" s="3">
        <v>2</v>
      </c>
      <c r="H397" s="3">
        <v>910414</v>
      </c>
      <c r="I397" s="3">
        <v>8</v>
      </c>
      <c r="J397" s="3">
        <v>39319</v>
      </c>
      <c r="K397" s="3">
        <v>524868</v>
      </c>
      <c r="L397" s="3" t="s">
        <v>13</v>
      </c>
    </row>
    <row r="398" spans="1:12" x14ac:dyDescent="0.25">
      <c r="A398" s="3" t="str">
        <f t="shared" si="6"/>
        <v>APP397</v>
      </c>
      <c r="B398" s="3">
        <v>38</v>
      </c>
      <c r="C398" s="3">
        <v>830830</v>
      </c>
      <c r="D398" s="3" t="s">
        <v>16</v>
      </c>
      <c r="E398" s="3">
        <v>11</v>
      </c>
      <c r="F398" s="3">
        <v>761</v>
      </c>
      <c r="G398" s="3">
        <v>1</v>
      </c>
      <c r="H398" s="3">
        <v>1123907</v>
      </c>
      <c r="I398" s="3">
        <v>14</v>
      </c>
      <c r="J398" s="3">
        <v>2522</v>
      </c>
      <c r="K398" s="3">
        <v>3884356</v>
      </c>
      <c r="L398" s="3" t="s">
        <v>13</v>
      </c>
    </row>
    <row r="399" spans="1:12" x14ac:dyDescent="0.25">
      <c r="A399" s="3" t="str">
        <f t="shared" si="6"/>
        <v>APP398</v>
      </c>
      <c r="B399" s="3">
        <v>55</v>
      </c>
      <c r="C399" s="3">
        <v>1210462</v>
      </c>
      <c r="D399" s="3" t="s">
        <v>12</v>
      </c>
      <c r="E399" s="3">
        <v>35</v>
      </c>
      <c r="F399" s="3">
        <v>745</v>
      </c>
      <c r="G399" s="3">
        <v>5</v>
      </c>
      <c r="H399" s="3">
        <v>4783892</v>
      </c>
      <c r="I399" s="3">
        <v>24</v>
      </c>
      <c r="J399" s="3">
        <v>64696</v>
      </c>
      <c r="K399" s="3">
        <v>5033536</v>
      </c>
      <c r="L399" s="3" t="s">
        <v>13</v>
      </c>
    </row>
    <row r="400" spans="1:12" x14ac:dyDescent="0.25">
      <c r="A400" s="3" t="str">
        <f t="shared" si="6"/>
        <v>APP399</v>
      </c>
      <c r="B400" s="3">
        <v>25</v>
      </c>
      <c r="C400" s="3">
        <v>2466631</v>
      </c>
      <c r="D400" s="3" t="s">
        <v>14</v>
      </c>
      <c r="E400" s="3">
        <v>32</v>
      </c>
      <c r="F400" s="3">
        <v>780</v>
      </c>
      <c r="G400" s="3">
        <v>0</v>
      </c>
      <c r="H400" s="3">
        <v>3412602</v>
      </c>
      <c r="I400" s="3">
        <v>17</v>
      </c>
      <c r="J400" s="3">
        <v>44693</v>
      </c>
      <c r="K400" s="3">
        <v>1630363</v>
      </c>
      <c r="L400" s="3" t="s">
        <v>13</v>
      </c>
    </row>
    <row r="401" spans="1:12" x14ac:dyDescent="0.25">
      <c r="A401" s="3" t="str">
        <f t="shared" si="6"/>
        <v>APP400</v>
      </c>
      <c r="B401" s="3">
        <v>31</v>
      </c>
      <c r="C401" s="3">
        <v>1569362</v>
      </c>
      <c r="D401" s="3" t="s">
        <v>14</v>
      </c>
      <c r="E401" s="3">
        <v>3</v>
      </c>
      <c r="F401" s="3">
        <v>830</v>
      </c>
      <c r="G401" s="3">
        <v>4</v>
      </c>
      <c r="H401" s="3">
        <v>2258906</v>
      </c>
      <c r="I401" s="3">
        <v>20</v>
      </c>
      <c r="J401" s="3">
        <v>12348</v>
      </c>
      <c r="K401" s="3">
        <v>5518806</v>
      </c>
      <c r="L401" s="3" t="s">
        <v>13</v>
      </c>
    </row>
    <row r="402" spans="1:12" x14ac:dyDescent="0.25">
      <c r="A402" s="3" t="str">
        <f t="shared" si="6"/>
        <v>APP401</v>
      </c>
      <c r="B402" s="3">
        <v>36</v>
      </c>
      <c r="C402" s="3">
        <v>408582</v>
      </c>
      <c r="D402" s="3" t="s">
        <v>12</v>
      </c>
      <c r="E402" s="3">
        <v>15</v>
      </c>
      <c r="F402" s="3">
        <v>358</v>
      </c>
      <c r="G402" s="3">
        <v>1</v>
      </c>
      <c r="H402" s="3">
        <v>2349037</v>
      </c>
      <c r="I402" s="3">
        <v>3</v>
      </c>
      <c r="J402" s="3">
        <v>38183</v>
      </c>
      <c r="K402" s="3">
        <v>2777216</v>
      </c>
      <c r="L402" s="3" t="s">
        <v>13</v>
      </c>
    </row>
    <row r="403" spans="1:12" x14ac:dyDescent="0.25">
      <c r="A403" s="3" t="str">
        <f t="shared" si="6"/>
        <v>APP402</v>
      </c>
      <c r="B403" s="3">
        <v>31</v>
      </c>
      <c r="C403" s="3">
        <v>1180281</v>
      </c>
      <c r="D403" s="3" t="s">
        <v>12</v>
      </c>
      <c r="E403" s="3">
        <v>4</v>
      </c>
      <c r="F403" s="3">
        <v>600</v>
      </c>
      <c r="G403" s="3">
        <v>2</v>
      </c>
      <c r="H403" s="3">
        <v>2120093</v>
      </c>
      <c r="I403" s="3">
        <v>25</v>
      </c>
      <c r="J403" s="3">
        <v>2813</v>
      </c>
      <c r="K403" s="3">
        <v>9001406</v>
      </c>
      <c r="L403" s="3" t="s">
        <v>15</v>
      </c>
    </row>
    <row r="404" spans="1:12" x14ac:dyDescent="0.25">
      <c r="A404" s="3" t="str">
        <f t="shared" si="6"/>
        <v>APP403</v>
      </c>
      <c r="B404" s="3">
        <v>60</v>
      </c>
      <c r="C404" s="3">
        <v>2018891</v>
      </c>
      <c r="D404" s="3" t="s">
        <v>14</v>
      </c>
      <c r="E404" s="3">
        <v>31</v>
      </c>
      <c r="F404" s="3">
        <v>330</v>
      </c>
      <c r="G404" s="3">
        <v>4</v>
      </c>
      <c r="H404" s="3">
        <v>3038560</v>
      </c>
      <c r="I404" s="3">
        <v>20</v>
      </c>
      <c r="J404" s="3">
        <v>7352</v>
      </c>
      <c r="K404" s="3">
        <v>3251069</v>
      </c>
      <c r="L404" s="3" t="s">
        <v>13</v>
      </c>
    </row>
    <row r="405" spans="1:12" x14ac:dyDescent="0.25">
      <c r="A405" s="3" t="str">
        <f t="shared" si="6"/>
        <v>APP404</v>
      </c>
      <c r="B405" s="3">
        <v>53</v>
      </c>
      <c r="C405" s="3">
        <v>616840</v>
      </c>
      <c r="D405" s="3" t="s">
        <v>14</v>
      </c>
      <c r="E405" s="3">
        <v>34</v>
      </c>
      <c r="F405" s="3">
        <v>374</v>
      </c>
      <c r="G405" s="3">
        <v>1</v>
      </c>
      <c r="H405" s="3">
        <v>2645032</v>
      </c>
      <c r="I405" s="3">
        <v>3</v>
      </c>
      <c r="J405" s="3">
        <v>64233</v>
      </c>
      <c r="K405" s="3">
        <v>7850983</v>
      </c>
      <c r="L405" s="3" t="s">
        <v>13</v>
      </c>
    </row>
    <row r="406" spans="1:12" x14ac:dyDescent="0.25">
      <c r="A406" s="3" t="str">
        <f t="shared" si="6"/>
        <v>APP405</v>
      </c>
      <c r="B406" s="3">
        <v>45</v>
      </c>
      <c r="C406" s="3">
        <v>299454</v>
      </c>
      <c r="D406" s="3" t="s">
        <v>14</v>
      </c>
      <c r="E406" s="3">
        <v>15</v>
      </c>
      <c r="F406" s="3">
        <v>760</v>
      </c>
      <c r="G406" s="3">
        <v>5</v>
      </c>
      <c r="H406" s="3">
        <v>1002303</v>
      </c>
      <c r="I406" s="3">
        <v>19</v>
      </c>
      <c r="J406" s="3">
        <v>40137</v>
      </c>
      <c r="K406" s="3">
        <v>4894790</v>
      </c>
      <c r="L406" s="3" t="s">
        <v>13</v>
      </c>
    </row>
    <row r="407" spans="1:12" x14ac:dyDescent="0.25">
      <c r="A407" s="3" t="str">
        <f t="shared" si="6"/>
        <v>APP406</v>
      </c>
      <c r="B407" s="3">
        <v>22</v>
      </c>
      <c r="C407" s="3">
        <v>2039177</v>
      </c>
      <c r="D407" s="3" t="s">
        <v>14</v>
      </c>
      <c r="E407" s="3">
        <v>1</v>
      </c>
      <c r="F407" s="3">
        <v>814</v>
      </c>
      <c r="G407" s="3">
        <v>1</v>
      </c>
      <c r="H407" s="3">
        <v>3684587</v>
      </c>
      <c r="I407" s="3">
        <v>26</v>
      </c>
      <c r="J407" s="3">
        <v>27936</v>
      </c>
      <c r="K407" s="3">
        <v>3133636</v>
      </c>
      <c r="L407" s="3" t="s">
        <v>13</v>
      </c>
    </row>
    <row r="408" spans="1:12" x14ac:dyDescent="0.25">
      <c r="A408" s="3" t="str">
        <f t="shared" si="6"/>
        <v>APP407</v>
      </c>
      <c r="B408" s="3">
        <v>39</v>
      </c>
      <c r="C408" s="3">
        <v>2077657</v>
      </c>
      <c r="D408" s="3" t="s">
        <v>14</v>
      </c>
      <c r="E408" s="3">
        <v>24</v>
      </c>
      <c r="F408" s="3">
        <v>518</v>
      </c>
      <c r="G408" s="3">
        <v>0</v>
      </c>
      <c r="H408" s="3">
        <v>4158902</v>
      </c>
      <c r="I408" s="3">
        <v>10</v>
      </c>
      <c r="J408" s="3">
        <v>63393</v>
      </c>
      <c r="K408" s="3">
        <v>9658603</v>
      </c>
      <c r="L408" s="3" t="s">
        <v>13</v>
      </c>
    </row>
    <row r="409" spans="1:12" x14ac:dyDescent="0.25">
      <c r="A409" s="3" t="str">
        <f t="shared" si="6"/>
        <v>APP408</v>
      </c>
      <c r="B409" s="3">
        <v>64</v>
      </c>
      <c r="C409" s="3">
        <v>2240068</v>
      </c>
      <c r="D409" s="3" t="s">
        <v>12</v>
      </c>
      <c r="E409" s="3">
        <v>21</v>
      </c>
      <c r="F409" s="3">
        <v>620</v>
      </c>
      <c r="G409" s="3">
        <v>1</v>
      </c>
      <c r="H409" s="3">
        <v>3846569</v>
      </c>
      <c r="I409" s="3">
        <v>9</v>
      </c>
      <c r="J409" s="3">
        <v>79543</v>
      </c>
      <c r="K409" s="3">
        <v>8317274</v>
      </c>
      <c r="L409" s="3" t="s">
        <v>13</v>
      </c>
    </row>
    <row r="410" spans="1:12" x14ac:dyDescent="0.25">
      <c r="A410" s="3" t="str">
        <f t="shared" si="6"/>
        <v>APP409</v>
      </c>
      <c r="B410" s="3">
        <v>52</v>
      </c>
      <c r="C410" s="3">
        <v>313884</v>
      </c>
      <c r="D410" s="3" t="s">
        <v>12</v>
      </c>
      <c r="E410" s="3">
        <v>5</v>
      </c>
      <c r="F410" s="3">
        <v>888</v>
      </c>
      <c r="G410" s="3">
        <v>2</v>
      </c>
      <c r="H410" s="3">
        <v>3302316</v>
      </c>
      <c r="I410" s="3">
        <v>24</v>
      </c>
      <c r="J410" s="3">
        <v>42051</v>
      </c>
      <c r="K410" s="3">
        <v>4341095</v>
      </c>
      <c r="L410" s="3" t="s">
        <v>13</v>
      </c>
    </row>
    <row r="411" spans="1:12" x14ac:dyDescent="0.25">
      <c r="A411" s="3" t="str">
        <f t="shared" si="6"/>
        <v>APP410</v>
      </c>
      <c r="B411" s="3">
        <v>50</v>
      </c>
      <c r="C411" s="3">
        <v>2252697</v>
      </c>
      <c r="D411" s="3" t="s">
        <v>12</v>
      </c>
      <c r="E411" s="3">
        <v>32</v>
      </c>
      <c r="F411" s="3">
        <v>825</v>
      </c>
      <c r="G411" s="3">
        <v>5</v>
      </c>
      <c r="H411" s="3">
        <v>4014617</v>
      </c>
      <c r="I411" s="3">
        <v>27</v>
      </c>
      <c r="J411" s="3">
        <v>33896</v>
      </c>
      <c r="K411" s="3">
        <v>5115374</v>
      </c>
      <c r="L411" s="3" t="s">
        <v>15</v>
      </c>
    </row>
    <row r="412" spans="1:12" x14ac:dyDescent="0.25">
      <c r="A412" s="3" t="str">
        <f t="shared" si="6"/>
        <v>APP411</v>
      </c>
      <c r="B412" s="3">
        <v>21</v>
      </c>
      <c r="C412" s="3">
        <v>2316952</v>
      </c>
      <c r="D412" s="3" t="s">
        <v>16</v>
      </c>
      <c r="E412" s="3">
        <v>12</v>
      </c>
      <c r="F412" s="3">
        <v>803</v>
      </c>
      <c r="G412" s="3">
        <v>5</v>
      </c>
      <c r="H412" s="3">
        <v>334542</v>
      </c>
      <c r="I412" s="3">
        <v>1</v>
      </c>
      <c r="J412" s="3">
        <v>53295</v>
      </c>
      <c r="K412" s="3">
        <v>9007896</v>
      </c>
      <c r="L412" s="3" t="s">
        <v>13</v>
      </c>
    </row>
    <row r="413" spans="1:12" x14ac:dyDescent="0.25">
      <c r="A413" s="3" t="str">
        <f t="shared" si="6"/>
        <v>APP412</v>
      </c>
      <c r="B413" s="3">
        <v>44</v>
      </c>
      <c r="C413" s="3">
        <v>369300</v>
      </c>
      <c r="D413" s="3" t="s">
        <v>14</v>
      </c>
      <c r="E413" s="3">
        <v>18</v>
      </c>
      <c r="F413" s="3">
        <v>655</v>
      </c>
      <c r="G413" s="3">
        <v>4</v>
      </c>
      <c r="H413" s="3">
        <v>898682</v>
      </c>
      <c r="I413" s="3">
        <v>2</v>
      </c>
      <c r="J413" s="3">
        <v>3280</v>
      </c>
      <c r="K413" s="3">
        <v>4155645</v>
      </c>
      <c r="L413" s="3" t="s">
        <v>13</v>
      </c>
    </row>
    <row r="414" spans="1:12" x14ac:dyDescent="0.25">
      <c r="A414" s="3" t="str">
        <f t="shared" si="6"/>
        <v>APP413</v>
      </c>
      <c r="B414" s="3">
        <v>36</v>
      </c>
      <c r="C414" s="3">
        <v>1781618</v>
      </c>
      <c r="D414" s="3" t="s">
        <v>12</v>
      </c>
      <c r="E414" s="3">
        <v>33</v>
      </c>
      <c r="F414" s="3">
        <v>352</v>
      </c>
      <c r="G414" s="3">
        <v>2</v>
      </c>
      <c r="H414" s="3">
        <v>1960698</v>
      </c>
      <c r="I414" s="3">
        <v>4</v>
      </c>
      <c r="J414" s="3">
        <v>73817</v>
      </c>
      <c r="K414" s="3">
        <v>2875038</v>
      </c>
      <c r="L414" s="3" t="s">
        <v>13</v>
      </c>
    </row>
    <row r="415" spans="1:12" x14ac:dyDescent="0.25">
      <c r="A415" s="3" t="str">
        <f t="shared" si="6"/>
        <v>APP414</v>
      </c>
      <c r="B415" s="3">
        <v>43</v>
      </c>
      <c r="C415" s="3">
        <v>151483</v>
      </c>
      <c r="D415" s="3" t="s">
        <v>16</v>
      </c>
      <c r="E415" s="3">
        <v>23</v>
      </c>
      <c r="F415" s="3">
        <v>384</v>
      </c>
      <c r="G415" s="3">
        <v>3</v>
      </c>
      <c r="H415" s="3">
        <v>4062957</v>
      </c>
      <c r="I415" s="3">
        <v>29</v>
      </c>
      <c r="J415" s="3">
        <v>6170</v>
      </c>
      <c r="K415" s="3">
        <v>1939755</v>
      </c>
      <c r="L415" s="3" t="s">
        <v>15</v>
      </c>
    </row>
    <row r="416" spans="1:12" x14ac:dyDescent="0.25">
      <c r="A416" s="3" t="str">
        <f t="shared" si="6"/>
        <v>APP415</v>
      </c>
      <c r="B416" s="3">
        <v>62</v>
      </c>
      <c r="C416" s="3">
        <v>292010</v>
      </c>
      <c r="D416" s="3" t="s">
        <v>14</v>
      </c>
      <c r="E416" s="3">
        <v>25</v>
      </c>
      <c r="F416" s="3">
        <v>798</v>
      </c>
      <c r="G416" s="3">
        <v>5</v>
      </c>
      <c r="H416" s="3">
        <v>4887178</v>
      </c>
      <c r="I416" s="3">
        <v>9</v>
      </c>
      <c r="J416" s="3">
        <v>78393</v>
      </c>
      <c r="K416" s="3">
        <v>1963021</v>
      </c>
      <c r="L416" s="3" t="s">
        <v>13</v>
      </c>
    </row>
    <row r="417" spans="1:12" x14ac:dyDescent="0.25">
      <c r="A417" s="3" t="str">
        <f t="shared" si="6"/>
        <v>APP416</v>
      </c>
      <c r="B417" s="3">
        <v>26</v>
      </c>
      <c r="C417" s="3">
        <v>2434402</v>
      </c>
      <c r="D417" s="3" t="s">
        <v>12</v>
      </c>
      <c r="E417" s="3">
        <v>7</v>
      </c>
      <c r="F417" s="3">
        <v>631</v>
      </c>
      <c r="G417" s="3">
        <v>4</v>
      </c>
      <c r="H417" s="3">
        <v>356526</v>
      </c>
      <c r="I417" s="3">
        <v>23</v>
      </c>
      <c r="J417" s="3">
        <v>32817</v>
      </c>
      <c r="K417" s="3">
        <v>9095830</v>
      </c>
      <c r="L417" s="3" t="s">
        <v>13</v>
      </c>
    </row>
    <row r="418" spans="1:12" x14ac:dyDescent="0.25">
      <c r="A418" s="3" t="str">
        <f t="shared" si="6"/>
        <v>APP417</v>
      </c>
      <c r="B418" s="3">
        <v>56</v>
      </c>
      <c r="C418" s="3">
        <v>1104249</v>
      </c>
      <c r="D418" s="3" t="s">
        <v>14</v>
      </c>
      <c r="E418" s="3">
        <v>29</v>
      </c>
      <c r="F418" s="3">
        <v>561</v>
      </c>
      <c r="G418" s="3">
        <v>0</v>
      </c>
      <c r="H418" s="3">
        <v>2841595</v>
      </c>
      <c r="I418" s="3">
        <v>15</v>
      </c>
      <c r="J418" s="3">
        <v>50639</v>
      </c>
      <c r="K418" s="3">
        <v>4308826</v>
      </c>
      <c r="L418" s="3" t="s">
        <v>13</v>
      </c>
    </row>
    <row r="419" spans="1:12" x14ac:dyDescent="0.25">
      <c r="A419" s="3" t="str">
        <f t="shared" si="6"/>
        <v>APP418</v>
      </c>
      <c r="B419" s="3">
        <v>59</v>
      </c>
      <c r="C419" s="3">
        <v>1032383</v>
      </c>
      <c r="D419" s="3" t="s">
        <v>16</v>
      </c>
      <c r="E419" s="3">
        <v>15</v>
      </c>
      <c r="F419" s="3">
        <v>755</v>
      </c>
      <c r="G419" s="3">
        <v>4</v>
      </c>
      <c r="H419" s="3">
        <v>2665456</v>
      </c>
      <c r="I419" s="3">
        <v>26</v>
      </c>
      <c r="J419" s="3">
        <v>8208</v>
      </c>
      <c r="K419" s="3">
        <v>9830780</v>
      </c>
      <c r="L419" s="3" t="s">
        <v>13</v>
      </c>
    </row>
    <row r="420" spans="1:12" x14ac:dyDescent="0.25">
      <c r="A420" s="3" t="str">
        <f t="shared" si="6"/>
        <v>APP419</v>
      </c>
      <c r="B420" s="3">
        <v>60</v>
      </c>
      <c r="C420" s="3">
        <v>814902</v>
      </c>
      <c r="D420" s="3" t="s">
        <v>16</v>
      </c>
      <c r="E420" s="3">
        <v>35</v>
      </c>
      <c r="F420" s="3">
        <v>826</v>
      </c>
      <c r="G420" s="3">
        <v>1</v>
      </c>
      <c r="H420" s="3">
        <v>3139893</v>
      </c>
      <c r="I420" s="3">
        <v>20</v>
      </c>
      <c r="J420" s="3">
        <v>66754</v>
      </c>
      <c r="K420" s="3">
        <v>7636424</v>
      </c>
      <c r="L420" s="3" t="s">
        <v>13</v>
      </c>
    </row>
    <row r="421" spans="1:12" x14ac:dyDescent="0.25">
      <c r="A421" s="3" t="str">
        <f t="shared" si="6"/>
        <v>APP420</v>
      </c>
      <c r="B421" s="3">
        <v>65</v>
      </c>
      <c r="C421" s="3">
        <v>331786</v>
      </c>
      <c r="D421" s="3" t="s">
        <v>16</v>
      </c>
      <c r="E421" s="3">
        <v>10</v>
      </c>
      <c r="F421" s="3">
        <v>492</v>
      </c>
      <c r="G421" s="3">
        <v>0</v>
      </c>
      <c r="H421" s="3">
        <v>3852246</v>
      </c>
      <c r="I421" s="3">
        <v>12</v>
      </c>
      <c r="J421" s="3">
        <v>60982</v>
      </c>
      <c r="K421" s="3">
        <v>3349222</v>
      </c>
      <c r="L421" s="3" t="s">
        <v>13</v>
      </c>
    </row>
    <row r="422" spans="1:12" x14ac:dyDescent="0.25">
      <c r="A422" s="3" t="str">
        <f t="shared" si="6"/>
        <v>APP421</v>
      </c>
      <c r="B422" s="3">
        <v>62</v>
      </c>
      <c r="C422" s="3">
        <v>731907</v>
      </c>
      <c r="D422" s="3" t="s">
        <v>12</v>
      </c>
      <c r="E422" s="3">
        <v>31</v>
      </c>
      <c r="F422" s="3">
        <v>781</v>
      </c>
      <c r="G422" s="3">
        <v>1</v>
      </c>
      <c r="H422" s="3">
        <v>1061871</v>
      </c>
      <c r="I422" s="3">
        <v>7</v>
      </c>
      <c r="J422" s="3">
        <v>46257</v>
      </c>
      <c r="K422" s="3">
        <v>2710338</v>
      </c>
      <c r="L422" s="3" t="s">
        <v>13</v>
      </c>
    </row>
    <row r="423" spans="1:12" x14ac:dyDescent="0.25">
      <c r="A423" s="3" t="str">
        <f t="shared" si="6"/>
        <v>APP422</v>
      </c>
      <c r="B423" s="3">
        <v>44</v>
      </c>
      <c r="C423" s="3">
        <v>1909216</v>
      </c>
      <c r="D423" s="3" t="s">
        <v>16</v>
      </c>
      <c r="E423" s="3">
        <v>22</v>
      </c>
      <c r="F423" s="3">
        <v>529</v>
      </c>
      <c r="G423" s="3">
        <v>4</v>
      </c>
      <c r="H423" s="3">
        <v>4136626</v>
      </c>
      <c r="I423" s="3">
        <v>1</v>
      </c>
      <c r="J423" s="3">
        <v>67392</v>
      </c>
      <c r="K423" s="3">
        <v>3060871</v>
      </c>
      <c r="L423" s="3" t="s">
        <v>13</v>
      </c>
    </row>
    <row r="424" spans="1:12" x14ac:dyDescent="0.25">
      <c r="A424" s="3" t="str">
        <f t="shared" si="6"/>
        <v>APP423</v>
      </c>
      <c r="B424" s="3">
        <v>29</v>
      </c>
      <c r="C424" s="3">
        <v>340922</v>
      </c>
      <c r="D424" s="3" t="s">
        <v>12</v>
      </c>
      <c r="E424" s="3">
        <v>1</v>
      </c>
      <c r="F424" s="3">
        <v>727</v>
      </c>
      <c r="G424" s="3">
        <v>5</v>
      </c>
      <c r="H424" s="3">
        <v>3509024</v>
      </c>
      <c r="I424" s="3">
        <v>13</v>
      </c>
      <c r="J424" s="3">
        <v>19565</v>
      </c>
      <c r="K424" s="3">
        <v>8044154</v>
      </c>
      <c r="L424" s="3" t="s">
        <v>13</v>
      </c>
    </row>
    <row r="425" spans="1:12" x14ac:dyDescent="0.25">
      <c r="A425" s="3" t="str">
        <f t="shared" si="6"/>
        <v>APP424</v>
      </c>
      <c r="B425" s="3">
        <v>26</v>
      </c>
      <c r="C425" s="3">
        <v>624284</v>
      </c>
      <c r="D425" s="3" t="s">
        <v>14</v>
      </c>
      <c r="E425" s="3">
        <v>8</v>
      </c>
      <c r="F425" s="3">
        <v>414</v>
      </c>
      <c r="G425" s="3">
        <v>1</v>
      </c>
      <c r="H425" s="3">
        <v>437977</v>
      </c>
      <c r="I425" s="3">
        <v>15</v>
      </c>
      <c r="J425" s="3">
        <v>34613</v>
      </c>
      <c r="K425" s="3">
        <v>9876151</v>
      </c>
      <c r="L425" s="3" t="s">
        <v>13</v>
      </c>
    </row>
    <row r="426" spans="1:12" x14ac:dyDescent="0.25">
      <c r="A426" s="3" t="str">
        <f t="shared" si="6"/>
        <v>APP425</v>
      </c>
      <c r="B426" s="3">
        <v>46</v>
      </c>
      <c r="C426" s="3">
        <v>2060271</v>
      </c>
      <c r="D426" s="3" t="s">
        <v>14</v>
      </c>
      <c r="E426" s="3">
        <v>16</v>
      </c>
      <c r="F426" s="3">
        <v>547</v>
      </c>
      <c r="G426" s="3">
        <v>4</v>
      </c>
      <c r="H426" s="3">
        <v>2661683</v>
      </c>
      <c r="I426" s="3">
        <v>19</v>
      </c>
      <c r="J426" s="3">
        <v>79106</v>
      </c>
      <c r="K426" s="3">
        <v>6701910</v>
      </c>
      <c r="L426" s="3" t="s">
        <v>13</v>
      </c>
    </row>
    <row r="427" spans="1:12" x14ac:dyDescent="0.25">
      <c r="A427" s="3" t="str">
        <f t="shared" si="6"/>
        <v>APP426</v>
      </c>
      <c r="B427" s="3">
        <v>54</v>
      </c>
      <c r="C427" s="3">
        <v>1644742</v>
      </c>
      <c r="D427" s="3" t="s">
        <v>12</v>
      </c>
      <c r="E427" s="3">
        <v>19</v>
      </c>
      <c r="F427" s="3">
        <v>711</v>
      </c>
      <c r="G427" s="3">
        <v>1</v>
      </c>
      <c r="H427" s="3">
        <v>699769</v>
      </c>
      <c r="I427" s="3">
        <v>2</v>
      </c>
      <c r="J427" s="3">
        <v>28257</v>
      </c>
      <c r="K427" s="3">
        <v>3345980</v>
      </c>
      <c r="L427" s="3" t="s">
        <v>13</v>
      </c>
    </row>
    <row r="428" spans="1:12" x14ac:dyDescent="0.25">
      <c r="A428" s="3" t="str">
        <f t="shared" si="6"/>
        <v>APP427</v>
      </c>
      <c r="B428" s="3">
        <v>39</v>
      </c>
      <c r="C428" s="3">
        <v>1836308</v>
      </c>
      <c r="D428" s="3" t="s">
        <v>16</v>
      </c>
      <c r="E428" s="3">
        <v>19</v>
      </c>
      <c r="F428" s="3">
        <v>352</v>
      </c>
      <c r="G428" s="3">
        <v>5</v>
      </c>
      <c r="H428" s="3">
        <v>2344423</v>
      </c>
      <c r="I428" s="3">
        <v>29</v>
      </c>
      <c r="J428" s="3">
        <v>34486</v>
      </c>
      <c r="K428" s="3">
        <v>9026660</v>
      </c>
      <c r="L428" s="3" t="s">
        <v>15</v>
      </c>
    </row>
    <row r="429" spans="1:12" x14ac:dyDescent="0.25">
      <c r="A429" s="3" t="str">
        <f t="shared" si="6"/>
        <v>APP428</v>
      </c>
      <c r="B429" s="3">
        <v>54</v>
      </c>
      <c r="C429" s="3">
        <v>880546</v>
      </c>
      <c r="D429" s="3" t="s">
        <v>14</v>
      </c>
      <c r="E429" s="3">
        <v>33</v>
      </c>
      <c r="F429" s="3">
        <v>356</v>
      </c>
      <c r="G429" s="3">
        <v>2</v>
      </c>
      <c r="H429" s="3">
        <v>2788413</v>
      </c>
      <c r="I429" s="3">
        <v>28</v>
      </c>
      <c r="J429" s="3">
        <v>6999</v>
      </c>
      <c r="K429" s="3">
        <v>2682100</v>
      </c>
      <c r="L429" s="3" t="s">
        <v>13</v>
      </c>
    </row>
    <row r="430" spans="1:12" x14ac:dyDescent="0.25">
      <c r="A430" s="3" t="str">
        <f t="shared" si="6"/>
        <v>APP429</v>
      </c>
      <c r="B430" s="3">
        <v>34</v>
      </c>
      <c r="C430" s="3">
        <v>2317016</v>
      </c>
      <c r="D430" s="3" t="s">
        <v>16</v>
      </c>
      <c r="E430" s="3">
        <v>31</v>
      </c>
      <c r="F430" s="3">
        <v>762</v>
      </c>
      <c r="G430" s="3">
        <v>1</v>
      </c>
      <c r="H430" s="3">
        <v>1266895</v>
      </c>
      <c r="I430" s="3">
        <v>24</v>
      </c>
      <c r="J430" s="3">
        <v>27033</v>
      </c>
      <c r="K430" s="3">
        <v>7646129</v>
      </c>
      <c r="L430" s="3" t="s">
        <v>15</v>
      </c>
    </row>
    <row r="431" spans="1:12" x14ac:dyDescent="0.25">
      <c r="A431" s="3" t="str">
        <f t="shared" si="6"/>
        <v>APP430</v>
      </c>
      <c r="B431" s="3">
        <v>30</v>
      </c>
      <c r="C431" s="3">
        <v>2026262</v>
      </c>
      <c r="D431" s="3" t="s">
        <v>12</v>
      </c>
      <c r="E431" s="3">
        <v>23</v>
      </c>
      <c r="F431" s="3">
        <v>480</v>
      </c>
      <c r="G431" s="3">
        <v>4</v>
      </c>
      <c r="H431" s="3">
        <v>4827422</v>
      </c>
      <c r="I431" s="3">
        <v>13</v>
      </c>
      <c r="J431" s="3">
        <v>56535</v>
      </c>
      <c r="K431" s="3">
        <v>7865520</v>
      </c>
      <c r="L431" s="3" t="s">
        <v>13</v>
      </c>
    </row>
    <row r="432" spans="1:12" x14ac:dyDescent="0.25">
      <c r="A432" s="3" t="str">
        <f t="shared" si="6"/>
        <v>APP431</v>
      </c>
      <c r="B432" s="3">
        <v>33</v>
      </c>
      <c r="C432" s="3">
        <v>1192937</v>
      </c>
      <c r="D432" s="3" t="s">
        <v>16</v>
      </c>
      <c r="E432" s="3">
        <v>30</v>
      </c>
      <c r="F432" s="3">
        <v>538</v>
      </c>
      <c r="G432" s="3">
        <v>4</v>
      </c>
      <c r="H432" s="3">
        <v>3141974</v>
      </c>
      <c r="I432" s="3">
        <v>23</v>
      </c>
      <c r="J432" s="3">
        <v>13429</v>
      </c>
      <c r="K432" s="3">
        <v>8598038</v>
      </c>
      <c r="L432" s="3" t="s">
        <v>13</v>
      </c>
    </row>
    <row r="433" spans="1:12" x14ac:dyDescent="0.25">
      <c r="A433" s="3" t="str">
        <f t="shared" si="6"/>
        <v>APP432</v>
      </c>
      <c r="B433" s="3">
        <v>62</v>
      </c>
      <c r="C433" s="3">
        <v>717773</v>
      </c>
      <c r="D433" s="3" t="s">
        <v>14</v>
      </c>
      <c r="E433" s="3">
        <v>11</v>
      </c>
      <c r="F433" s="3">
        <v>744</v>
      </c>
      <c r="G433" s="3">
        <v>0</v>
      </c>
      <c r="H433" s="3">
        <v>3853120</v>
      </c>
      <c r="I433" s="3">
        <v>5</v>
      </c>
      <c r="J433" s="3">
        <v>15773</v>
      </c>
      <c r="K433" s="3">
        <v>5039469</v>
      </c>
      <c r="L433" s="3" t="s">
        <v>15</v>
      </c>
    </row>
    <row r="434" spans="1:12" x14ac:dyDescent="0.25">
      <c r="A434" s="3" t="str">
        <f t="shared" si="6"/>
        <v>APP433</v>
      </c>
      <c r="B434" s="3">
        <v>52</v>
      </c>
      <c r="C434" s="3">
        <v>347283</v>
      </c>
      <c r="D434" s="3" t="s">
        <v>12</v>
      </c>
      <c r="E434" s="3">
        <v>5</v>
      </c>
      <c r="F434" s="3">
        <v>865</v>
      </c>
      <c r="G434" s="3">
        <v>3</v>
      </c>
      <c r="H434" s="3">
        <v>636582</v>
      </c>
      <c r="I434" s="3">
        <v>20</v>
      </c>
      <c r="J434" s="3">
        <v>62508</v>
      </c>
      <c r="K434" s="3">
        <v>8639861</v>
      </c>
      <c r="L434" s="3" t="s">
        <v>13</v>
      </c>
    </row>
    <row r="435" spans="1:12" x14ac:dyDescent="0.25">
      <c r="A435" s="3" t="str">
        <f t="shared" si="6"/>
        <v>APP434</v>
      </c>
      <c r="B435" s="3">
        <v>52</v>
      </c>
      <c r="C435" s="3">
        <v>1617545</v>
      </c>
      <c r="D435" s="3" t="s">
        <v>14</v>
      </c>
      <c r="E435" s="3">
        <v>0</v>
      </c>
      <c r="F435" s="3">
        <v>516</v>
      </c>
      <c r="G435" s="3">
        <v>0</v>
      </c>
      <c r="H435" s="3">
        <v>4948071</v>
      </c>
      <c r="I435" s="3">
        <v>11</v>
      </c>
      <c r="J435" s="3">
        <v>68991</v>
      </c>
      <c r="K435" s="3">
        <v>1600046</v>
      </c>
      <c r="L435" s="3" t="s">
        <v>15</v>
      </c>
    </row>
    <row r="436" spans="1:12" x14ac:dyDescent="0.25">
      <c r="A436" s="3" t="str">
        <f t="shared" si="6"/>
        <v>APP435</v>
      </c>
      <c r="B436" s="3">
        <v>22</v>
      </c>
      <c r="C436" s="3">
        <v>2387839</v>
      </c>
      <c r="D436" s="3" t="s">
        <v>16</v>
      </c>
      <c r="E436" s="3">
        <v>0</v>
      </c>
      <c r="F436" s="3">
        <v>836</v>
      </c>
      <c r="G436" s="3">
        <v>1</v>
      </c>
      <c r="H436" s="3">
        <v>4760922</v>
      </c>
      <c r="I436" s="3">
        <v>10</v>
      </c>
      <c r="J436" s="3">
        <v>9010</v>
      </c>
      <c r="K436" s="3">
        <v>2740217</v>
      </c>
      <c r="L436" s="3" t="s">
        <v>13</v>
      </c>
    </row>
    <row r="437" spans="1:12" x14ac:dyDescent="0.25">
      <c r="A437" s="3" t="str">
        <f t="shared" si="6"/>
        <v>APP436</v>
      </c>
      <c r="B437" s="3">
        <v>49</v>
      </c>
      <c r="C437" s="3">
        <v>2239407</v>
      </c>
      <c r="D437" s="3" t="s">
        <v>14</v>
      </c>
      <c r="E437" s="3">
        <v>11</v>
      </c>
      <c r="F437" s="3">
        <v>481</v>
      </c>
      <c r="G437" s="3">
        <v>5</v>
      </c>
      <c r="H437" s="3">
        <v>4221850</v>
      </c>
      <c r="I437" s="3">
        <v>25</v>
      </c>
      <c r="J437" s="3">
        <v>32007</v>
      </c>
      <c r="K437" s="3">
        <v>8580461</v>
      </c>
      <c r="L437" s="3" t="s">
        <v>13</v>
      </c>
    </row>
    <row r="438" spans="1:12" x14ac:dyDescent="0.25">
      <c r="A438" s="3" t="str">
        <f t="shared" si="6"/>
        <v>APP437</v>
      </c>
      <c r="B438" s="3">
        <v>28</v>
      </c>
      <c r="C438" s="3">
        <v>815138</v>
      </c>
      <c r="D438" s="3" t="s">
        <v>16</v>
      </c>
      <c r="E438" s="3">
        <v>14</v>
      </c>
      <c r="F438" s="3">
        <v>556</v>
      </c>
      <c r="G438" s="3">
        <v>2</v>
      </c>
      <c r="H438" s="3">
        <v>3253009</v>
      </c>
      <c r="I438" s="3">
        <v>17</v>
      </c>
      <c r="J438" s="3">
        <v>54927</v>
      </c>
      <c r="K438" s="3">
        <v>4481368</v>
      </c>
      <c r="L438" s="3" t="s">
        <v>13</v>
      </c>
    </row>
    <row r="439" spans="1:12" x14ac:dyDescent="0.25">
      <c r="A439" s="3" t="str">
        <f t="shared" si="6"/>
        <v>APP438</v>
      </c>
      <c r="B439" s="3">
        <v>46</v>
      </c>
      <c r="C439" s="3">
        <v>1355889</v>
      </c>
      <c r="D439" s="3" t="s">
        <v>12</v>
      </c>
      <c r="E439" s="3">
        <v>30</v>
      </c>
      <c r="F439" s="3">
        <v>542</v>
      </c>
      <c r="G439" s="3">
        <v>3</v>
      </c>
      <c r="H439" s="3">
        <v>131007</v>
      </c>
      <c r="I439" s="3">
        <v>26</v>
      </c>
      <c r="J439" s="3">
        <v>63472</v>
      </c>
      <c r="K439" s="3">
        <v>63112</v>
      </c>
      <c r="L439" s="3" t="s">
        <v>13</v>
      </c>
    </row>
    <row r="440" spans="1:12" x14ac:dyDescent="0.25">
      <c r="A440" s="3" t="str">
        <f t="shared" si="6"/>
        <v>APP439</v>
      </c>
      <c r="B440" s="3">
        <v>28</v>
      </c>
      <c r="C440" s="3">
        <v>885170</v>
      </c>
      <c r="D440" s="3" t="s">
        <v>12</v>
      </c>
      <c r="E440" s="3">
        <v>32</v>
      </c>
      <c r="F440" s="3">
        <v>811</v>
      </c>
      <c r="G440" s="3">
        <v>1</v>
      </c>
      <c r="H440" s="3">
        <v>3302441</v>
      </c>
      <c r="I440" s="3">
        <v>18</v>
      </c>
      <c r="J440" s="3">
        <v>61920</v>
      </c>
      <c r="K440" s="3">
        <v>2421758</v>
      </c>
      <c r="L440" s="3" t="s">
        <v>13</v>
      </c>
    </row>
    <row r="441" spans="1:12" x14ac:dyDescent="0.25">
      <c r="A441" s="3" t="str">
        <f t="shared" si="6"/>
        <v>APP440</v>
      </c>
      <c r="B441" s="3">
        <v>45</v>
      </c>
      <c r="C441" s="3">
        <v>2324921</v>
      </c>
      <c r="D441" s="3" t="s">
        <v>16</v>
      </c>
      <c r="E441" s="3">
        <v>19</v>
      </c>
      <c r="F441" s="3">
        <v>545</v>
      </c>
      <c r="G441" s="3">
        <v>2</v>
      </c>
      <c r="H441" s="3">
        <v>2456931</v>
      </c>
      <c r="I441" s="3">
        <v>4</v>
      </c>
      <c r="J441" s="3">
        <v>50665</v>
      </c>
      <c r="K441" s="3">
        <v>5084841</v>
      </c>
      <c r="L441" s="3" t="s">
        <v>15</v>
      </c>
    </row>
    <row r="442" spans="1:12" x14ac:dyDescent="0.25">
      <c r="A442" s="3" t="str">
        <f t="shared" si="6"/>
        <v>APP441</v>
      </c>
      <c r="B442" s="3">
        <v>53</v>
      </c>
      <c r="C442" s="3">
        <v>1773840</v>
      </c>
      <c r="D442" s="3" t="s">
        <v>16</v>
      </c>
      <c r="E442" s="3">
        <v>1</v>
      </c>
      <c r="F442" s="3">
        <v>548</v>
      </c>
      <c r="G442" s="3">
        <v>4</v>
      </c>
      <c r="H442" s="3">
        <v>2450685</v>
      </c>
      <c r="I442" s="3">
        <v>3</v>
      </c>
      <c r="J442" s="3">
        <v>1078</v>
      </c>
      <c r="K442" s="3">
        <v>8221871</v>
      </c>
      <c r="L442" s="3" t="s">
        <v>13</v>
      </c>
    </row>
    <row r="443" spans="1:12" x14ac:dyDescent="0.25">
      <c r="A443" s="3" t="str">
        <f t="shared" si="6"/>
        <v>APP442</v>
      </c>
      <c r="B443" s="3">
        <v>24</v>
      </c>
      <c r="C443" s="3">
        <v>431377</v>
      </c>
      <c r="D443" s="3" t="s">
        <v>12</v>
      </c>
      <c r="E443" s="3">
        <v>18</v>
      </c>
      <c r="F443" s="3">
        <v>819</v>
      </c>
      <c r="G443" s="3">
        <v>5</v>
      </c>
      <c r="H443" s="3">
        <v>1150538</v>
      </c>
      <c r="I443" s="3">
        <v>9</v>
      </c>
      <c r="J443" s="3">
        <v>45624</v>
      </c>
      <c r="K443" s="3">
        <v>5615069</v>
      </c>
      <c r="L443" s="3" t="s">
        <v>13</v>
      </c>
    </row>
    <row r="444" spans="1:12" x14ac:dyDescent="0.25">
      <c r="A444" s="3" t="str">
        <f t="shared" si="6"/>
        <v>APP443</v>
      </c>
      <c r="B444" s="3">
        <v>39</v>
      </c>
      <c r="C444" s="3">
        <v>1640273</v>
      </c>
      <c r="D444" s="3" t="s">
        <v>12</v>
      </c>
      <c r="E444" s="3">
        <v>9</v>
      </c>
      <c r="F444" s="3">
        <v>525</v>
      </c>
      <c r="G444" s="3">
        <v>5</v>
      </c>
      <c r="H444" s="3">
        <v>157171</v>
      </c>
      <c r="I444" s="3">
        <v>8</v>
      </c>
      <c r="J444" s="3">
        <v>42091</v>
      </c>
      <c r="K444" s="3">
        <v>9781552</v>
      </c>
      <c r="L444" s="3" t="s">
        <v>13</v>
      </c>
    </row>
    <row r="445" spans="1:12" x14ac:dyDescent="0.25">
      <c r="A445" s="3" t="str">
        <f t="shared" si="6"/>
        <v>APP444</v>
      </c>
      <c r="B445" s="3">
        <v>43</v>
      </c>
      <c r="C445" s="3">
        <v>1503906</v>
      </c>
      <c r="D445" s="3" t="s">
        <v>12</v>
      </c>
      <c r="E445" s="3">
        <v>16</v>
      </c>
      <c r="F445" s="3">
        <v>725</v>
      </c>
      <c r="G445" s="3">
        <v>0</v>
      </c>
      <c r="H445" s="3">
        <v>4481410</v>
      </c>
      <c r="I445" s="3">
        <v>11</v>
      </c>
      <c r="J445" s="3">
        <v>27092</v>
      </c>
      <c r="K445" s="3">
        <v>5917680</v>
      </c>
      <c r="L445" s="3" t="s">
        <v>13</v>
      </c>
    </row>
    <row r="446" spans="1:12" x14ac:dyDescent="0.25">
      <c r="A446" s="3" t="str">
        <f t="shared" si="6"/>
        <v>APP445</v>
      </c>
      <c r="B446" s="3">
        <v>43</v>
      </c>
      <c r="C446" s="3">
        <v>939602</v>
      </c>
      <c r="D446" s="3" t="s">
        <v>12</v>
      </c>
      <c r="E446" s="3">
        <v>25</v>
      </c>
      <c r="F446" s="3">
        <v>805</v>
      </c>
      <c r="G446" s="3">
        <v>2</v>
      </c>
      <c r="H446" s="3">
        <v>4915446</v>
      </c>
      <c r="I446" s="3">
        <v>24</v>
      </c>
      <c r="J446" s="3">
        <v>27926</v>
      </c>
      <c r="K446" s="3">
        <v>5500454</v>
      </c>
      <c r="L446" s="3" t="s">
        <v>13</v>
      </c>
    </row>
    <row r="447" spans="1:12" x14ac:dyDescent="0.25">
      <c r="A447" s="3" t="str">
        <f t="shared" si="6"/>
        <v>APP446</v>
      </c>
      <c r="B447" s="3">
        <v>21</v>
      </c>
      <c r="C447" s="3">
        <v>1176624</v>
      </c>
      <c r="D447" s="3" t="s">
        <v>14</v>
      </c>
      <c r="E447" s="3">
        <v>0</v>
      </c>
      <c r="F447" s="3">
        <v>411</v>
      </c>
      <c r="G447" s="3">
        <v>1</v>
      </c>
      <c r="H447" s="3">
        <v>4252661</v>
      </c>
      <c r="I447" s="3">
        <v>5</v>
      </c>
      <c r="J447" s="3">
        <v>322</v>
      </c>
      <c r="K447" s="3">
        <v>1448134</v>
      </c>
      <c r="L447" s="3" t="s">
        <v>13</v>
      </c>
    </row>
    <row r="448" spans="1:12" x14ac:dyDescent="0.25">
      <c r="A448" s="3" t="str">
        <f t="shared" si="6"/>
        <v>APP447</v>
      </c>
      <c r="B448" s="3">
        <v>54</v>
      </c>
      <c r="C448" s="3">
        <v>1456195</v>
      </c>
      <c r="D448" s="3" t="s">
        <v>16</v>
      </c>
      <c r="E448" s="3">
        <v>9</v>
      </c>
      <c r="F448" s="3">
        <v>812</v>
      </c>
      <c r="G448" s="3">
        <v>1</v>
      </c>
      <c r="H448" s="3">
        <v>2123546</v>
      </c>
      <c r="I448" s="3">
        <v>26</v>
      </c>
      <c r="J448" s="3">
        <v>59009</v>
      </c>
      <c r="K448" s="3">
        <v>1575001</v>
      </c>
      <c r="L448" s="3" t="s">
        <v>13</v>
      </c>
    </row>
    <row r="449" spans="1:12" x14ac:dyDescent="0.25">
      <c r="A449" s="3" t="str">
        <f t="shared" si="6"/>
        <v>APP448</v>
      </c>
      <c r="B449" s="3">
        <v>23</v>
      </c>
      <c r="C449" s="3">
        <v>1155109</v>
      </c>
      <c r="D449" s="3" t="s">
        <v>14</v>
      </c>
      <c r="E449" s="3">
        <v>5</v>
      </c>
      <c r="F449" s="3">
        <v>671</v>
      </c>
      <c r="G449" s="3">
        <v>5</v>
      </c>
      <c r="H449" s="3">
        <v>128745</v>
      </c>
      <c r="I449" s="3">
        <v>15</v>
      </c>
      <c r="J449" s="3">
        <v>52647</v>
      </c>
      <c r="K449" s="3">
        <v>2993</v>
      </c>
      <c r="L449" s="3" t="s">
        <v>13</v>
      </c>
    </row>
    <row r="450" spans="1:12" x14ac:dyDescent="0.25">
      <c r="A450" s="3" t="str">
        <f t="shared" si="6"/>
        <v>APP449</v>
      </c>
      <c r="B450" s="3">
        <v>38</v>
      </c>
      <c r="C450" s="3">
        <v>154907</v>
      </c>
      <c r="D450" s="3" t="s">
        <v>16</v>
      </c>
      <c r="E450" s="3">
        <v>13</v>
      </c>
      <c r="F450" s="3">
        <v>762</v>
      </c>
      <c r="G450" s="3">
        <v>1</v>
      </c>
      <c r="H450" s="3">
        <v>4198512</v>
      </c>
      <c r="I450" s="3">
        <v>30</v>
      </c>
      <c r="J450" s="3">
        <v>9777</v>
      </c>
      <c r="K450" s="3">
        <v>5774785</v>
      </c>
      <c r="L450" s="3" t="s">
        <v>15</v>
      </c>
    </row>
    <row r="451" spans="1:12" x14ac:dyDescent="0.25">
      <c r="A451" s="3" t="str">
        <f t="shared" ref="A451:A501" si="7">"APP"&amp;TEXT(ROW()-1,"000")</f>
        <v>APP450</v>
      </c>
      <c r="B451" s="3">
        <v>56</v>
      </c>
      <c r="C451" s="3">
        <v>685067</v>
      </c>
      <c r="D451" s="3" t="s">
        <v>12</v>
      </c>
      <c r="E451" s="3">
        <v>19</v>
      </c>
      <c r="F451" s="3">
        <v>421</v>
      </c>
      <c r="G451" s="3">
        <v>5</v>
      </c>
      <c r="H451" s="3">
        <v>1032877</v>
      </c>
      <c r="I451" s="3">
        <v>4</v>
      </c>
      <c r="J451" s="3">
        <v>79900</v>
      </c>
      <c r="K451" s="3">
        <v>9425591</v>
      </c>
      <c r="L451" s="3" t="s">
        <v>13</v>
      </c>
    </row>
    <row r="452" spans="1:12" x14ac:dyDescent="0.25">
      <c r="A452" s="3" t="str">
        <f t="shared" si="7"/>
        <v>APP451</v>
      </c>
      <c r="B452" s="3">
        <v>31</v>
      </c>
      <c r="C452" s="3">
        <v>2035812</v>
      </c>
      <c r="D452" s="3" t="s">
        <v>16</v>
      </c>
      <c r="E452" s="3">
        <v>12</v>
      </c>
      <c r="F452" s="3">
        <v>651</v>
      </c>
      <c r="G452" s="3">
        <v>5</v>
      </c>
      <c r="H452" s="3">
        <v>1440509</v>
      </c>
      <c r="I452" s="3">
        <v>23</v>
      </c>
      <c r="J452" s="3">
        <v>62296</v>
      </c>
      <c r="K452" s="3">
        <v>3434952</v>
      </c>
      <c r="L452" s="3" t="s">
        <v>15</v>
      </c>
    </row>
    <row r="453" spans="1:12" x14ac:dyDescent="0.25">
      <c r="A453" s="3" t="str">
        <f t="shared" si="7"/>
        <v>APP452</v>
      </c>
      <c r="B453" s="3">
        <v>52</v>
      </c>
      <c r="C453" s="3">
        <v>2005446</v>
      </c>
      <c r="D453" s="3" t="s">
        <v>14</v>
      </c>
      <c r="E453" s="3">
        <v>13</v>
      </c>
      <c r="F453" s="3">
        <v>600</v>
      </c>
      <c r="G453" s="3">
        <v>3</v>
      </c>
      <c r="H453" s="3">
        <v>467193</v>
      </c>
      <c r="I453" s="3">
        <v>14</v>
      </c>
      <c r="J453" s="3">
        <v>7284</v>
      </c>
      <c r="K453" s="3">
        <v>3955907</v>
      </c>
      <c r="L453" s="3" t="s">
        <v>15</v>
      </c>
    </row>
    <row r="454" spans="1:12" x14ac:dyDescent="0.25">
      <c r="A454" s="3" t="str">
        <f t="shared" si="7"/>
        <v>APP453</v>
      </c>
      <c r="B454" s="3">
        <v>60</v>
      </c>
      <c r="C454" s="3">
        <v>2196133</v>
      </c>
      <c r="D454" s="3" t="s">
        <v>14</v>
      </c>
      <c r="E454" s="3">
        <v>23</v>
      </c>
      <c r="F454" s="3">
        <v>822</v>
      </c>
      <c r="G454" s="3">
        <v>4</v>
      </c>
      <c r="H454" s="3">
        <v>2102643</v>
      </c>
      <c r="I454" s="3">
        <v>24</v>
      </c>
      <c r="J454" s="3">
        <v>57514</v>
      </c>
      <c r="K454" s="3">
        <v>6875695</v>
      </c>
      <c r="L454" s="3" t="s">
        <v>13</v>
      </c>
    </row>
    <row r="455" spans="1:12" x14ac:dyDescent="0.25">
      <c r="A455" s="3" t="str">
        <f t="shared" si="7"/>
        <v>APP454</v>
      </c>
      <c r="B455" s="3">
        <v>39</v>
      </c>
      <c r="C455" s="3">
        <v>2144136</v>
      </c>
      <c r="D455" s="3" t="s">
        <v>12</v>
      </c>
      <c r="E455" s="3">
        <v>10</v>
      </c>
      <c r="F455" s="3">
        <v>769</v>
      </c>
      <c r="G455" s="3">
        <v>2</v>
      </c>
      <c r="H455" s="3">
        <v>3697873</v>
      </c>
      <c r="I455" s="3">
        <v>10</v>
      </c>
      <c r="J455" s="3">
        <v>6119</v>
      </c>
      <c r="K455" s="3">
        <v>8700303</v>
      </c>
      <c r="L455" s="3" t="s">
        <v>13</v>
      </c>
    </row>
    <row r="456" spans="1:12" x14ac:dyDescent="0.25">
      <c r="A456" s="3" t="str">
        <f t="shared" si="7"/>
        <v>APP455</v>
      </c>
      <c r="B456" s="3">
        <v>60</v>
      </c>
      <c r="C456" s="3">
        <v>2196940</v>
      </c>
      <c r="D456" s="3" t="s">
        <v>14</v>
      </c>
      <c r="E456" s="3">
        <v>12</v>
      </c>
      <c r="F456" s="3">
        <v>686</v>
      </c>
      <c r="G456" s="3">
        <v>5</v>
      </c>
      <c r="H456" s="3">
        <v>850982</v>
      </c>
      <c r="I456" s="3">
        <v>22</v>
      </c>
      <c r="J456" s="3">
        <v>47657</v>
      </c>
      <c r="K456" s="3">
        <v>8054391</v>
      </c>
      <c r="L456" s="3" t="s">
        <v>13</v>
      </c>
    </row>
    <row r="457" spans="1:12" x14ac:dyDescent="0.25">
      <c r="A457" s="3" t="str">
        <f t="shared" si="7"/>
        <v>APP456</v>
      </c>
      <c r="B457" s="3">
        <v>29</v>
      </c>
      <c r="C457" s="3">
        <v>1668080</v>
      </c>
      <c r="D457" s="3" t="s">
        <v>16</v>
      </c>
      <c r="E457" s="3">
        <v>34</v>
      </c>
      <c r="F457" s="3">
        <v>558</v>
      </c>
      <c r="G457" s="3">
        <v>2</v>
      </c>
      <c r="H457" s="3">
        <v>4678451</v>
      </c>
      <c r="I457" s="3">
        <v>8</v>
      </c>
      <c r="J457" s="3">
        <v>54457</v>
      </c>
      <c r="K457" s="3">
        <v>4867116</v>
      </c>
      <c r="L457" s="3" t="s">
        <v>13</v>
      </c>
    </row>
    <row r="458" spans="1:12" x14ac:dyDescent="0.25">
      <c r="A458" s="3" t="str">
        <f t="shared" si="7"/>
        <v>APP457</v>
      </c>
      <c r="B458" s="3">
        <v>62</v>
      </c>
      <c r="C458" s="3">
        <v>2157446</v>
      </c>
      <c r="D458" s="3" t="s">
        <v>14</v>
      </c>
      <c r="E458" s="3">
        <v>35</v>
      </c>
      <c r="F458" s="3">
        <v>408</v>
      </c>
      <c r="G458" s="3">
        <v>0</v>
      </c>
      <c r="H458" s="3">
        <v>3465441</v>
      </c>
      <c r="I458" s="3">
        <v>26</v>
      </c>
      <c r="J458" s="3">
        <v>44185</v>
      </c>
      <c r="K458" s="3">
        <v>7357593</v>
      </c>
      <c r="L458" s="3" t="s">
        <v>13</v>
      </c>
    </row>
    <row r="459" spans="1:12" x14ac:dyDescent="0.25">
      <c r="A459" s="3" t="str">
        <f t="shared" si="7"/>
        <v>APP458</v>
      </c>
      <c r="B459" s="3">
        <v>46</v>
      </c>
      <c r="C459" s="3">
        <v>1427666</v>
      </c>
      <c r="D459" s="3" t="s">
        <v>14</v>
      </c>
      <c r="E459" s="3">
        <v>34</v>
      </c>
      <c r="F459" s="3">
        <v>656</v>
      </c>
      <c r="G459" s="3">
        <v>3</v>
      </c>
      <c r="H459" s="3">
        <v>264377</v>
      </c>
      <c r="I459" s="3">
        <v>20</v>
      </c>
      <c r="J459" s="3">
        <v>16399</v>
      </c>
      <c r="K459" s="3">
        <v>3481567</v>
      </c>
      <c r="L459" s="3" t="s">
        <v>13</v>
      </c>
    </row>
    <row r="460" spans="1:12" x14ac:dyDescent="0.25">
      <c r="A460" s="3" t="str">
        <f t="shared" si="7"/>
        <v>APP459</v>
      </c>
      <c r="B460" s="3">
        <v>59</v>
      </c>
      <c r="C460" s="3">
        <v>2310871</v>
      </c>
      <c r="D460" s="3" t="s">
        <v>14</v>
      </c>
      <c r="E460" s="3">
        <v>26</v>
      </c>
      <c r="F460" s="3">
        <v>472</v>
      </c>
      <c r="G460" s="3">
        <v>2</v>
      </c>
      <c r="H460" s="3">
        <v>538463</v>
      </c>
      <c r="I460" s="3">
        <v>14</v>
      </c>
      <c r="J460" s="3">
        <v>26145</v>
      </c>
      <c r="K460" s="3">
        <v>2522597</v>
      </c>
      <c r="L460" s="3" t="s">
        <v>13</v>
      </c>
    </row>
    <row r="461" spans="1:12" x14ac:dyDescent="0.25">
      <c r="A461" s="3" t="str">
        <f t="shared" si="7"/>
        <v>APP460</v>
      </c>
      <c r="B461" s="3">
        <v>41</v>
      </c>
      <c r="C461" s="3">
        <v>245107</v>
      </c>
      <c r="D461" s="3" t="s">
        <v>12</v>
      </c>
      <c r="E461" s="3">
        <v>20</v>
      </c>
      <c r="F461" s="3">
        <v>750</v>
      </c>
      <c r="G461" s="3">
        <v>5</v>
      </c>
      <c r="H461" s="3">
        <v>1666794</v>
      </c>
      <c r="I461" s="3">
        <v>15</v>
      </c>
      <c r="J461" s="3">
        <v>68154</v>
      </c>
      <c r="K461" s="3">
        <v>9825892</v>
      </c>
      <c r="L461" s="3" t="s">
        <v>13</v>
      </c>
    </row>
    <row r="462" spans="1:12" x14ac:dyDescent="0.25">
      <c r="A462" s="3" t="str">
        <f t="shared" si="7"/>
        <v>APP461</v>
      </c>
      <c r="B462" s="3">
        <v>47</v>
      </c>
      <c r="C462" s="3">
        <v>1813715</v>
      </c>
      <c r="D462" s="3" t="s">
        <v>16</v>
      </c>
      <c r="E462" s="3">
        <v>1</v>
      </c>
      <c r="F462" s="3">
        <v>509</v>
      </c>
      <c r="G462" s="3">
        <v>3</v>
      </c>
      <c r="H462" s="3">
        <v>1127028</v>
      </c>
      <c r="I462" s="3">
        <v>3</v>
      </c>
      <c r="J462" s="3">
        <v>48203</v>
      </c>
      <c r="K462" s="3">
        <v>5509653</v>
      </c>
      <c r="L462" s="3" t="s">
        <v>13</v>
      </c>
    </row>
    <row r="463" spans="1:12" x14ac:dyDescent="0.25">
      <c r="A463" s="3" t="str">
        <f t="shared" si="7"/>
        <v>APP462</v>
      </c>
      <c r="B463" s="3">
        <v>52</v>
      </c>
      <c r="C463" s="3">
        <v>2412815</v>
      </c>
      <c r="D463" s="3" t="s">
        <v>16</v>
      </c>
      <c r="E463" s="3">
        <v>20</v>
      </c>
      <c r="F463" s="3">
        <v>441</v>
      </c>
      <c r="G463" s="3">
        <v>2</v>
      </c>
      <c r="H463" s="3">
        <v>2886839</v>
      </c>
      <c r="I463" s="3">
        <v>23</v>
      </c>
      <c r="J463" s="3">
        <v>4701</v>
      </c>
      <c r="K463" s="3">
        <v>4294956</v>
      </c>
      <c r="L463" s="3" t="s">
        <v>13</v>
      </c>
    </row>
    <row r="464" spans="1:12" x14ac:dyDescent="0.25">
      <c r="A464" s="3" t="str">
        <f t="shared" si="7"/>
        <v>APP463</v>
      </c>
      <c r="B464" s="3">
        <v>23</v>
      </c>
      <c r="C464" s="3">
        <v>2015569</v>
      </c>
      <c r="D464" s="3" t="s">
        <v>12</v>
      </c>
      <c r="E464" s="3">
        <v>29</v>
      </c>
      <c r="F464" s="3">
        <v>843</v>
      </c>
      <c r="G464" s="3">
        <v>1</v>
      </c>
      <c r="H464" s="3">
        <v>4010484</v>
      </c>
      <c r="I464" s="3">
        <v>30</v>
      </c>
      <c r="J464" s="3">
        <v>17573</v>
      </c>
      <c r="K464" s="3">
        <v>7677480</v>
      </c>
      <c r="L464" s="3" t="s">
        <v>13</v>
      </c>
    </row>
    <row r="465" spans="1:12" x14ac:dyDescent="0.25">
      <c r="A465" s="3" t="str">
        <f t="shared" si="7"/>
        <v>APP464</v>
      </c>
      <c r="B465" s="3">
        <v>32</v>
      </c>
      <c r="C465" s="3">
        <v>2391924</v>
      </c>
      <c r="D465" s="3" t="s">
        <v>14</v>
      </c>
      <c r="E465" s="3">
        <v>33</v>
      </c>
      <c r="F465" s="3">
        <v>317</v>
      </c>
      <c r="G465" s="3">
        <v>5</v>
      </c>
      <c r="H465" s="3">
        <v>625303</v>
      </c>
      <c r="I465" s="3">
        <v>9</v>
      </c>
      <c r="J465" s="3">
        <v>8708</v>
      </c>
      <c r="K465" s="3">
        <v>7238862</v>
      </c>
      <c r="L465" s="3" t="s">
        <v>13</v>
      </c>
    </row>
    <row r="466" spans="1:12" x14ac:dyDescent="0.25">
      <c r="A466" s="3" t="str">
        <f t="shared" si="7"/>
        <v>APP465</v>
      </c>
      <c r="B466" s="3">
        <v>36</v>
      </c>
      <c r="C466" s="3">
        <v>1988697</v>
      </c>
      <c r="D466" s="3" t="s">
        <v>12</v>
      </c>
      <c r="E466" s="3">
        <v>11</v>
      </c>
      <c r="F466" s="3">
        <v>433</v>
      </c>
      <c r="G466" s="3">
        <v>0</v>
      </c>
      <c r="H466" s="3">
        <v>1883213</v>
      </c>
      <c r="I466" s="3">
        <v>20</v>
      </c>
      <c r="J466" s="3">
        <v>7675</v>
      </c>
      <c r="K466" s="3">
        <v>4599877</v>
      </c>
      <c r="L466" s="3" t="s">
        <v>13</v>
      </c>
    </row>
    <row r="467" spans="1:12" x14ac:dyDescent="0.25">
      <c r="A467" s="3" t="str">
        <f t="shared" si="7"/>
        <v>APP466</v>
      </c>
      <c r="B467" s="3">
        <v>52</v>
      </c>
      <c r="C467" s="3">
        <v>902809</v>
      </c>
      <c r="D467" s="3" t="s">
        <v>16</v>
      </c>
      <c r="E467" s="3">
        <v>12</v>
      </c>
      <c r="F467" s="3">
        <v>806</v>
      </c>
      <c r="G467" s="3">
        <v>3</v>
      </c>
      <c r="H467" s="3">
        <v>3118953</v>
      </c>
      <c r="I467" s="3">
        <v>7</v>
      </c>
      <c r="J467" s="3">
        <v>32315</v>
      </c>
      <c r="K467" s="3">
        <v>1883122</v>
      </c>
      <c r="L467" s="3" t="s">
        <v>13</v>
      </c>
    </row>
    <row r="468" spans="1:12" x14ac:dyDescent="0.25">
      <c r="A468" s="3" t="str">
        <f t="shared" si="7"/>
        <v>APP467</v>
      </c>
      <c r="B468" s="3">
        <v>44</v>
      </c>
      <c r="C468" s="3">
        <v>1807028</v>
      </c>
      <c r="D468" s="3" t="s">
        <v>16</v>
      </c>
      <c r="E468" s="3">
        <v>9</v>
      </c>
      <c r="F468" s="3">
        <v>608</v>
      </c>
      <c r="G468" s="3">
        <v>1</v>
      </c>
      <c r="H468" s="3">
        <v>3566447</v>
      </c>
      <c r="I468" s="3">
        <v>21</v>
      </c>
      <c r="J468" s="3">
        <v>27390</v>
      </c>
      <c r="K468" s="3">
        <v>1423336</v>
      </c>
      <c r="L468" s="3" t="s">
        <v>15</v>
      </c>
    </row>
    <row r="469" spans="1:12" x14ac:dyDescent="0.25">
      <c r="A469" s="3" t="str">
        <f t="shared" si="7"/>
        <v>APP468</v>
      </c>
      <c r="B469" s="3">
        <v>27</v>
      </c>
      <c r="C469" s="3">
        <v>1545917</v>
      </c>
      <c r="D469" s="3" t="s">
        <v>16</v>
      </c>
      <c r="E469" s="3">
        <v>8</v>
      </c>
      <c r="F469" s="3">
        <v>862</v>
      </c>
      <c r="G469" s="3">
        <v>1</v>
      </c>
      <c r="H469" s="3">
        <v>703433</v>
      </c>
      <c r="I469" s="3">
        <v>18</v>
      </c>
      <c r="J469" s="3">
        <v>10071</v>
      </c>
      <c r="K469" s="3">
        <v>9678044</v>
      </c>
      <c r="L469" s="3" t="s">
        <v>13</v>
      </c>
    </row>
    <row r="470" spans="1:12" x14ac:dyDescent="0.25">
      <c r="A470" s="3" t="str">
        <f t="shared" si="7"/>
        <v>APP469</v>
      </c>
      <c r="B470" s="3">
        <v>27</v>
      </c>
      <c r="C470" s="3">
        <v>523032</v>
      </c>
      <c r="D470" s="3" t="s">
        <v>14</v>
      </c>
      <c r="E470" s="3">
        <v>22</v>
      </c>
      <c r="F470" s="3">
        <v>783</v>
      </c>
      <c r="G470" s="3">
        <v>3</v>
      </c>
      <c r="H470" s="3">
        <v>1384757</v>
      </c>
      <c r="I470" s="3">
        <v>26</v>
      </c>
      <c r="J470" s="3">
        <v>71772</v>
      </c>
      <c r="K470" s="3">
        <v>6734899</v>
      </c>
      <c r="L470" s="3" t="s">
        <v>15</v>
      </c>
    </row>
    <row r="471" spans="1:12" x14ac:dyDescent="0.25">
      <c r="A471" s="3" t="str">
        <f t="shared" si="7"/>
        <v>APP470</v>
      </c>
      <c r="B471" s="3">
        <v>21</v>
      </c>
      <c r="C471" s="3">
        <v>350176</v>
      </c>
      <c r="D471" s="3" t="s">
        <v>12</v>
      </c>
      <c r="E471" s="3">
        <v>21</v>
      </c>
      <c r="F471" s="3">
        <v>500</v>
      </c>
      <c r="G471" s="3">
        <v>4</v>
      </c>
      <c r="H471" s="3">
        <v>3173968</v>
      </c>
      <c r="I471" s="3">
        <v>20</v>
      </c>
      <c r="J471" s="3">
        <v>22371</v>
      </c>
      <c r="K471" s="3">
        <v>7459230</v>
      </c>
      <c r="L471" s="3" t="s">
        <v>13</v>
      </c>
    </row>
    <row r="472" spans="1:12" x14ac:dyDescent="0.25">
      <c r="A472" s="3" t="str">
        <f t="shared" si="7"/>
        <v>APP471</v>
      </c>
      <c r="B472" s="3">
        <v>53</v>
      </c>
      <c r="C472" s="3">
        <v>1114318</v>
      </c>
      <c r="D472" s="3" t="s">
        <v>16</v>
      </c>
      <c r="E472" s="3">
        <v>6</v>
      </c>
      <c r="F472" s="3">
        <v>553</v>
      </c>
      <c r="G472" s="3">
        <v>3</v>
      </c>
      <c r="H472" s="3">
        <v>2626855</v>
      </c>
      <c r="I472" s="3">
        <v>18</v>
      </c>
      <c r="J472" s="3">
        <v>44531</v>
      </c>
      <c r="K472" s="3">
        <v>5568255</v>
      </c>
      <c r="L472" s="3" t="s">
        <v>13</v>
      </c>
    </row>
    <row r="473" spans="1:12" x14ac:dyDescent="0.25">
      <c r="A473" s="3" t="str">
        <f t="shared" si="7"/>
        <v>APP472</v>
      </c>
      <c r="B473" s="3">
        <v>44</v>
      </c>
      <c r="C473" s="3">
        <v>1180453</v>
      </c>
      <c r="D473" s="3" t="s">
        <v>14</v>
      </c>
      <c r="E473" s="3">
        <v>14</v>
      </c>
      <c r="F473" s="3">
        <v>852</v>
      </c>
      <c r="G473" s="3">
        <v>0</v>
      </c>
      <c r="H473" s="3">
        <v>2041848</v>
      </c>
      <c r="I473" s="3">
        <v>10</v>
      </c>
      <c r="J473" s="3">
        <v>19701</v>
      </c>
      <c r="K473" s="3">
        <v>544884</v>
      </c>
      <c r="L473" s="3" t="s">
        <v>15</v>
      </c>
    </row>
    <row r="474" spans="1:12" x14ac:dyDescent="0.25">
      <c r="A474" s="3" t="str">
        <f t="shared" si="7"/>
        <v>APP473</v>
      </c>
      <c r="B474" s="3">
        <v>60</v>
      </c>
      <c r="C474" s="3">
        <v>2428910</v>
      </c>
      <c r="D474" s="3" t="s">
        <v>12</v>
      </c>
      <c r="E474" s="3">
        <v>10</v>
      </c>
      <c r="F474" s="3">
        <v>487</v>
      </c>
      <c r="G474" s="3">
        <v>5</v>
      </c>
      <c r="H474" s="3">
        <v>3445084</v>
      </c>
      <c r="I474" s="3">
        <v>7</v>
      </c>
      <c r="J474" s="3">
        <v>51429</v>
      </c>
      <c r="K474" s="3">
        <v>7752976</v>
      </c>
      <c r="L474" s="3" t="s">
        <v>15</v>
      </c>
    </row>
    <row r="475" spans="1:12" x14ac:dyDescent="0.25">
      <c r="A475" s="3" t="str">
        <f t="shared" si="7"/>
        <v>APP474</v>
      </c>
      <c r="B475" s="3">
        <v>46</v>
      </c>
      <c r="C475" s="3">
        <v>2412035</v>
      </c>
      <c r="D475" s="3" t="s">
        <v>14</v>
      </c>
      <c r="E475" s="3">
        <v>18</v>
      </c>
      <c r="F475" s="3">
        <v>636</v>
      </c>
      <c r="G475" s="3">
        <v>4</v>
      </c>
      <c r="H475" s="3">
        <v>4611979</v>
      </c>
      <c r="I475" s="3">
        <v>4</v>
      </c>
      <c r="J475" s="3">
        <v>64085</v>
      </c>
      <c r="K475" s="3">
        <v>8062571</v>
      </c>
      <c r="L475" s="3" t="s">
        <v>13</v>
      </c>
    </row>
    <row r="476" spans="1:12" x14ac:dyDescent="0.25">
      <c r="A476" s="3" t="str">
        <f t="shared" si="7"/>
        <v>APP475</v>
      </c>
      <c r="B476" s="3">
        <v>34</v>
      </c>
      <c r="C476" s="3">
        <v>717005</v>
      </c>
      <c r="D476" s="3" t="s">
        <v>14</v>
      </c>
      <c r="E476" s="3">
        <v>20</v>
      </c>
      <c r="F476" s="3">
        <v>614</v>
      </c>
      <c r="G476" s="3">
        <v>0</v>
      </c>
      <c r="H476" s="3">
        <v>2921394</v>
      </c>
      <c r="I476" s="3">
        <v>2</v>
      </c>
      <c r="J476" s="3">
        <v>35265</v>
      </c>
      <c r="K476" s="3">
        <v>3681976</v>
      </c>
      <c r="L476" s="3" t="s">
        <v>13</v>
      </c>
    </row>
    <row r="477" spans="1:12" x14ac:dyDescent="0.25">
      <c r="A477" s="3" t="str">
        <f t="shared" si="7"/>
        <v>APP476</v>
      </c>
      <c r="B477" s="3">
        <v>51</v>
      </c>
      <c r="C477" s="3">
        <v>2305573</v>
      </c>
      <c r="D477" s="3" t="s">
        <v>12</v>
      </c>
      <c r="E477" s="3">
        <v>27</v>
      </c>
      <c r="F477" s="3">
        <v>545</v>
      </c>
      <c r="G477" s="3">
        <v>1</v>
      </c>
      <c r="H477" s="3">
        <v>1300490</v>
      </c>
      <c r="I477" s="3">
        <v>17</v>
      </c>
      <c r="J477" s="3">
        <v>39973</v>
      </c>
      <c r="K477" s="3">
        <v>7775100</v>
      </c>
      <c r="L477" s="3" t="s">
        <v>13</v>
      </c>
    </row>
    <row r="478" spans="1:12" x14ac:dyDescent="0.25">
      <c r="A478" s="3" t="str">
        <f t="shared" si="7"/>
        <v>APP477</v>
      </c>
      <c r="B478" s="3">
        <v>51</v>
      </c>
      <c r="C478" s="3">
        <v>877255</v>
      </c>
      <c r="D478" s="3" t="s">
        <v>12</v>
      </c>
      <c r="E478" s="3">
        <v>34</v>
      </c>
      <c r="F478" s="3">
        <v>855</v>
      </c>
      <c r="G478" s="3">
        <v>5</v>
      </c>
      <c r="H478" s="3">
        <v>1765506</v>
      </c>
      <c r="I478" s="3">
        <v>10</v>
      </c>
      <c r="J478" s="3">
        <v>22326</v>
      </c>
      <c r="K478" s="3">
        <v>6724716</v>
      </c>
      <c r="L478" s="3" t="s">
        <v>13</v>
      </c>
    </row>
    <row r="479" spans="1:12" x14ac:dyDescent="0.25">
      <c r="A479" s="3" t="str">
        <f t="shared" si="7"/>
        <v>APP478</v>
      </c>
      <c r="B479" s="3">
        <v>60</v>
      </c>
      <c r="C479" s="3">
        <v>378621</v>
      </c>
      <c r="D479" s="3" t="s">
        <v>12</v>
      </c>
      <c r="E479" s="3">
        <v>15</v>
      </c>
      <c r="F479" s="3">
        <v>639</v>
      </c>
      <c r="G479" s="3">
        <v>1</v>
      </c>
      <c r="H479" s="3">
        <v>4759278</v>
      </c>
      <c r="I479" s="3">
        <v>13</v>
      </c>
      <c r="J479" s="3">
        <v>13992</v>
      </c>
      <c r="K479" s="3">
        <v>1203656</v>
      </c>
      <c r="L479" s="3" t="s">
        <v>15</v>
      </c>
    </row>
    <row r="480" spans="1:12" x14ac:dyDescent="0.25">
      <c r="A480" s="3" t="str">
        <f t="shared" si="7"/>
        <v>APP479</v>
      </c>
      <c r="B480" s="3">
        <v>33</v>
      </c>
      <c r="C480" s="3">
        <v>1520063</v>
      </c>
      <c r="D480" s="3" t="s">
        <v>14</v>
      </c>
      <c r="E480" s="3">
        <v>22</v>
      </c>
      <c r="F480" s="3">
        <v>842</v>
      </c>
      <c r="G480" s="3">
        <v>1</v>
      </c>
      <c r="H480" s="3">
        <v>3515644</v>
      </c>
      <c r="I480" s="3">
        <v>8</v>
      </c>
      <c r="J480" s="3">
        <v>50496</v>
      </c>
      <c r="K480" s="3">
        <v>8666382</v>
      </c>
      <c r="L480" s="3" t="s">
        <v>13</v>
      </c>
    </row>
    <row r="481" spans="1:12" x14ac:dyDescent="0.25">
      <c r="A481" s="3" t="str">
        <f t="shared" si="7"/>
        <v>APP480</v>
      </c>
      <c r="B481" s="3">
        <v>61</v>
      </c>
      <c r="C481" s="3">
        <v>1478386</v>
      </c>
      <c r="D481" s="3" t="s">
        <v>12</v>
      </c>
      <c r="E481" s="3">
        <v>9</v>
      </c>
      <c r="F481" s="3">
        <v>522</v>
      </c>
      <c r="G481" s="3">
        <v>4</v>
      </c>
      <c r="H481" s="3">
        <v>874099</v>
      </c>
      <c r="I481" s="3">
        <v>28</v>
      </c>
      <c r="J481" s="3">
        <v>23504</v>
      </c>
      <c r="K481" s="3">
        <v>7052252</v>
      </c>
      <c r="L481" s="3" t="s">
        <v>15</v>
      </c>
    </row>
    <row r="482" spans="1:12" x14ac:dyDescent="0.25">
      <c r="A482" s="3" t="str">
        <f t="shared" si="7"/>
        <v>APP481</v>
      </c>
      <c r="B482" s="3">
        <v>63</v>
      </c>
      <c r="C482" s="3">
        <v>1199785</v>
      </c>
      <c r="D482" s="3" t="s">
        <v>16</v>
      </c>
      <c r="E482" s="3">
        <v>6</v>
      </c>
      <c r="F482" s="3">
        <v>787</v>
      </c>
      <c r="G482" s="3">
        <v>2</v>
      </c>
      <c r="H482" s="3">
        <v>4541108</v>
      </c>
      <c r="I482" s="3">
        <v>21</v>
      </c>
      <c r="J482" s="3">
        <v>72532</v>
      </c>
      <c r="K482" s="3">
        <v>5767695</v>
      </c>
      <c r="L482" s="3" t="s">
        <v>15</v>
      </c>
    </row>
    <row r="483" spans="1:12" x14ac:dyDescent="0.25">
      <c r="A483" s="3" t="str">
        <f t="shared" si="7"/>
        <v>APP482</v>
      </c>
      <c r="B483" s="3">
        <v>24</v>
      </c>
      <c r="C483" s="3">
        <v>1368536</v>
      </c>
      <c r="D483" s="3" t="s">
        <v>14</v>
      </c>
      <c r="E483" s="3">
        <v>7</v>
      </c>
      <c r="F483" s="3">
        <v>483</v>
      </c>
      <c r="G483" s="3">
        <v>0</v>
      </c>
      <c r="H483" s="3">
        <v>1880454</v>
      </c>
      <c r="I483" s="3">
        <v>19</v>
      </c>
      <c r="J483" s="3">
        <v>54551</v>
      </c>
      <c r="K483" s="3">
        <v>6004191</v>
      </c>
      <c r="L483" s="3" t="s">
        <v>13</v>
      </c>
    </row>
    <row r="484" spans="1:12" x14ac:dyDescent="0.25">
      <c r="A484" s="3" t="str">
        <f t="shared" si="7"/>
        <v>APP483</v>
      </c>
      <c r="B484" s="3">
        <v>35</v>
      </c>
      <c r="C484" s="3">
        <v>433465</v>
      </c>
      <c r="D484" s="3" t="s">
        <v>16</v>
      </c>
      <c r="E484" s="3">
        <v>2</v>
      </c>
      <c r="F484" s="3">
        <v>318</v>
      </c>
      <c r="G484" s="3">
        <v>3</v>
      </c>
      <c r="H484" s="3">
        <v>3411812</v>
      </c>
      <c r="I484" s="3">
        <v>28</v>
      </c>
      <c r="J484" s="3">
        <v>63113</v>
      </c>
      <c r="K484" s="3">
        <v>7654553</v>
      </c>
      <c r="L484" s="3" t="s">
        <v>13</v>
      </c>
    </row>
    <row r="485" spans="1:12" x14ac:dyDescent="0.25">
      <c r="A485" s="3" t="str">
        <f t="shared" si="7"/>
        <v>APP484</v>
      </c>
      <c r="B485" s="3">
        <v>58</v>
      </c>
      <c r="C485" s="3">
        <v>579492</v>
      </c>
      <c r="D485" s="3" t="s">
        <v>16</v>
      </c>
      <c r="E485" s="3">
        <v>14</v>
      </c>
      <c r="F485" s="3">
        <v>725</v>
      </c>
      <c r="G485" s="3">
        <v>4</v>
      </c>
      <c r="H485" s="3">
        <v>4541287</v>
      </c>
      <c r="I485" s="3">
        <v>18</v>
      </c>
      <c r="J485" s="3">
        <v>41553</v>
      </c>
      <c r="K485" s="3">
        <v>5692088</v>
      </c>
      <c r="L485" s="3" t="s">
        <v>13</v>
      </c>
    </row>
    <row r="486" spans="1:12" x14ac:dyDescent="0.25">
      <c r="A486" s="3" t="str">
        <f t="shared" si="7"/>
        <v>APP485</v>
      </c>
      <c r="B486" s="3">
        <v>28</v>
      </c>
      <c r="C486" s="3">
        <v>813972</v>
      </c>
      <c r="D486" s="3" t="s">
        <v>12</v>
      </c>
      <c r="E486" s="3">
        <v>29</v>
      </c>
      <c r="F486" s="3">
        <v>576</v>
      </c>
      <c r="G486" s="3">
        <v>5</v>
      </c>
      <c r="H486" s="3">
        <v>2946347</v>
      </c>
      <c r="I486" s="3">
        <v>27</v>
      </c>
      <c r="J486" s="3">
        <v>71795</v>
      </c>
      <c r="K486" s="3">
        <v>8569314</v>
      </c>
      <c r="L486" s="3" t="s">
        <v>13</v>
      </c>
    </row>
    <row r="487" spans="1:12" x14ac:dyDescent="0.25">
      <c r="A487" s="3" t="str">
        <f t="shared" si="7"/>
        <v>APP486</v>
      </c>
      <c r="B487" s="3">
        <v>23</v>
      </c>
      <c r="C487" s="3">
        <v>815020</v>
      </c>
      <c r="D487" s="3" t="s">
        <v>12</v>
      </c>
      <c r="E487" s="3">
        <v>10</v>
      </c>
      <c r="F487" s="3">
        <v>473</v>
      </c>
      <c r="G487" s="3">
        <v>0</v>
      </c>
      <c r="H487" s="3">
        <v>3594094</v>
      </c>
      <c r="I487" s="3">
        <v>14</v>
      </c>
      <c r="J487" s="3">
        <v>23460</v>
      </c>
      <c r="K487" s="3">
        <v>7908320</v>
      </c>
      <c r="L487" s="3" t="s">
        <v>15</v>
      </c>
    </row>
    <row r="488" spans="1:12" x14ac:dyDescent="0.25">
      <c r="A488" s="3" t="str">
        <f t="shared" si="7"/>
        <v>APP487</v>
      </c>
      <c r="B488" s="3">
        <v>48</v>
      </c>
      <c r="C488" s="3">
        <v>171592</v>
      </c>
      <c r="D488" s="3" t="s">
        <v>14</v>
      </c>
      <c r="E488" s="3">
        <v>11</v>
      </c>
      <c r="F488" s="3">
        <v>305</v>
      </c>
      <c r="G488" s="3">
        <v>4</v>
      </c>
      <c r="H488" s="3">
        <v>4265321</v>
      </c>
      <c r="I488" s="3">
        <v>5</v>
      </c>
      <c r="J488" s="3">
        <v>32747</v>
      </c>
      <c r="K488" s="3">
        <v>3604092</v>
      </c>
      <c r="L488" s="3" t="s">
        <v>13</v>
      </c>
    </row>
    <row r="489" spans="1:12" x14ac:dyDescent="0.25">
      <c r="A489" s="3" t="str">
        <f t="shared" si="7"/>
        <v>APP488</v>
      </c>
      <c r="B489" s="3">
        <v>36</v>
      </c>
      <c r="C489" s="3">
        <v>584706</v>
      </c>
      <c r="D489" s="3" t="s">
        <v>14</v>
      </c>
      <c r="E489" s="3">
        <v>14</v>
      </c>
      <c r="F489" s="3">
        <v>305</v>
      </c>
      <c r="G489" s="3">
        <v>3</v>
      </c>
      <c r="H489" s="3">
        <v>4509570</v>
      </c>
      <c r="I489" s="3">
        <v>26</v>
      </c>
      <c r="J489" s="3">
        <v>30842</v>
      </c>
      <c r="K489" s="3">
        <v>4656450</v>
      </c>
      <c r="L489" s="3" t="s">
        <v>13</v>
      </c>
    </row>
    <row r="490" spans="1:12" x14ac:dyDescent="0.25">
      <c r="A490" s="3" t="str">
        <f t="shared" si="7"/>
        <v>APP489</v>
      </c>
      <c r="B490" s="3">
        <v>49</v>
      </c>
      <c r="C490" s="3">
        <v>300746</v>
      </c>
      <c r="D490" s="3" t="s">
        <v>14</v>
      </c>
      <c r="E490" s="3">
        <v>12</v>
      </c>
      <c r="F490" s="3">
        <v>682</v>
      </c>
      <c r="G490" s="3">
        <v>1</v>
      </c>
      <c r="H490" s="3">
        <v>1157091</v>
      </c>
      <c r="I490" s="3">
        <v>3</v>
      </c>
      <c r="J490" s="3">
        <v>43156</v>
      </c>
      <c r="K490" s="3">
        <v>2458108</v>
      </c>
      <c r="L490" s="3" t="s">
        <v>15</v>
      </c>
    </row>
    <row r="491" spans="1:12" x14ac:dyDescent="0.25">
      <c r="A491" s="3" t="str">
        <f t="shared" si="7"/>
        <v>APP490</v>
      </c>
      <c r="B491" s="3">
        <v>53</v>
      </c>
      <c r="C491" s="3">
        <v>312632</v>
      </c>
      <c r="D491" s="3" t="s">
        <v>12</v>
      </c>
      <c r="E491" s="3">
        <v>22</v>
      </c>
      <c r="F491" s="3">
        <v>525</v>
      </c>
      <c r="G491" s="3">
        <v>1</v>
      </c>
      <c r="H491" s="3">
        <v>2865595</v>
      </c>
      <c r="I491" s="3">
        <v>21</v>
      </c>
      <c r="J491" s="3">
        <v>40294</v>
      </c>
      <c r="K491" s="3">
        <v>5019711</v>
      </c>
      <c r="L491" s="3" t="s">
        <v>15</v>
      </c>
    </row>
    <row r="492" spans="1:12" x14ac:dyDescent="0.25">
      <c r="A492" s="3" t="str">
        <f t="shared" si="7"/>
        <v>APP491</v>
      </c>
      <c r="B492" s="3">
        <v>30</v>
      </c>
      <c r="C492" s="3">
        <v>2394640</v>
      </c>
      <c r="D492" s="3" t="s">
        <v>16</v>
      </c>
      <c r="E492" s="3">
        <v>30</v>
      </c>
      <c r="F492" s="3">
        <v>588</v>
      </c>
      <c r="G492" s="3">
        <v>5</v>
      </c>
      <c r="H492" s="3">
        <v>1881806</v>
      </c>
      <c r="I492" s="3">
        <v>25</v>
      </c>
      <c r="J492" s="3">
        <v>71458</v>
      </c>
      <c r="K492" s="3">
        <v>280625</v>
      </c>
      <c r="L492" s="3" t="s">
        <v>13</v>
      </c>
    </row>
    <row r="493" spans="1:12" x14ac:dyDescent="0.25">
      <c r="A493" s="3" t="str">
        <f t="shared" si="7"/>
        <v>APP492</v>
      </c>
      <c r="B493" s="3">
        <v>38</v>
      </c>
      <c r="C493" s="3">
        <v>2175880</v>
      </c>
      <c r="D493" s="3" t="s">
        <v>16</v>
      </c>
      <c r="E493" s="3">
        <v>1</v>
      </c>
      <c r="F493" s="3">
        <v>411</v>
      </c>
      <c r="G493" s="3">
        <v>0</v>
      </c>
      <c r="H493" s="3">
        <v>340767</v>
      </c>
      <c r="I493" s="3">
        <v>22</v>
      </c>
      <c r="J493" s="3">
        <v>70602</v>
      </c>
      <c r="K493" s="3">
        <v>3587887</v>
      </c>
      <c r="L493" s="3" t="s">
        <v>13</v>
      </c>
    </row>
    <row r="494" spans="1:12" x14ac:dyDescent="0.25">
      <c r="A494" s="3" t="str">
        <f t="shared" si="7"/>
        <v>APP493</v>
      </c>
      <c r="B494" s="3">
        <v>57</v>
      </c>
      <c r="C494" s="3">
        <v>2012660</v>
      </c>
      <c r="D494" s="3" t="s">
        <v>16</v>
      </c>
      <c r="E494" s="3">
        <v>8</v>
      </c>
      <c r="F494" s="3">
        <v>779</v>
      </c>
      <c r="G494" s="3">
        <v>0</v>
      </c>
      <c r="H494" s="3">
        <v>3753981</v>
      </c>
      <c r="I494" s="3">
        <v>19</v>
      </c>
      <c r="J494" s="3">
        <v>11661</v>
      </c>
      <c r="K494" s="3">
        <v>4994767</v>
      </c>
      <c r="L494" s="3" t="s">
        <v>13</v>
      </c>
    </row>
    <row r="495" spans="1:12" x14ac:dyDescent="0.25">
      <c r="A495" s="3" t="str">
        <f t="shared" si="7"/>
        <v>APP494</v>
      </c>
      <c r="B495" s="3">
        <v>49</v>
      </c>
      <c r="C495" s="3">
        <v>781139</v>
      </c>
      <c r="D495" s="3" t="s">
        <v>16</v>
      </c>
      <c r="E495" s="3">
        <v>35</v>
      </c>
      <c r="F495" s="3">
        <v>603</v>
      </c>
      <c r="G495" s="3">
        <v>2</v>
      </c>
      <c r="H495" s="3">
        <v>756776</v>
      </c>
      <c r="I495" s="3">
        <v>8</v>
      </c>
      <c r="J495" s="3">
        <v>53189</v>
      </c>
      <c r="K495" s="3">
        <v>8929792</v>
      </c>
      <c r="L495" s="3" t="s">
        <v>13</v>
      </c>
    </row>
    <row r="496" spans="1:12" x14ac:dyDescent="0.25">
      <c r="A496" s="3" t="str">
        <f t="shared" si="7"/>
        <v>APP495</v>
      </c>
      <c r="B496" s="3">
        <v>23</v>
      </c>
      <c r="C496" s="3">
        <v>580784</v>
      </c>
      <c r="D496" s="3" t="s">
        <v>14</v>
      </c>
      <c r="E496" s="3">
        <v>4</v>
      </c>
      <c r="F496" s="3">
        <v>848</v>
      </c>
      <c r="G496" s="3">
        <v>4</v>
      </c>
      <c r="H496" s="3">
        <v>3437741</v>
      </c>
      <c r="I496" s="3">
        <v>9</v>
      </c>
      <c r="J496" s="3">
        <v>3290</v>
      </c>
      <c r="K496" s="3">
        <v>2104009</v>
      </c>
      <c r="L496" s="3" t="s">
        <v>13</v>
      </c>
    </row>
    <row r="497" spans="1:12" x14ac:dyDescent="0.25">
      <c r="A497" s="3" t="str">
        <f t="shared" si="7"/>
        <v>APP496</v>
      </c>
      <c r="B497" s="3">
        <v>36</v>
      </c>
      <c r="C497" s="3">
        <v>1947529</v>
      </c>
      <c r="D497" s="3" t="s">
        <v>14</v>
      </c>
      <c r="E497" s="3">
        <v>10</v>
      </c>
      <c r="F497" s="3">
        <v>749</v>
      </c>
      <c r="G497" s="3">
        <v>5</v>
      </c>
      <c r="H497" s="3">
        <v>1525959</v>
      </c>
      <c r="I497" s="3">
        <v>25</v>
      </c>
      <c r="J497" s="3">
        <v>63796</v>
      </c>
      <c r="K497" s="3">
        <v>1215054</v>
      </c>
      <c r="L497" s="3" t="s">
        <v>13</v>
      </c>
    </row>
    <row r="498" spans="1:12" x14ac:dyDescent="0.25">
      <c r="A498" s="3" t="str">
        <f t="shared" si="7"/>
        <v>APP497</v>
      </c>
      <c r="B498" s="3">
        <v>58</v>
      </c>
      <c r="C498" s="3">
        <v>1192164</v>
      </c>
      <c r="D498" s="3" t="s">
        <v>16</v>
      </c>
      <c r="E498" s="3">
        <v>3</v>
      </c>
      <c r="F498" s="3">
        <v>843</v>
      </c>
      <c r="G498" s="3">
        <v>2</v>
      </c>
      <c r="H498" s="3">
        <v>1429324</v>
      </c>
      <c r="I498" s="3">
        <v>7</v>
      </c>
      <c r="J498" s="3">
        <v>4567</v>
      </c>
      <c r="K498" s="3">
        <v>1117132</v>
      </c>
      <c r="L498" s="3" t="s">
        <v>13</v>
      </c>
    </row>
    <row r="499" spans="1:12" x14ac:dyDescent="0.25">
      <c r="A499" s="3" t="str">
        <f t="shared" si="7"/>
        <v>APP498</v>
      </c>
      <c r="B499" s="3">
        <v>22</v>
      </c>
      <c r="C499" s="3">
        <v>2252654</v>
      </c>
      <c r="D499" s="3" t="s">
        <v>12</v>
      </c>
      <c r="E499" s="3">
        <v>25</v>
      </c>
      <c r="F499" s="3">
        <v>387</v>
      </c>
      <c r="G499" s="3">
        <v>2</v>
      </c>
      <c r="H499" s="3">
        <v>3797516</v>
      </c>
      <c r="I499" s="3">
        <v>2</v>
      </c>
      <c r="J499" s="3">
        <v>22341</v>
      </c>
      <c r="K499" s="3">
        <v>7476368</v>
      </c>
      <c r="L499" s="3" t="s">
        <v>13</v>
      </c>
    </row>
    <row r="500" spans="1:12" x14ac:dyDescent="0.25">
      <c r="A500" s="3" t="str">
        <f t="shared" si="7"/>
        <v>APP499</v>
      </c>
      <c r="B500" s="3">
        <v>41</v>
      </c>
      <c r="C500" s="3">
        <v>2269603</v>
      </c>
      <c r="D500" s="3" t="s">
        <v>16</v>
      </c>
      <c r="E500" s="3">
        <v>10</v>
      </c>
      <c r="F500" s="3">
        <v>795</v>
      </c>
      <c r="G500" s="3">
        <v>5</v>
      </c>
      <c r="H500" s="3">
        <v>4591278</v>
      </c>
      <c r="I500" s="3">
        <v>27</v>
      </c>
      <c r="J500" s="3">
        <v>63461</v>
      </c>
      <c r="K500" s="3">
        <v>5158606</v>
      </c>
      <c r="L500" s="3" t="s">
        <v>13</v>
      </c>
    </row>
    <row r="501" spans="1:12" x14ac:dyDescent="0.25">
      <c r="A501" s="3" t="str">
        <f t="shared" si="7"/>
        <v>APP500</v>
      </c>
      <c r="B501" s="3">
        <v>44</v>
      </c>
      <c r="C501" s="3">
        <v>2478011</v>
      </c>
      <c r="D501" s="3" t="s">
        <v>12</v>
      </c>
      <c r="E501" s="3">
        <v>25</v>
      </c>
      <c r="F501" s="3">
        <v>311</v>
      </c>
      <c r="G501" s="3">
        <v>1</v>
      </c>
      <c r="H501" s="3">
        <v>1146604</v>
      </c>
      <c r="I501" s="3">
        <v>15</v>
      </c>
      <c r="J501" s="3">
        <v>28339</v>
      </c>
      <c r="K501" s="3">
        <v>2733356</v>
      </c>
      <c r="L501" s="3" t="s">
        <v>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3F074-7264-43C0-9274-562B02C5CFED}">
  <sheetPr>
    <tabColor theme="8" tint="-0.249977111117893"/>
  </sheetPr>
  <dimension ref="A1:I501"/>
  <sheetViews>
    <sheetView tabSelected="1" topLeftCell="G1" workbookViewId="0">
      <selection activeCell="K11" sqref="K11"/>
    </sheetView>
  </sheetViews>
  <sheetFormatPr defaultColWidth="27.28515625" defaultRowHeight="15" x14ac:dyDescent="0.25"/>
  <cols>
    <col min="1" max="16384" width="27.28515625" style="4"/>
  </cols>
  <sheetData>
    <row r="1" spans="1:9" s="5" customFormat="1" ht="24.95" customHeight="1" x14ac:dyDescent="0.25">
      <c r="A1" s="5" t="s">
        <v>0</v>
      </c>
      <c r="B1" s="5" t="s">
        <v>17</v>
      </c>
      <c r="C1" s="5" t="s">
        <v>18</v>
      </c>
      <c r="D1" s="5" t="s">
        <v>19</v>
      </c>
      <c r="E1" s="5" t="s">
        <v>20</v>
      </c>
      <c r="F1" s="5" t="s">
        <v>21</v>
      </c>
      <c r="G1" s="5" t="s">
        <v>22</v>
      </c>
      <c r="H1" s="5" t="s">
        <v>23</v>
      </c>
      <c r="I1" s="5" t="s">
        <v>24</v>
      </c>
    </row>
    <row r="2" spans="1:9" x14ac:dyDescent="0.25">
      <c r="A2" s="4" t="str">
        <f>RAW_DATA!A2</f>
        <v>APP001</v>
      </c>
      <c r="B2" s="4" t="b">
        <f>AND(RAW_DATA!B2&gt;=21,RAW_DATA!B2&lt;=60)</f>
        <v>0</v>
      </c>
      <c r="C2" s="4" t="b">
        <f>RAW_DATA!C2&gt;=300000</f>
        <v>1</v>
      </c>
      <c r="D2" s="4" t="b">
        <f>RAW_DATA!F2&gt;=650</f>
        <v>0</v>
      </c>
      <c r="E2" s="4" t="b">
        <f>RAW_DATA!E2&gt;=1</f>
        <v>1</v>
      </c>
      <c r="F2" s="4" t="b">
        <f>RAW_DATA!L2="No"</f>
        <v>1</v>
      </c>
      <c r="G2" s="4" t="b">
        <f>AND(B2:F2)</f>
        <v>0</v>
      </c>
      <c r="H2" s="4" t="str">
        <f>IF(G2,"ELIGIBLE","INELIGIBLE")</f>
        <v>INELIGIBLE</v>
      </c>
      <c r="I2" s="4" t="str">
        <f>IF(G2,"",_xlfn.TEXTJOIN(", ",TRUE,IF(B2,"","Age"),IF(C2,"","Income"),IF(D2,"","Credit Score"),IF(E2,"","Employment"),IF(F2,"","Defaulter History")))</f>
        <v>Age, Credit Score</v>
      </c>
    </row>
    <row r="3" spans="1:9" x14ac:dyDescent="0.25">
      <c r="A3" s="4" t="str">
        <f>RAW_DATA!A3</f>
        <v>APP002</v>
      </c>
      <c r="B3" s="4" t="b">
        <f>AND(RAW_DATA!B3&gt;=21,RAW_DATA!B3&lt;=60)</f>
        <v>1</v>
      </c>
      <c r="C3" s="4" t="b">
        <f>RAW_DATA!C3&gt;=300000</f>
        <v>1</v>
      </c>
      <c r="D3" s="4" t="b">
        <f>RAW_DATA!F3&gt;=650</f>
        <v>0</v>
      </c>
      <c r="E3" s="4" t="b">
        <f>RAW_DATA!E3&gt;=1</f>
        <v>1</v>
      </c>
      <c r="F3" s="4" t="b">
        <f>RAW_DATA!L3="No"</f>
        <v>0</v>
      </c>
      <c r="G3" s="4" t="b">
        <f t="shared" ref="G3:G66" si="0">AND(B3:F3)</f>
        <v>0</v>
      </c>
      <c r="H3" s="4" t="str">
        <f t="shared" ref="H3:H66" si="1">IF(G3,"ELIGIBLE","INELIGIBLE")</f>
        <v>INELIGIBLE</v>
      </c>
      <c r="I3" s="4" t="str">
        <f t="shared" ref="I3:I66" si="2">IF(G3,"",_xlfn.TEXTJOIN(", ",TRUE,IF(B3,"","Age"),IF(C3,"","Income"),IF(D3,"","Credit Score"),IF(E3,"","Employment"),IF(F3,"","Defaulter History")))</f>
        <v>Credit Score, Defaulter History</v>
      </c>
    </row>
    <row r="4" spans="1:9" x14ac:dyDescent="0.25">
      <c r="A4" s="4" t="str">
        <f>RAW_DATA!A4</f>
        <v>APP003</v>
      </c>
      <c r="B4" s="4" t="b">
        <f>AND(RAW_DATA!B4&gt;=21,RAW_DATA!B4&lt;=60)</f>
        <v>0</v>
      </c>
      <c r="C4" s="4" t="b">
        <f>RAW_DATA!C4&gt;=300000</f>
        <v>0</v>
      </c>
      <c r="D4" s="4" t="b">
        <f>RAW_DATA!F4&gt;=650</f>
        <v>1</v>
      </c>
      <c r="E4" s="4" t="b">
        <f>RAW_DATA!E4&gt;=1</f>
        <v>1</v>
      </c>
      <c r="F4" s="4" t="b">
        <f>RAW_DATA!L4="No"</f>
        <v>1</v>
      </c>
      <c r="G4" s="4" t="b">
        <f t="shared" si="0"/>
        <v>0</v>
      </c>
      <c r="H4" s="4" t="str">
        <f t="shared" si="1"/>
        <v>INELIGIBLE</v>
      </c>
      <c r="I4" s="4" t="str">
        <f t="shared" si="2"/>
        <v>Age, Income</v>
      </c>
    </row>
    <row r="5" spans="1:9" x14ac:dyDescent="0.25">
      <c r="A5" s="4" t="str">
        <f>RAW_DATA!A5</f>
        <v>APP004</v>
      </c>
      <c r="B5" s="4" t="b">
        <f>AND(RAW_DATA!B5&gt;=21,RAW_DATA!B5&lt;=60)</f>
        <v>1</v>
      </c>
      <c r="C5" s="4" t="b">
        <f>RAW_DATA!C5&gt;=300000</f>
        <v>1</v>
      </c>
      <c r="D5" s="4" t="b">
        <f>RAW_DATA!F5&gt;=650</f>
        <v>1</v>
      </c>
      <c r="E5" s="4" t="b">
        <f>RAW_DATA!E5&gt;=1</f>
        <v>1</v>
      </c>
      <c r="F5" s="4" t="b">
        <f>RAW_DATA!L5="No"</f>
        <v>1</v>
      </c>
      <c r="G5" s="4" t="b">
        <f t="shared" si="0"/>
        <v>1</v>
      </c>
      <c r="H5" s="4" t="str">
        <f t="shared" si="1"/>
        <v>ELIGIBLE</v>
      </c>
      <c r="I5" s="4" t="str">
        <f t="shared" si="2"/>
        <v/>
      </c>
    </row>
    <row r="6" spans="1:9" x14ac:dyDescent="0.25">
      <c r="A6" s="4" t="str">
        <f>RAW_DATA!A6</f>
        <v>APP005</v>
      </c>
      <c r="B6" s="4" t="b">
        <f>AND(RAW_DATA!B6&gt;=21,RAW_DATA!B6&lt;=60)</f>
        <v>1</v>
      </c>
      <c r="C6" s="4" t="b">
        <f>RAW_DATA!C6&gt;=300000</f>
        <v>1</v>
      </c>
      <c r="D6" s="4" t="b">
        <f>RAW_DATA!F6&gt;=650</f>
        <v>1</v>
      </c>
      <c r="E6" s="4" t="b">
        <f>RAW_DATA!E6&gt;=1</f>
        <v>1</v>
      </c>
      <c r="F6" s="4" t="b">
        <f>RAW_DATA!L6="No"</f>
        <v>1</v>
      </c>
      <c r="G6" s="4" t="b">
        <f t="shared" si="0"/>
        <v>1</v>
      </c>
      <c r="H6" s="4" t="str">
        <f t="shared" si="1"/>
        <v>ELIGIBLE</v>
      </c>
      <c r="I6" s="4" t="str">
        <f t="shared" si="2"/>
        <v/>
      </c>
    </row>
    <row r="7" spans="1:9" x14ac:dyDescent="0.25">
      <c r="A7" s="4" t="str">
        <f>RAW_DATA!A7</f>
        <v>APP006</v>
      </c>
      <c r="B7" s="4" t="b">
        <f>AND(RAW_DATA!B7&gt;=21,RAW_DATA!B7&lt;=60)</f>
        <v>1</v>
      </c>
      <c r="C7" s="4" t="b">
        <f>RAW_DATA!C7&gt;=300000</f>
        <v>1</v>
      </c>
      <c r="D7" s="4" t="b">
        <f>RAW_DATA!F7&gt;=650</f>
        <v>0</v>
      </c>
      <c r="E7" s="4" t="b">
        <f>RAW_DATA!E7&gt;=1</f>
        <v>1</v>
      </c>
      <c r="F7" s="4" t="b">
        <f>RAW_DATA!L7="No"</f>
        <v>1</v>
      </c>
      <c r="G7" s="4" t="b">
        <f t="shared" si="0"/>
        <v>0</v>
      </c>
      <c r="H7" s="4" t="str">
        <f t="shared" si="1"/>
        <v>INELIGIBLE</v>
      </c>
      <c r="I7" s="4" t="str">
        <f t="shared" si="2"/>
        <v>Credit Score</v>
      </c>
    </row>
    <row r="8" spans="1:9" x14ac:dyDescent="0.25">
      <c r="A8" s="4" t="str">
        <f>RAW_DATA!A8</f>
        <v>APP007</v>
      </c>
      <c r="B8" s="4" t="b">
        <f>AND(RAW_DATA!B8&gt;=21,RAW_DATA!B8&lt;=60)</f>
        <v>1</v>
      </c>
      <c r="C8" s="4" t="b">
        <f>RAW_DATA!C8&gt;=300000</f>
        <v>1</v>
      </c>
      <c r="D8" s="4" t="b">
        <f>RAW_DATA!F8&gt;=650</f>
        <v>1</v>
      </c>
      <c r="E8" s="4" t="b">
        <f>RAW_DATA!E8&gt;=1</f>
        <v>1</v>
      </c>
      <c r="F8" s="4" t="b">
        <f>RAW_DATA!L8="No"</f>
        <v>1</v>
      </c>
      <c r="G8" s="4" t="b">
        <f t="shared" si="0"/>
        <v>1</v>
      </c>
      <c r="H8" s="4" t="str">
        <f t="shared" si="1"/>
        <v>ELIGIBLE</v>
      </c>
      <c r="I8" s="4" t="str">
        <f t="shared" si="2"/>
        <v/>
      </c>
    </row>
    <row r="9" spans="1:9" x14ac:dyDescent="0.25">
      <c r="A9" s="4" t="str">
        <f>RAW_DATA!A9</f>
        <v>APP008</v>
      </c>
      <c r="B9" s="4" t="b">
        <f>AND(RAW_DATA!B9&gt;=21,RAW_DATA!B9&lt;=60)</f>
        <v>1</v>
      </c>
      <c r="C9" s="4" t="b">
        <f>RAW_DATA!C9&gt;=300000</f>
        <v>1</v>
      </c>
      <c r="D9" s="4" t="b">
        <f>RAW_DATA!F9&gt;=650</f>
        <v>0</v>
      </c>
      <c r="E9" s="4" t="b">
        <f>RAW_DATA!E9&gt;=1</f>
        <v>1</v>
      </c>
      <c r="F9" s="4" t="b">
        <f>RAW_DATA!L9="No"</f>
        <v>0</v>
      </c>
      <c r="G9" s="4" t="b">
        <f t="shared" si="0"/>
        <v>0</v>
      </c>
      <c r="H9" s="4" t="str">
        <f t="shared" si="1"/>
        <v>INELIGIBLE</v>
      </c>
      <c r="I9" s="4" t="str">
        <f t="shared" si="2"/>
        <v>Credit Score, Defaulter History</v>
      </c>
    </row>
    <row r="10" spans="1:9" x14ac:dyDescent="0.25">
      <c r="A10" s="4" t="str">
        <f>RAW_DATA!A10</f>
        <v>APP009</v>
      </c>
      <c r="B10" s="4" t="b">
        <f>AND(RAW_DATA!B10&gt;=21,RAW_DATA!B10&lt;=60)</f>
        <v>1</v>
      </c>
      <c r="C10" s="4" t="b">
        <f>RAW_DATA!C10&gt;=300000</f>
        <v>1</v>
      </c>
      <c r="D10" s="4" t="b">
        <f>RAW_DATA!F10&gt;=650</f>
        <v>1</v>
      </c>
      <c r="E10" s="4" t="b">
        <f>RAW_DATA!E10&gt;=1</f>
        <v>1</v>
      </c>
      <c r="F10" s="4" t="b">
        <f>RAW_DATA!L10="No"</f>
        <v>0</v>
      </c>
      <c r="G10" s="4" t="b">
        <f t="shared" si="0"/>
        <v>0</v>
      </c>
      <c r="H10" s="4" t="str">
        <f t="shared" si="1"/>
        <v>INELIGIBLE</v>
      </c>
      <c r="I10" s="4" t="str">
        <f t="shared" si="2"/>
        <v>Defaulter History</v>
      </c>
    </row>
    <row r="11" spans="1:9" x14ac:dyDescent="0.25">
      <c r="A11" s="4" t="str">
        <f>RAW_DATA!A11</f>
        <v>APP010</v>
      </c>
      <c r="B11" s="4" t="b">
        <f>AND(RAW_DATA!B11&gt;=21,RAW_DATA!B11&lt;=60)</f>
        <v>1</v>
      </c>
      <c r="C11" s="4" t="b">
        <f>RAW_DATA!C11&gt;=300000</f>
        <v>1</v>
      </c>
      <c r="D11" s="4" t="b">
        <f>RAW_DATA!F11&gt;=650</f>
        <v>0</v>
      </c>
      <c r="E11" s="4" t="b">
        <f>RAW_DATA!E11&gt;=1</f>
        <v>1</v>
      </c>
      <c r="F11" s="4" t="b">
        <f>RAW_DATA!L11="No"</f>
        <v>1</v>
      </c>
      <c r="G11" s="4" t="b">
        <f t="shared" si="0"/>
        <v>0</v>
      </c>
      <c r="H11" s="4" t="str">
        <f t="shared" si="1"/>
        <v>INELIGIBLE</v>
      </c>
      <c r="I11" s="4" t="str">
        <f t="shared" si="2"/>
        <v>Credit Score</v>
      </c>
    </row>
    <row r="12" spans="1:9" x14ac:dyDescent="0.25">
      <c r="A12" s="4" t="str">
        <f>RAW_DATA!A12</f>
        <v>APP011</v>
      </c>
      <c r="B12" s="4" t="b">
        <f>AND(RAW_DATA!B12&gt;=21,RAW_DATA!B12&lt;=60)</f>
        <v>1</v>
      </c>
      <c r="C12" s="4" t="b">
        <f>RAW_DATA!C12&gt;=300000</f>
        <v>1</v>
      </c>
      <c r="D12" s="4" t="b">
        <f>RAW_DATA!F12&gt;=650</f>
        <v>0</v>
      </c>
      <c r="E12" s="4" t="b">
        <f>RAW_DATA!E12&gt;=1</f>
        <v>1</v>
      </c>
      <c r="F12" s="4" t="b">
        <f>RAW_DATA!L12="No"</f>
        <v>1</v>
      </c>
      <c r="G12" s="4" t="b">
        <f t="shared" si="0"/>
        <v>0</v>
      </c>
      <c r="H12" s="4" t="str">
        <f t="shared" si="1"/>
        <v>INELIGIBLE</v>
      </c>
      <c r="I12" s="4" t="str">
        <f t="shared" si="2"/>
        <v>Credit Score</v>
      </c>
    </row>
    <row r="13" spans="1:9" x14ac:dyDescent="0.25">
      <c r="A13" s="4" t="str">
        <f>RAW_DATA!A13</f>
        <v>APP012</v>
      </c>
      <c r="B13" s="4" t="b">
        <f>AND(RAW_DATA!B13&gt;=21,RAW_DATA!B13&lt;=60)</f>
        <v>1</v>
      </c>
      <c r="C13" s="4" t="b">
        <f>RAW_DATA!C13&gt;=300000</f>
        <v>1</v>
      </c>
      <c r="D13" s="4" t="b">
        <f>RAW_DATA!F13&gt;=650</f>
        <v>1</v>
      </c>
      <c r="E13" s="4" t="b">
        <f>RAW_DATA!E13&gt;=1</f>
        <v>1</v>
      </c>
      <c r="F13" s="4" t="b">
        <f>RAW_DATA!L13="No"</f>
        <v>1</v>
      </c>
      <c r="G13" s="4" t="b">
        <f t="shared" si="0"/>
        <v>1</v>
      </c>
      <c r="H13" s="4" t="str">
        <f t="shared" si="1"/>
        <v>ELIGIBLE</v>
      </c>
      <c r="I13" s="4" t="str">
        <f t="shared" si="2"/>
        <v/>
      </c>
    </row>
    <row r="14" spans="1:9" x14ac:dyDescent="0.25">
      <c r="A14" s="4" t="str">
        <f>RAW_DATA!A14</f>
        <v>APP013</v>
      </c>
      <c r="B14" s="4" t="b">
        <f>AND(RAW_DATA!B14&gt;=21,RAW_DATA!B14&lt;=60)</f>
        <v>1</v>
      </c>
      <c r="C14" s="4" t="b">
        <f>RAW_DATA!C14&gt;=300000</f>
        <v>1</v>
      </c>
      <c r="D14" s="4" t="b">
        <f>RAW_DATA!F14&gt;=650</f>
        <v>1</v>
      </c>
      <c r="E14" s="4" t="b">
        <f>RAW_DATA!E14&gt;=1</f>
        <v>1</v>
      </c>
      <c r="F14" s="4" t="b">
        <f>RAW_DATA!L14="No"</f>
        <v>1</v>
      </c>
      <c r="G14" s="4" t="b">
        <f t="shared" si="0"/>
        <v>1</v>
      </c>
      <c r="H14" s="4" t="str">
        <f t="shared" si="1"/>
        <v>ELIGIBLE</v>
      </c>
      <c r="I14" s="4" t="str">
        <f t="shared" si="2"/>
        <v/>
      </c>
    </row>
    <row r="15" spans="1:9" x14ac:dyDescent="0.25">
      <c r="A15" s="4" t="str">
        <f>RAW_DATA!A15</f>
        <v>APP014</v>
      </c>
      <c r="B15" s="4" t="b">
        <f>AND(RAW_DATA!B15&gt;=21,RAW_DATA!B15&lt;=60)</f>
        <v>1</v>
      </c>
      <c r="C15" s="4" t="b">
        <f>RAW_DATA!C15&gt;=300000</f>
        <v>1</v>
      </c>
      <c r="D15" s="4" t="b">
        <f>RAW_DATA!F15&gt;=650</f>
        <v>1</v>
      </c>
      <c r="E15" s="4" t="b">
        <f>RAW_DATA!E15&gt;=1</f>
        <v>1</v>
      </c>
      <c r="F15" s="4" t="b">
        <f>RAW_DATA!L15="No"</f>
        <v>0</v>
      </c>
      <c r="G15" s="4" t="b">
        <f t="shared" si="0"/>
        <v>0</v>
      </c>
      <c r="H15" s="4" t="str">
        <f t="shared" si="1"/>
        <v>INELIGIBLE</v>
      </c>
      <c r="I15" s="4" t="str">
        <f t="shared" si="2"/>
        <v>Defaulter History</v>
      </c>
    </row>
    <row r="16" spans="1:9" x14ac:dyDescent="0.25">
      <c r="A16" s="4" t="str">
        <f>RAW_DATA!A16</f>
        <v>APP015</v>
      </c>
      <c r="B16" s="4" t="b">
        <f>AND(RAW_DATA!B16&gt;=21,RAW_DATA!B16&lt;=60)</f>
        <v>1</v>
      </c>
      <c r="C16" s="4" t="b">
        <f>RAW_DATA!C16&gt;=300000</f>
        <v>1</v>
      </c>
      <c r="D16" s="4" t="b">
        <f>RAW_DATA!F16&gt;=650</f>
        <v>1</v>
      </c>
      <c r="E16" s="4" t="b">
        <f>RAW_DATA!E16&gt;=1</f>
        <v>1</v>
      </c>
      <c r="F16" s="4" t="b">
        <f>RAW_DATA!L16="No"</f>
        <v>0</v>
      </c>
      <c r="G16" s="4" t="b">
        <f t="shared" si="0"/>
        <v>0</v>
      </c>
      <c r="H16" s="4" t="str">
        <f t="shared" si="1"/>
        <v>INELIGIBLE</v>
      </c>
      <c r="I16" s="4" t="str">
        <f t="shared" si="2"/>
        <v>Defaulter History</v>
      </c>
    </row>
    <row r="17" spans="1:9" x14ac:dyDescent="0.25">
      <c r="A17" s="4" t="str">
        <f>RAW_DATA!A17</f>
        <v>APP016</v>
      </c>
      <c r="B17" s="4" t="b">
        <f>AND(RAW_DATA!B17&gt;=21,RAW_DATA!B17&lt;=60)</f>
        <v>1</v>
      </c>
      <c r="C17" s="4" t="b">
        <f>RAW_DATA!C17&gt;=300000</f>
        <v>1</v>
      </c>
      <c r="D17" s="4" t="b">
        <f>RAW_DATA!F17&gt;=650</f>
        <v>0</v>
      </c>
      <c r="E17" s="4" t="b">
        <f>RAW_DATA!E17&gt;=1</f>
        <v>1</v>
      </c>
      <c r="F17" s="4" t="b">
        <f>RAW_DATA!L17="No"</f>
        <v>0</v>
      </c>
      <c r="G17" s="4" t="b">
        <f t="shared" si="0"/>
        <v>0</v>
      </c>
      <c r="H17" s="4" t="str">
        <f t="shared" si="1"/>
        <v>INELIGIBLE</v>
      </c>
      <c r="I17" s="4" t="str">
        <f t="shared" si="2"/>
        <v>Credit Score, Defaulter History</v>
      </c>
    </row>
    <row r="18" spans="1:9" x14ac:dyDescent="0.25">
      <c r="A18" s="4" t="str">
        <f>RAW_DATA!A18</f>
        <v>APP017</v>
      </c>
      <c r="B18" s="4" t="b">
        <f>AND(RAW_DATA!B18&gt;=21,RAW_DATA!B18&lt;=60)</f>
        <v>1</v>
      </c>
      <c r="C18" s="4" t="b">
        <f>RAW_DATA!C18&gt;=300000</f>
        <v>1</v>
      </c>
      <c r="D18" s="4" t="b">
        <f>RAW_DATA!F18&gt;=650</f>
        <v>0</v>
      </c>
      <c r="E18" s="4" t="b">
        <f>RAW_DATA!E18&gt;=1</f>
        <v>1</v>
      </c>
      <c r="F18" s="4" t="b">
        <f>RAW_DATA!L18="No"</f>
        <v>1</v>
      </c>
      <c r="G18" s="4" t="b">
        <f t="shared" si="0"/>
        <v>0</v>
      </c>
      <c r="H18" s="4" t="str">
        <f t="shared" si="1"/>
        <v>INELIGIBLE</v>
      </c>
      <c r="I18" s="4" t="str">
        <f t="shared" si="2"/>
        <v>Credit Score</v>
      </c>
    </row>
    <row r="19" spans="1:9" x14ac:dyDescent="0.25">
      <c r="A19" s="4" t="str">
        <f>RAW_DATA!A19</f>
        <v>APP018</v>
      </c>
      <c r="B19" s="4" t="b">
        <f>AND(RAW_DATA!B19&gt;=21,RAW_DATA!B19&lt;=60)</f>
        <v>1</v>
      </c>
      <c r="C19" s="4" t="b">
        <f>RAW_DATA!C19&gt;=300000</f>
        <v>1</v>
      </c>
      <c r="D19" s="4" t="b">
        <f>RAW_DATA!F19&gt;=650</f>
        <v>0</v>
      </c>
      <c r="E19" s="4" t="b">
        <f>RAW_DATA!E19&gt;=1</f>
        <v>1</v>
      </c>
      <c r="F19" s="4" t="b">
        <f>RAW_DATA!L19="No"</f>
        <v>1</v>
      </c>
      <c r="G19" s="4" t="b">
        <f t="shared" si="0"/>
        <v>0</v>
      </c>
      <c r="H19" s="4" t="str">
        <f t="shared" si="1"/>
        <v>INELIGIBLE</v>
      </c>
      <c r="I19" s="4" t="str">
        <f t="shared" si="2"/>
        <v>Credit Score</v>
      </c>
    </row>
    <row r="20" spans="1:9" x14ac:dyDescent="0.25">
      <c r="A20" s="4" t="str">
        <f>RAW_DATA!A20</f>
        <v>APP019</v>
      </c>
      <c r="B20" s="4" t="b">
        <f>AND(RAW_DATA!B20&gt;=21,RAW_DATA!B20&lt;=60)</f>
        <v>0</v>
      </c>
      <c r="C20" s="4" t="b">
        <f>RAW_DATA!C20&gt;=300000</f>
        <v>1</v>
      </c>
      <c r="D20" s="4" t="b">
        <f>RAW_DATA!F20&gt;=650</f>
        <v>0</v>
      </c>
      <c r="E20" s="4" t="b">
        <f>RAW_DATA!E20&gt;=1</f>
        <v>1</v>
      </c>
      <c r="F20" s="4" t="b">
        <f>RAW_DATA!L20="No"</f>
        <v>0</v>
      </c>
      <c r="G20" s="4" t="b">
        <f t="shared" si="0"/>
        <v>0</v>
      </c>
      <c r="H20" s="4" t="str">
        <f t="shared" si="1"/>
        <v>INELIGIBLE</v>
      </c>
      <c r="I20" s="4" t="str">
        <f t="shared" si="2"/>
        <v>Age, Credit Score, Defaulter History</v>
      </c>
    </row>
    <row r="21" spans="1:9" x14ac:dyDescent="0.25">
      <c r="A21" s="4" t="str">
        <f>RAW_DATA!A21</f>
        <v>APP020</v>
      </c>
      <c r="B21" s="4" t="b">
        <f>AND(RAW_DATA!B21&gt;=21,RAW_DATA!B21&lt;=60)</f>
        <v>1</v>
      </c>
      <c r="C21" s="4" t="b">
        <f>RAW_DATA!C21&gt;=300000</f>
        <v>1</v>
      </c>
      <c r="D21" s="4" t="b">
        <f>RAW_DATA!F21&gt;=650</f>
        <v>1</v>
      </c>
      <c r="E21" s="4" t="b">
        <f>RAW_DATA!E21&gt;=1</f>
        <v>1</v>
      </c>
      <c r="F21" s="4" t="b">
        <f>RAW_DATA!L21="No"</f>
        <v>1</v>
      </c>
      <c r="G21" s="4" t="b">
        <f t="shared" si="0"/>
        <v>1</v>
      </c>
      <c r="H21" s="4" t="str">
        <f t="shared" si="1"/>
        <v>ELIGIBLE</v>
      </c>
      <c r="I21" s="4" t="str">
        <f t="shared" si="2"/>
        <v/>
      </c>
    </row>
    <row r="22" spans="1:9" x14ac:dyDescent="0.25">
      <c r="A22" s="4" t="str">
        <f>RAW_DATA!A22</f>
        <v>APP021</v>
      </c>
      <c r="B22" s="4" t="b">
        <f>AND(RAW_DATA!B22&gt;=21,RAW_DATA!B22&lt;=60)</f>
        <v>0</v>
      </c>
      <c r="C22" s="4" t="b">
        <f>RAW_DATA!C22&gt;=300000</f>
        <v>1</v>
      </c>
      <c r="D22" s="4" t="b">
        <f>RAW_DATA!F22&gt;=650</f>
        <v>1</v>
      </c>
      <c r="E22" s="4" t="b">
        <f>RAW_DATA!E22&gt;=1</f>
        <v>1</v>
      </c>
      <c r="F22" s="4" t="b">
        <f>RAW_DATA!L22="No"</f>
        <v>1</v>
      </c>
      <c r="G22" s="4" t="b">
        <f t="shared" si="0"/>
        <v>0</v>
      </c>
      <c r="H22" s="4" t="str">
        <f t="shared" si="1"/>
        <v>INELIGIBLE</v>
      </c>
      <c r="I22" s="4" t="str">
        <f t="shared" si="2"/>
        <v>Age</v>
      </c>
    </row>
    <row r="23" spans="1:9" x14ac:dyDescent="0.25">
      <c r="A23" s="4" t="str">
        <f>RAW_DATA!A23</f>
        <v>APP022</v>
      </c>
      <c r="B23" s="4" t="b">
        <f>AND(RAW_DATA!B23&gt;=21,RAW_DATA!B23&lt;=60)</f>
        <v>1</v>
      </c>
      <c r="C23" s="4" t="b">
        <f>RAW_DATA!C23&gt;=300000</f>
        <v>1</v>
      </c>
      <c r="D23" s="4" t="b">
        <f>RAW_DATA!F23&gt;=650</f>
        <v>0</v>
      </c>
      <c r="E23" s="4" t="b">
        <f>RAW_DATA!E23&gt;=1</f>
        <v>1</v>
      </c>
      <c r="F23" s="4" t="b">
        <f>RAW_DATA!L23="No"</f>
        <v>1</v>
      </c>
      <c r="G23" s="4" t="b">
        <f t="shared" si="0"/>
        <v>0</v>
      </c>
      <c r="H23" s="4" t="str">
        <f t="shared" si="1"/>
        <v>INELIGIBLE</v>
      </c>
      <c r="I23" s="4" t="str">
        <f t="shared" si="2"/>
        <v>Credit Score</v>
      </c>
    </row>
    <row r="24" spans="1:9" x14ac:dyDescent="0.25">
      <c r="A24" s="4" t="str">
        <f>RAW_DATA!A24</f>
        <v>APP023</v>
      </c>
      <c r="B24" s="4" t="b">
        <f>AND(RAW_DATA!B24&gt;=21,RAW_DATA!B24&lt;=60)</f>
        <v>1</v>
      </c>
      <c r="C24" s="4" t="b">
        <f>RAW_DATA!C24&gt;=300000</f>
        <v>1</v>
      </c>
      <c r="D24" s="4" t="b">
        <f>RAW_DATA!F24&gt;=650</f>
        <v>0</v>
      </c>
      <c r="E24" s="4" t="b">
        <f>RAW_DATA!E24&gt;=1</f>
        <v>1</v>
      </c>
      <c r="F24" s="4" t="b">
        <f>RAW_DATA!L24="No"</f>
        <v>0</v>
      </c>
      <c r="G24" s="4" t="b">
        <f t="shared" si="0"/>
        <v>0</v>
      </c>
      <c r="H24" s="4" t="str">
        <f t="shared" si="1"/>
        <v>INELIGIBLE</v>
      </c>
      <c r="I24" s="4" t="str">
        <f t="shared" si="2"/>
        <v>Credit Score, Defaulter History</v>
      </c>
    </row>
    <row r="25" spans="1:9" x14ac:dyDescent="0.25">
      <c r="A25" s="4" t="str">
        <f>RAW_DATA!A25</f>
        <v>APP024</v>
      </c>
      <c r="B25" s="4" t="b">
        <f>AND(RAW_DATA!B25&gt;=21,RAW_DATA!B25&lt;=60)</f>
        <v>0</v>
      </c>
      <c r="C25" s="4" t="b">
        <f>RAW_DATA!C25&gt;=300000</f>
        <v>1</v>
      </c>
      <c r="D25" s="4" t="b">
        <f>RAW_DATA!F25&gt;=650</f>
        <v>0</v>
      </c>
      <c r="E25" s="4" t="b">
        <f>RAW_DATA!E25&gt;=1</f>
        <v>1</v>
      </c>
      <c r="F25" s="4" t="b">
        <f>RAW_DATA!L25="No"</f>
        <v>0</v>
      </c>
      <c r="G25" s="4" t="b">
        <f t="shared" si="0"/>
        <v>0</v>
      </c>
      <c r="H25" s="4" t="str">
        <f t="shared" si="1"/>
        <v>INELIGIBLE</v>
      </c>
      <c r="I25" s="4" t="str">
        <f t="shared" si="2"/>
        <v>Age, Credit Score, Defaulter History</v>
      </c>
    </row>
    <row r="26" spans="1:9" x14ac:dyDescent="0.25">
      <c r="A26" s="4" t="str">
        <f>RAW_DATA!A26</f>
        <v>APP025</v>
      </c>
      <c r="B26" s="4" t="b">
        <f>AND(RAW_DATA!B26&gt;=21,RAW_DATA!B26&lt;=60)</f>
        <v>0</v>
      </c>
      <c r="C26" s="4" t="b">
        <f>RAW_DATA!C26&gt;=300000</f>
        <v>1</v>
      </c>
      <c r="D26" s="4" t="b">
        <f>RAW_DATA!F26&gt;=650</f>
        <v>1</v>
      </c>
      <c r="E26" s="4" t="b">
        <f>RAW_DATA!E26&gt;=1</f>
        <v>1</v>
      </c>
      <c r="F26" s="4" t="b">
        <f>RAW_DATA!L26="No"</f>
        <v>1</v>
      </c>
      <c r="G26" s="4" t="b">
        <f t="shared" si="0"/>
        <v>0</v>
      </c>
      <c r="H26" s="4" t="str">
        <f t="shared" si="1"/>
        <v>INELIGIBLE</v>
      </c>
      <c r="I26" s="4" t="str">
        <f t="shared" si="2"/>
        <v>Age</v>
      </c>
    </row>
    <row r="27" spans="1:9" x14ac:dyDescent="0.25">
      <c r="A27" s="4" t="str">
        <f>RAW_DATA!A27</f>
        <v>APP026</v>
      </c>
      <c r="B27" s="4" t="b">
        <f>AND(RAW_DATA!B27&gt;=21,RAW_DATA!B27&lt;=60)</f>
        <v>1</v>
      </c>
      <c r="C27" s="4" t="b">
        <f>RAW_DATA!C27&gt;=300000</f>
        <v>1</v>
      </c>
      <c r="D27" s="4" t="b">
        <f>RAW_DATA!F27&gt;=650</f>
        <v>1</v>
      </c>
      <c r="E27" s="4" t="b">
        <f>RAW_DATA!E27&gt;=1</f>
        <v>1</v>
      </c>
      <c r="F27" s="4" t="b">
        <f>RAW_DATA!L27="No"</f>
        <v>0</v>
      </c>
      <c r="G27" s="4" t="b">
        <f t="shared" si="0"/>
        <v>0</v>
      </c>
      <c r="H27" s="4" t="str">
        <f t="shared" si="1"/>
        <v>INELIGIBLE</v>
      </c>
      <c r="I27" s="4" t="str">
        <f t="shared" si="2"/>
        <v>Defaulter History</v>
      </c>
    </row>
    <row r="28" spans="1:9" x14ac:dyDescent="0.25">
      <c r="A28" s="4" t="str">
        <f>RAW_DATA!A28</f>
        <v>APP027</v>
      </c>
      <c r="B28" s="4" t="b">
        <f>AND(RAW_DATA!B28&gt;=21,RAW_DATA!B28&lt;=60)</f>
        <v>0</v>
      </c>
      <c r="C28" s="4" t="b">
        <f>RAW_DATA!C28&gt;=300000</f>
        <v>1</v>
      </c>
      <c r="D28" s="4" t="b">
        <f>RAW_DATA!F28&gt;=650</f>
        <v>1</v>
      </c>
      <c r="E28" s="4" t="b">
        <f>RAW_DATA!E28&gt;=1</f>
        <v>1</v>
      </c>
      <c r="F28" s="4" t="b">
        <f>RAW_DATA!L28="No"</f>
        <v>1</v>
      </c>
      <c r="G28" s="4" t="b">
        <f t="shared" si="0"/>
        <v>0</v>
      </c>
      <c r="H28" s="4" t="str">
        <f t="shared" si="1"/>
        <v>INELIGIBLE</v>
      </c>
      <c r="I28" s="4" t="str">
        <f t="shared" si="2"/>
        <v>Age</v>
      </c>
    </row>
    <row r="29" spans="1:9" x14ac:dyDescent="0.25">
      <c r="A29" s="4" t="str">
        <f>RAW_DATA!A29</f>
        <v>APP028</v>
      </c>
      <c r="B29" s="4" t="b">
        <f>AND(RAW_DATA!B29&gt;=21,RAW_DATA!B29&lt;=60)</f>
        <v>1</v>
      </c>
      <c r="C29" s="4" t="b">
        <f>RAW_DATA!C29&gt;=300000</f>
        <v>1</v>
      </c>
      <c r="D29" s="4" t="b">
        <f>RAW_DATA!F29&gt;=650</f>
        <v>0</v>
      </c>
      <c r="E29" s="4" t="b">
        <f>RAW_DATA!E29&gt;=1</f>
        <v>1</v>
      </c>
      <c r="F29" s="4" t="b">
        <f>RAW_DATA!L29="No"</f>
        <v>1</v>
      </c>
      <c r="G29" s="4" t="b">
        <f t="shared" si="0"/>
        <v>0</v>
      </c>
      <c r="H29" s="4" t="str">
        <f t="shared" si="1"/>
        <v>INELIGIBLE</v>
      </c>
      <c r="I29" s="4" t="str">
        <f t="shared" si="2"/>
        <v>Credit Score</v>
      </c>
    </row>
    <row r="30" spans="1:9" x14ac:dyDescent="0.25">
      <c r="A30" s="4" t="str">
        <f>RAW_DATA!A30</f>
        <v>APP029</v>
      </c>
      <c r="B30" s="4" t="b">
        <f>AND(RAW_DATA!B30&gt;=21,RAW_DATA!B30&lt;=60)</f>
        <v>1</v>
      </c>
      <c r="C30" s="4" t="b">
        <f>RAW_DATA!C30&gt;=300000</f>
        <v>1</v>
      </c>
      <c r="D30" s="4" t="b">
        <f>RAW_DATA!F30&gt;=650</f>
        <v>0</v>
      </c>
      <c r="E30" s="4" t="b">
        <f>RAW_DATA!E30&gt;=1</f>
        <v>1</v>
      </c>
      <c r="F30" s="4" t="b">
        <f>RAW_DATA!L30="No"</f>
        <v>1</v>
      </c>
      <c r="G30" s="4" t="b">
        <f t="shared" si="0"/>
        <v>0</v>
      </c>
      <c r="H30" s="4" t="str">
        <f t="shared" si="1"/>
        <v>INELIGIBLE</v>
      </c>
      <c r="I30" s="4" t="str">
        <f t="shared" si="2"/>
        <v>Credit Score</v>
      </c>
    </row>
    <row r="31" spans="1:9" x14ac:dyDescent="0.25">
      <c r="A31" s="4" t="str">
        <f>RAW_DATA!A31</f>
        <v>APP030</v>
      </c>
      <c r="B31" s="4" t="b">
        <f>AND(RAW_DATA!B31&gt;=21,RAW_DATA!B31&lt;=60)</f>
        <v>1</v>
      </c>
      <c r="C31" s="4" t="b">
        <f>RAW_DATA!C31&gt;=300000</f>
        <v>0</v>
      </c>
      <c r="D31" s="4" t="b">
        <f>RAW_DATA!F31&gt;=650</f>
        <v>0</v>
      </c>
      <c r="E31" s="4" t="b">
        <f>RAW_DATA!E31&gt;=1</f>
        <v>1</v>
      </c>
      <c r="F31" s="4" t="b">
        <f>RAW_DATA!L31="No"</f>
        <v>1</v>
      </c>
      <c r="G31" s="4" t="b">
        <f t="shared" si="0"/>
        <v>0</v>
      </c>
      <c r="H31" s="4" t="str">
        <f t="shared" si="1"/>
        <v>INELIGIBLE</v>
      </c>
      <c r="I31" s="4" t="str">
        <f t="shared" si="2"/>
        <v>Income, Credit Score</v>
      </c>
    </row>
    <row r="32" spans="1:9" x14ac:dyDescent="0.25">
      <c r="A32" s="4" t="str">
        <f>RAW_DATA!A32</f>
        <v>APP031</v>
      </c>
      <c r="B32" s="4" t="b">
        <f>AND(RAW_DATA!B32&gt;=21,RAW_DATA!B32&lt;=60)</f>
        <v>1</v>
      </c>
      <c r="C32" s="4" t="b">
        <f>RAW_DATA!C32&gt;=300000</f>
        <v>1</v>
      </c>
      <c r="D32" s="4" t="b">
        <f>RAW_DATA!F32&gt;=650</f>
        <v>1</v>
      </c>
      <c r="E32" s="4" t="b">
        <f>RAW_DATA!E32&gt;=1</f>
        <v>1</v>
      </c>
      <c r="F32" s="4" t="b">
        <f>RAW_DATA!L32="No"</f>
        <v>1</v>
      </c>
      <c r="G32" s="4" t="b">
        <f t="shared" si="0"/>
        <v>1</v>
      </c>
      <c r="H32" s="4" t="str">
        <f t="shared" si="1"/>
        <v>ELIGIBLE</v>
      </c>
      <c r="I32" s="4" t="str">
        <f t="shared" si="2"/>
        <v/>
      </c>
    </row>
    <row r="33" spans="1:9" x14ac:dyDescent="0.25">
      <c r="A33" s="4" t="str">
        <f>RAW_DATA!A33</f>
        <v>APP032</v>
      </c>
      <c r="B33" s="4" t="b">
        <f>AND(RAW_DATA!B33&gt;=21,RAW_DATA!B33&lt;=60)</f>
        <v>0</v>
      </c>
      <c r="C33" s="4" t="b">
        <f>RAW_DATA!C33&gt;=300000</f>
        <v>1</v>
      </c>
      <c r="D33" s="4" t="b">
        <f>RAW_DATA!F33&gt;=650</f>
        <v>1</v>
      </c>
      <c r="E33" s="4" t="b">
        <f>RAW_DATA!E33&gt;=1</f>
        <v>0</v>
      </c>
      <c r="F33" s="4" t="b">
        <f>RAW_DATA!L33="No"</f>
        <v>1</v>
      </c>
      <c r="G33" s="4" t="b">
        <f t="shared" si="0"/>
        <v>0</v>
      </c>
      <c r="H33" s="4" t="str">
        <f t="shared" si="1"/>
        <v>INELIGIBLE</v>
      </c>
      <c r="I33" s="4" t="str">
        <f t="shared" si="2"/>
        <v>Age, Employment</v>
      </c>
    </row>
    <row r="34" spans="1:9" x14ac:dyDescent="0.25">
      <c r="A34" s="4" t="str">
        <f>RAW_DATA!A34</f>
        <v>APP033</v>
      </c>
      <c r="B34" s="4" t="b">
        <f>AND(RAW_DATA!B34&gt;=21,RAW_DATA!B34&lt;=60)</f>
        <v>1</v>
      </c>
      <c r="C34" s="4" t="b">
        <f>RAW_DATA!C34&gt;=300000</f>
        <v>0</v>
      </c>
      <c r="D34" s="4" t="b">
        <f>RAW_DATA!F34&gt;=650</f>
        <v>0</v>
      </c>
      <c r="E34" s="4" t="b">
        <f>RAW_DATA!E34&gt;=1</f>
        <v>1</v>
      </c>
      <c r="F34" s="4" t="b">
        <f>RAW_DATA!L34="No"</f>
        <v>1</v>
      </c>
      <c r="G34" s="4" t="b">
        <f t="shared" si="0"/>
        <v>0</v>
      </c>
      <c r="H34" s="4" t="str">
        <f t="shared" si="1"/>
        <v>INELIGIBLE</v>
      </c>
      <c r="I34" s="4" t="str">
        <f t="shared" si="2"/>
        <v>Income, Credit Score</v>
      </c>
    </row>
    <row r="35" spans="1:9" x14ac:dyDescent="0.25">
      <c r="A35" s="4" t="str">
        <f>RAW_DATA!A35</f>
        <v>APP034</v>
      </c>
      <c r="B35" s="4" t="b">
        <f>AND(RAW_DATA!B35&gt;=21,RAW_DATA!B35&lt;=60)</f>
        <v>1</v>
      </c>
      <c r="C35" s="4" t="b">
        <f>RAW_DATA!C35&gt;=300000</f>
        <v>1</v>
      </c>
      <c r="D35" s="4" t="b">
        <f>RAW_DATA!F35&gt;=650</f>
        <v>0</v>
      </c>
      <c r="E35" s="4" t="b">
        <f>RAW_DATA!E35&gt;=1</f>
        <v>1</v>
      </c>
      <c r="F35" s="4" t="b">
        <f>RAW_DATA!L35="No"</f>
        <v>0</v>
      </c>
      <c r="G35" s="4" t="b">
        <f t="shared" si="0"/>
        <v>0</v>
      </c>
      <c r="H35" s="4" t="str">
        <f t="shared" si="1"/>
        <v>INELIGIBLE</v>
      </c>
      <c r="I35" s="4" t="str">
        <f t="shared" si="2"/>
        <v>Credit Score, Defaulter History</v>
      </c>
    </row>
    <row r="36" spans="1:9" x14ac:dyDescent="0.25">
      <c r="A36" s="4" t="str">
        <f>RAW_DATA!A36</f>
        <v>APP035</v>
      </c>
      <c r="B36" s="4" t="b">
        <f>AND(RAW_DATA!B36&gt;=21,RAW_DATA!B36&lt;=60)</f>
        <v>1</v>
      </c>
      <c r="C36" s="4" t="b">
        <f>RAW_DATA!C36&gt;=300000</f>
        <v>1</v>
      </c>
      <c r="D36" s="4" t="b">
        <f>RAW_DATA!F36&gt;=650</f>
        <v>1</v>
      </c>
      <c r="E36" s="4" t="b">
        <f>RAW_DATA!E36&gt;=1</f>
        <v>0</v>
      </c>
      <c r="F36" s="4" t="b">
        <f>RAW_DATA!L36="No"</f>
        <v>1</v>
      </c>
      <c r="G36" s="4" t="b">
        <f t="shared" si="0"/>
        <v>0</v>
      </c>
      <c r="H36" s="4" t="str">
        <f t="shared" si="1"/>
        <v>INELIGIBLE</v>
      </c>
      <c r="I36" s="4" t="str">
        <f t="shared" si="2"/>
        <v>Employment</v>
      </c>
    </row>
    <row r="37" spans="1:9" x14ac:dyDescent="0.25">
      <c r="A37" s="4" t="str">
        <f>RAW_DATA!A37</f>
        <v>APP036</v>
      </c>
      <c r="B37" s="4" t="b">
        <f>AND(RAW_DATA!B37&gt;=21,RAW_DATA!B37&lt;=60)</f>
        <v>1</v>
      </c>
      <c r="C37" s="4" t="b">
        <f>RAW_DATA!C37&gt;=300000</f>
        <v>1</v>
      </c>
      <c r="D37" s="4" t="b">
        <f>RAW_DATA!F37&gt;=650</f>
        <v>1</v>
      </c>
      <c r="E37" s="4" t="b">
        <f>RAW_DATA!E37&gt;=1</f>
        <v>1</v>
      </c>
      <c r="F37" s="4" t="b">
        <f>RAW_DATA!L37="No"</f>
        <v>0</v>
      </c>
      <c r="G37" s="4" t="b">
        <f t="shared" si="0"/>
        <v>0</v>
      </c>
      <c r="H37" s="4" t="str">
        <f t="shared" si="1"/>
        <v>INELIGIBLE</v>
      </c>
      <c r="I37" s="4" t="str">
        <f t="shared" si="2"/>
        <v>Defaulter History</v>
      </c>
    </row>
    <row r="38" spans="1:9" x14ac:dyDescent="0.25">
      <c r="A38" s="4" t="str">
        <f>RAW_DATA!A38</f>
        <v>APP037</v>
      </c>
      <c r="B38" s="4" t="b">
        <f>AND(RAW_DATA!B38&gt;=21,RAW_DATA!B38&lt;=60)</f>
        <v>1</v>
      </c>
      <c r="C38" s="4" t="b">
        <f>RAW_DATA!C38&gt;=300000</f>
        <v>1</v>
      </c>
      <c r="D38" s="4" t="b">
        <f>RAW_DATA!F38&gt;=650</f>
        <v>1</v>
      </c>
      <c r="E38" s="4" t="b">
        <f>RAW_DATA!E38&gt;=1</f>
        <v>1</v>
      </c>
      <c r="F38" s="4" t="b">
        <f>RAW_DATA!L38="No"</f>
        <v>0</v>
      </c>
      <c r="G38" s="4" t="b">
        <f t="shared" si="0"/>
        <v>0</v>
      </c>
      <c r="H38" s="4" t="str">
        <f t="shared" si="1"/>
        <v>INELIGIBLE</v>
      </c>
      <c r="I38" s="4" t="str">
        <f t="shared" si="2"/>
        <v>Defaulter History</v>
      </c>
    </row>
    <row r="39" spans="1:9" x14ac:dyDescent="0.25">
      <c r="A39" s="4" t="str">
        <f>RAW_DATA!A39</f>
        <v>APP038</v>
      </c>
      <c r="B39" s="4" t="b">
        <f>AND(RAW_DATA!B39&gt;=21,RAW_DATA!B39&lt;=60)</f>
        <v>1</v>
      </c>
      <c r="C39" s="4" t="b">
        <f>RAW_DATA!C39&gt;=300000</f>
        <v>1</v>
      </c>
      <c r="D39" s="4" t="b">
        <f>RAW_DATA!F39&gt;=650</f>
        <v>0</v>
      </c>
      <c r="E39" s="4" t="b">
        <f>RAW_DATA!E39&gt;=1</f>
        <v>1</v>
      </c>
      <c r="F39" s="4" t="b">
        <f>RAW_DATA!L39="No"</f>
        <v>1</v>
      </c>
      <c r="G39" s="4" t="b">
        <f t="shared" si="0"/>
        <v>0</v>
      </c>
      <c r="H39" s="4" t="str">
        <f t="shared" si="1"/>
        <v>INELIGIBLE</v>
      </c>
      <c r="I39" s="4" t="str">
        <f t="shared" si="2"/>
        <v>Credit Score</v>
      </c>
    </row>
    <row r="40" spans="1:9" x14ac:dyDescent="0.25">
      <c r="A40" s="4" t="str">
        <f>RAW_DATA!A40</f>
        <v>APP039</v>
      </c>
      <c r="B40" s="4" t="b">
        <f>AND(RAW_DATA!B40&gt;=21,RAW_DATA!B40&lt;=60)</f>
        <v>0</v>
      </c>
      <c r="C40" s="4" t="b">
        <f>RAW_DATA!C40&gt;=300000</f>
        <v>1</v>
      </c>
      <c r="D40" s="4" t="b">
        <f>RAW_DATA!F40&gt;=650</f>
        <v>0</v>
      </c>
      <c r="E40" s="4" t="b">
        <f>RAW_DATA!E40&gt;=1</f>
        <v>1</v>
      </c>
      <c r="F40" s="4" t="b">
        <f>RAW_DATA!L40="No"</f>
        <v>1</v>
      </c>
      <c r="G40" s="4" t="b">
        <f t="shared" si="0"/>
        <v>0</v>
      </c>
      <c r="H40" s="4" t="str">
        <f t="shared" si="1"/>
        <v>INELIGIBLE</v>
      </c>
      <c r="I40" s="4" t="str">
        <f t="shared" si="2"/>
        <v>Age, Credit Score</v>
      </c>
    </row>
    <row r="41" spans="1:9" x14ac:dyDescent="0.25">
      <c r="A41" s="4" t="str">
        <f>RAW_DATA!A41</f>
        <v>APP040</v>
      </c>
      <c r="B41" s="4" t="b">
        <f>AND(RAW_DATA!B41&gt;=21,RAW_DATA!B41&lt;=60)</f>
        <v>1</v>
      </c>
      <c r="C41" s="4" t="b">
        <f>RAW_DATA!C41&gt;=300000</f>
        <v>1</v>
      </c>
      <c r="D41" s="4" t="b">
        <f>RAW_DATA!F41&gt;=650</f>
        <v>1</v>
      </c>
      <c r="E41" s="4" t="b">
        <f>RAW_DATA!E41&gt;=1</f>
        <v>1</v>
      </c>
      <c r="F41" s="4" t="b">
        <f>RAW_DATA!L41="No"</f>
        <v>1</v>
      </c>
      <c r="G41" s="4" t="b">
        <f t="shared" si="0"/>
        <v>1</v>
      </c>
      <c r="H41" s="4" t="str">
        <f t="shared" si="1"/>
        <v>ELIGIBLE</v>
      </c>
      <c r="I41" s="4" t="str">
        <f t="shared" si="2"/>
        <v/>
      </c>
    </row>
    <row r="42" spans="1:9" x14ac:dyDescent="0.25">
      <c r="A42" s="4" t="str">
        <f>RAW_DATA!A42</f>
        <v>APP041</v>
      </c>
      <c r="B42" s="4" t="b">
        <f>AND(RAW_DATA!B42&gt;=21,RAW_DATA!B42&lt;=60)</f>
        <v>1</v>
      </c>
      <c r="C42" s="4" t="b">
        <f>RAW_DATA!C42&gt;=300000</f>
        <v>0</v>
      </c>
      <c r="D42" s="4" t="b">
        <f>RAW_DATA!F42&gt;=650</f>
        <v>0</v>
      </c>
      <c r="E42" s="4" t="b">
        <f>RAW_DATA!E42&gt;=1</f>
        <v>1</v>
      </c>
      <c r="F42" s="4" t="b">
        <f>RAW_DATA!L42="No"</f>
        <v>1</v>
      </c>
      <c r="G42" s="4" t="b">
        <f t="shared" si="0"/>
        <v>0</v>
      </c>
      <c r="H42" s="4" t="str">
        <f t="shared" si="1"/>
        <v>INELIGIBLE</v>
      </c>
      <c r="I42" s="4" t="str">
        <f t="shared" si="2"/>
        <v>Income, Credit Score</v>
      </c>
    </row>
    <row r="43" spans="1:9" x14ac:dyDescent="0.25">
      <c r="A43" s="4" t="str">
        <f>RAW_DATA!A43</f>
        <v>APP042</v>
      </c>
      <c r="B43" s="4" t="b">
        <f>AND(RAW_DATA!B43&gt;=21,RAW_DATA!B43&lt;=60)</f>
        <v>1</v>
      </c>
      <c r="C43" s="4" t="b">
        <f>RAW_DATA!C43&gt;=300000</f>
        <v>1</v>
      </c>
      <c r="D43" s="4" t="b">
        <f>RAW_DATA!F43&gt;=650</f>
        <v>0</v>
      </c>
      <c r="E43" s="4" t="b">
        <f>RAW_DATA!E43&gt;=1</f>
        <v>1</v>
      </c>
      <c r="F43" s="4" t="b">
        <f>RAW_DATA!L43="No"</f>
        <v>1</v>
      </c>
      <c r="G43" s="4" t="b">
        <f t="shared" si="0"/>
        <v>0</v>
      </c>
      <c r="H43" s="4" t="str">
        <f t="shared" si="1"/>
        <v>INELIGIBLE</v>
      </c>
      <c r="I43" s="4" t="str">
        <f t="shared" si="2"/>
        <v>Credit Score</v>
      </c>
    </row>
    <row r="44" spans="1:9" x14ac:dyDescent="0.25">
      <c r="A44" s="4" t="str">
        <f>RAW_DATA!A44</f>
        <v>APP043</v>
      </c>
      <c r="B44" s="4" t="b">
        <f>AND(RAW_DATA!B44&gt;=21,RAW_DATA!B44&lt;=60)</f>
        <v>1</v>
      </c>
      <c r="C44" s="4" t="b">
        <f>RAW_DATA!C44&gt;=300000</f>
        <v>1</v>
      </c>
      <c r="D44" s="4" t="b">
        <f>RAW_DATA!F44&gt;=650</f>
        <v>1</v>
      </c>
      <c r="E44" s="4" t="b">
        <f>RAW_DATA!E44&gt;=1</f>
        <v>1</v>
      </c>
      <c r="F44" s="4" t="b">
        <f>RAW_DATA!L44="No"</f>
        <v>1</v>
      </c>
      <c r="G44" s="4" t="b">
        <f t="shared" si="0"/>
        <v>1</v>
      </c>
      <c r="H44" s="4" t="str">
        <f t="shared" si="1"/>
        <v>ELIGIBLE</v>
      </c>
      <c r="I44" s="4" t="str">
        <f t="shared" si="2"/>
        <v/>
      </c>
    </row>
    <row r="45" spans="1:9" x14ac:dyDescent="0.25">
      <c r="A45" s="4" t="str">
        <f>RAW_DATA!A45</f>
        <v>APP044</v>
      </c>
      <c r="B45" s="4" t="b">
        <f>AND(RAW_DATA!B45&gt;=21,RAW_DATA!B45&lt;=60)</f>
        <v>1</v>
      </c>
      <c r="C45" s="4" t="b">
        <f>RAW_DATA!C45&gt;=300000</f>
        <v>1</v>
      </c>
      <c r="D45" s="4" t="b">
        <f>RAW_DATA!F45&gt;=650</f>
        <v>0</v>
      </c>
      <c r="E45" s="4" t="b">
        <f>RAW_DATA!E45&gt;=1</f>
        <v>1</v>
      </c>
      <c r="F45" s="4" t="b">
        <f>RAW_DATA!L45="No"</f>
        <v>1</v>
      </c>
      <c r="G45" s="4" t="b">
        <f t="shared" si="0"/>
        <v>0</v>
      </c>
      <c r="H45" s="4" t="str">
        <f t="shared" si="1"/>
        <v>INELIGIBLE</v>
      </c>
      <c r="I45" s="4" t="str">
        <f t="shared" si="2"/>
        <v>Credit Score</v>
      </c>
    </row>
    <row r="46" spans="1:9" x14ac:dyDescent="0.25">
      <c r="A46" s="4" t="str">
        <f>RAW_DATA!A46</f>
        <v>APP045</v>
      </c>
      <c r="B46" s="4" t="b">
        <f>AND(RAW_DATA!B46&gt;=21,RAW_DATA!B46&lt;=60)</f>
        <v>1</v>
      </c>
      <c r="C46" s="4" t="b">
        <f>RAW_DATA!C46&gt;=300000</f>
        <v>1</v>
      </c>
      <c r="D46" s="4" t="b">
        <f>RAW_DATA!F46&gt;=650</f>
        <v>0</v>
      </c>
      <c r="E46" s="4" t="b">
        <f>RAW_DATA!E46&gt;=1</f>
        <v>1</v>
      </c>
      <c r="F46" s="4" t="b">
        <f>RAW_DATA!L46="No"</f>
        <v>0</v>
      </c>
      <c r="G46" s="4" t="b">
        <f t="shared" si="0"/>
        <v>0</v>
      </c>
      <c r="H46" s="4" t="str">
        <f t="shared" si="1"/>
        <v>INELIGIBLE</v>
      </c>
      <c r="I46" s="4" t="str">
        <f t="shared" si="2"/>
        <v>Credit Score, Defaulter History</v>
      </c>
    </row>
    <row r="47" spans="1:9" x14ac:dyDescent="0.25">
      <c r="A47" s="4" t="str">
        <f>RAW_DATA!A47</f>
        <v>APP046</v>
      </c>
      <c r="B47" s="4" t="b">
        <f>AND(RAW_DATA!B47&gt;=21,RAW_DATA!B47&lt;=60)</f>
        <v>1</v>
      </c>
      <c r="C47" s="4" t="b">
        <f>RAW_DATA!C47&gt;=300000</f>
        <v>1</v>
      </c>
      <c r="D47" s="4" t="b">
        <f>RAW_DATA!F47&gt;=650</f>
        <v>0</v>
      </c>
      <c r="E47" s="4" t="b">
        <f>RAW_DATA!E47&gt;=1</f>
        <v>1</v>
      </c>
      <c r="F47" s="4" t="b">
        <f>RAW_DATA!L47="No"</f>
        <v>0</v>
      </c>
      <c r="G47" s="4" t="b">
        <f t="shared" si="0"/>
        <v>0</v>
      </c>
      <c r="H47" s="4" t="str">
        <f t="shared" si="1"/>
        <v>INELIGIBLE</v>
      </c>
      <c r="I47" s="4" t="str">
        <f t="shared" si="2"/>
        <v>Credit Score, Defaulter History</v>
      </c>
    </row>
    <row r="48" spans="1:9" x14ac:dyDescent="0.25">
      <c r="A48" s="4" t="str">
        <f>RAW_DATA!A48</f>
        <v>APP047</v>
      </c>
      <c r="B48" s="4" t="b">
        <f>AND(RAW_DATA!B48&gt;=21,RAW_DATA!B48&lt;=60)</f>
        <v>1</v>
      </c>
      <c r="C48" s="4" t="b">
        <f>RAW_DATA!C48&gt;=300000</f>
        <v>1</v>
      </c>
      <c r="D48" s="4" t="b">
        <f>RAW_DATA!F48&gt;=650</f>
        <v>1</v>
      </c>
      <c r="E48" s="4" t="b">
        <f>RAW_DATA!E48&gt;=1</f>
        <v>1</v>
      </c>
      <c r="F48" s="4" t="b">
        <f>RAW_DATA!L48="No"</f>
        <v>1</v>
      </c>
      <c r="G48" s="4" t="b">
        <f t="shared" si="0"/>
        <v>1</v>
      </c>
      <c r="H48" s="4" t="str">
        <f t="shared" si="1"/>
        <v>ELIGIBLE</v>
      </c>
      <c r="I48" s="4" t="str">
        <f t="shared" si="2"/>
        <v/>
      </c>
    </row>
    <row r="49" spans="1:9" x14ac:dyDescent="0.25">
      <c r="A49" s="4" t="str">
        <f>RAW_DATA!A49</f>
        <v>APP048</v>
      </c>
      <c r="B49" s="4" t="b">
        <f>AND(RAW_DATA!B49&gt;=21,RAW_DATA!B49&lt;=60)</f>
        <v>1</v>
      </c>
      <c r="C49" s="4" t="b">
        <f>RAW_DATA!C49&gt;=300000</f>
        <v>1</v>
      </c>
      <c r="D49" s="4" t="b">
        <f>RAW_DATA!F49&gt;=650</f>
        <v>0</v>
      </c>
      <c r="E49" s="4" t="b">
        <f>RAW_DATA!E49&gt;=1</f>
        <v>1</v>
      </c>
      <c r="F49" s="4" t="b">
        <f>RAW_DATA!L49="No"</f>
        <v>1</v>
      </c>
      <c r="G49" s="4" t="b">
        <f t="shared" si="0"/>
        <v>0</v>
      </c>
      <c r="H49" s="4" t="str">
        <f t="shared" si="1"/>
        <v>INELIGIBLE</v>
      </c>
      <c r="I49" s="4" t="str">
        <f t="shared" si="2"/>
        <v>Credit Score</v>
      </c>
    </row>
    <row r="50" spans="1:9" x14ac:dyDescent="0.25">
      <c r="A50" s="4" t="str">
        <f>RAW_DATA!A50</f>
        <v>APP049</v>
      </c>
      <c r="B50" s="4" t="b">
        <f>AND(RAW_DATA!B50&gt;=21,RAW_DATA!B50&lt;=60)</f>
        <v>1</v>
      </c>
      <c r="C50" s="4" t="b">
        <f>RAW_DATA!C50&gt;=300000</f>
        <v>1</v>
      </c>
      <c r="D50" s="4" t="b">
        <f>RAW_DATA!F50&gt;=650</f>
        <v>1</v>
      </c>
      <c r="E50" s="4" t="b">
        <f>RAW_DATA!E50&gt;=1</f>
        <v>1</v>
      </c>
      <c r="F50" s="4" t="b">
        <f>RAW_DATA!L50="No"</f>
        <v>1</v>
      </c>
      <c r="G50" s="4" t="b">
        <f t="shared" si="0"/>
        <v>1</v>
      </c>
      <c r="H50" s="4" t="str">
        <f t="shared" si="1"/>
        <v>ELIGIBLE</v>
      </c>
      <c r="I50" s="4" t="str">
        <f t="shared" si="2"/>
        <v/>
      </c>
    </row>
    <row r="51" spans="1:9" x14ac:dyDescent="0.25">
      <c r="A51" s="4" t="str">
        <f>RAW_DATA!A51</f>
        <v>APP050</v>
      </c>
      <c r="B51" s="4" t="b">
        <f>AND(RAW_DATA!B51&gt;=21,RAW_DATA!B51&lt;=60)</f>
        <v>0</v>
      </c>
      <c r="C51" s="4" t="b">
        <f>RAW_DATA!C51&gt;=300000</f>
        <v>1</v>
      </c>
      <c r="D51" s="4" t="b">
        <f>RAW_DATA!F51&gt;=650</f>
        <v>0</v>
      </c>
      <c r="E51" s="4" t="b">
        <f>RAW_DATA!E51&gt;=1</f>
        <v>1</v>
      </c>
      <c r="F51" s="4" t="b">
        <f>RAW_DATA!L51="No"</f>
        <v>1</v>
      </c>
      <c r="G51" s="4" t="b">
        <f t="shared" si="0"/>
        <v>0</v>
      </c>
      <c r="H51" s="4" t="str">
        <f t="shared" si="1"/>
        <v>INELIGIBLE</v>
      </c>
      <c r="I51" s="4" t="str">
        <f t="shared" si="2"/>
        <v>Age, Credit Score</v>
      </c>
    </row>
    <row r="52" spans="1:9" x14ac:dyDescent="0.25">
      <c r="A52" s="4" t="str">
        <f>RAW_DATA!A52</f>
        <v>APP051</v>
      </c>
      <c r="B52" s="4" t="b">
        <f>AND(RAW_DATA!B52&gt;=21,RAW_DATA!B52&lt;=60)</f>
        <v>1</v>
      </c>
      <c r="C52" s="4" t="b">
        <f>RAW_DATA!C52&gt;=300000</f>
        <v>1</v>
      </c>
      <c r="D52" s="4" t="b">
        <f>RAW_DATA!F52&gt;=650</f>
        <v>1</v>
      </c>
      <c r="E52" s="4" t="b">
        <f>RAW_DATA!E52&gt;=1</f>
        <v>1</v>
      </c>
      <c r="F52" s="4" t="b">
        <f>RAW_DATA!L52="No"</f>
        <v>1</v>
      </c>
      <c r="G52" s="4" t="b">
        <f t="shared" si="0"/>
        <v>1</v>
      </c>
      <c r="H52" s="4" t="str">
        <f t="shared" si="1"/>
        <v>ELIGIBLE</v>
      </c>
      <c r="I52" s="4" t="str">
        <f t="shared" si="2"/>
        <v/>
      </c>
    </row>
    <row r="53" spans="1:9" x14ac:dyDescent="0.25">
      <c r="A53" s="4" t="str">
        <f>RAW_DATA!A53</f>
        <v>APP052</v>
      </c>
      <c r="B53" s="4" t="b">
        <f>AND(RAW_DATA!B53&gt;=21,RAW_DATA!B53&lt;=60)</f>
        <v>1</v>
      </c>
      <c r="C53" s="4" t="b">
        <f>RAW_DATA!C53&gt;=300000</f>
        <v>1</v>
      </c>
      <c r="D53" s="4" t="b">
        <f>RAW_DATA!F53&gt;=650</f>
        <v>0</v>
      </c>
      <c r="E53" s="4" t="b">
        <f>RAW_DATA!E53&gt;=1</f>
        <v>1</v>
      </c>
      <c r="F53" s="4" t="b">
        <f>RAW_DATA!L53="No"</f>
        <v>1</v>
      </c>
      <c r="G53" s="4" t="b">
        <f t="shared" si="0"/>
        <v>0</v>
      </c>
      <c r="H53" s="4" t="str">
        <f t="shared" si="1"/>
        <v>INELIGIBLE</v>
      </c>
      <c r="I53" s="4" t="str">
        <f t="shared" si="2"/>
        <v>Credit Score</v>
      </c>
    </row>
    <row r="54" spans="1:9" x14ac:dyDescent="0.25">
      <c r="A54" s="4" t="str">
        <f>RAW_DATA!A54</f>
        <v>APP053</v>
      </c>
      <c r="B54" s="4" t="b">
        <f>AND(RAW_DATA!B54&gt;=21,RAW_DATA!B54&lt;=60)</f>
        <v>1</v>
      </c>
      <c r="C54" s="4" t="b">
        <f>RAW_DATA!C54&gt;=300000</f>
        <v>1</v>
      </c>
      <c r="D54" s="4" t="b">
        <f>RAW_DATA!F54&gt;=650</f>
        <v>0</v>
      </c>
      <c r="E54" s="4" t="b">
        <f>RAW_DATA!E54&gt;=1</f>
        <v>1</v>
      </c>
      <c r="F54" s="4" t="b">
        <f>RAW_DATA!L54="No"</f>
        <v>0</v>
      </c>
      <c r="G54" s="4" t="b">
        <f t="shared" si="0"/>
        <v>0</v>
      </c>
      <c r="H54" s="4" t="str">
        <f t="shared" si="1"/>
        <v>INELIGIBLE</v>
      </c>
      <c r="I54" s="4" t="str">
        <f t="shared" si="2"/>
        <v>Credit Score, Defaulter History</v>
      </c>
    </row>
    <row r="55" spans="1:9" x14ac:dyDescent="0.25">
      <c r="A55" s="4" t="str">
        <f>RAW_DATA!A55</f>
        <v>APP054</v>
      </c>
      <c r="B55" s="4" t="b">
        <f>AND(RAW_DATA!B55&gt;=21,RAW_DATA!B55&lt;=60)</f>
        <v>1</v>
      </c>
      <c r="C55" s="4" t="b">
        <f>RAW_DATA!C55&gt;=300000</f>
        <v>1</v>
      </c>
      <c r="D55" s="4" t="b">
        <f>RAW_DATA!F55&gt;=650</f>
        <v>0</v>
      </c>
      <c r="E55" s="4" t="b">
        <f>RAW_DATA!E55&gt;=1</f>
        <v>1</v>
      </c>
      <c r="F55" s="4" t="b">
        <f>RAW_DATA!L55="No"</f>
        <v>1</v>
      </c>
      <c r="G55" s="4" t="b">
        <f t="shared" si="0"/>
        <v>0</v>
      </c>
      <c r="H55" s="4" t="str">
        <f t="shared" si="1"/>
        <v>INELIGIBLE</v>
      </c>
      <c r="I55" s="4" t="str">
        <f t="shared" si="2"/>
        <v>Credit Score</v>
      </c>
    </row>
    <row r="56" spans="1:9" x14ac:dyDescent="0.25">
      <c r="A56" s="4" t="str">
        <f>RAW_DATA!A56</f>
        <v>APP055</v>
      </c>
      <c r="B56" s="4" t="b">
        <f>AND(RAW_DATA!B56&gt;=21,RAW_DATA!B56&lt;=60)</f>
        <v>1</v>
      </c>
      <c r="C56" s="4" t="b">
        <f>RAW_DATA!C56&gt;=300000</f>
        <v>1</v>
      </c>
      <c r="D56" s="4" t="b">
        <f>RAW_DATA!F56&gt;=650</f>
        <v>1</v>
      </c>
      <c r="E56" s="4" t="b">
        <f>RAW_DATA!E56&gt;=1</f>
        <v>1</v>
      </c>
      <c r="F56" s="4" t="b">
        <f>RAW_DATA!L56="No"</f>
        <v>0</v>
      </c>
      <c r="G56" s="4" t="b">
        <f t="shared" si="0"/>
        <v>0</v>
      </c>
      <c r="H56" s="4" t="str">
        <f t="shared" si="1"/>
        <v>INELIGIBLE</v>
      </c>
      <c r="I56" s="4" t="str">
        <f t="shared" si="2"/>
        <v>Defaulter History</v>
      </c>
    </row>
    <row r="57" spans="1:9" x14ac:dyDescent="0.25">
      <c r="A57" s="4" t="str">
        <f>RAW_DATA!A57</f>
        <v>APP056</v>
      </c>
      <c r="B57" s="4" t="b">
        <f>AND(RAW_DATA!B57&gt;=21,RAW_DATA!B57&lt;=60)</f>
        <v>1</v>
      </c>
      <c r="C57" s="4" t="b">
        <f>RAW_DATA!C57&gt;=300000</f>
        <v>1</v>
      </c>
      <c r="D57" s="4" t="b">
        <f>RAW_DATA!F57&gt;=650</f>
        <v>1</v>
      </c>
      <c r="E57" s="4" t="b">
        <f>RAW_DATA!E57&gt;=1</f>
        <v>1</v>
      </c>
      <c r="F57" s="4" t="b">
        <f>RAW_DATA!L57="No"</f>
        <v>1</v>
      </c>
      <c r="G57" s="4" t="b">
        <f t="shared" si="0"/>
        <v>1</v>
      </c>
      <c r="H57" s="4" t="str">
        <f t="shared" si="1"/>
        <v>ELIGIBLE</v>
      </c>
      <c r="I57" s="4" t="str">
        <f t="shared" si="2"/>
        <v/>
      </c>
    </row>
    <row r="58" spans="1:9" x14ac:dyDescent="0.25">
      <c r="A58" s="4" t="str">
        <f>RAW_DATA!A58</f>
        <v>APP057</v>
      </c>
      <c r="B58" s="4" t="b">
        <f>AND(RAW_DATA!B58&gt;=21,RAW_DATA!B58&lt;=60)</f>
        <v>1</v>
      </c>
      <c r="C58" s="4" t="b">
        <f>RAW_DATA!C58&gt;=300000</f>
        <v>1</v>
      </c>
      <c r="D58" s="4" t="b">
        <f>RAW_DATA!F58&gt;=650</f>
        <v>1</v>
      </c>
      <c r="E58" s="4" t="b">
        <f>RAW_DATA!E58&gt;=1</f>
        <v>1</v>
      </c>
      <c r="F58" s="4" t="b">
        <f>RAW_DATA!L58="No"</f>
        <v>0</v>
      </c>
      <c r="G58" s="4" t="b">
        <f t="shared" si="0"/>
        <v>0</v>
      </c>
      <c r="H58" s="4" t="str">
        <f t="shared" si="1"/>
        <v>INELIGIBLE</v>
      </c>
      <c r="I58" s="4" t="str">
        <f t="shared" si="2"/>
        <v>Defaulter History</v>
      </c>
    </row>
    <row r="59" spans="1:9" x14ac:dyDescent="0.25">
      <c r="A59" s="4" t="str">
        <f>RAW_DATA!A59</f>
        <v>APP058</v>
      </c>
      <c r="B59" s="4" t="b">
        <f>AND(RAW_DATA!B59&gt;=21,RAW_DATA!B59&lt;=60)</f>
        <v>1</v>
      </c>
      <c r="C59" s="4" t="b">
        <f>RAW_DATA!C59&gt;=300000</f>
        <v>1</v>
      </c>
      <c r="D59" s="4" t="b">
        <f>RAW_DATA!F59&gt;=650</f>
        <v>0</v>
      </c>
      <c r="E59" s="4" t="b">
        <f>RAW_DATA!E59&gt;=1</f>
        <v>1</v>
      </c>
      <c r="F59" s="4" t="b">
        <f>RAW_DATA!L59="No"</f>
        <v>1</v>
      </c>
      <c r="G59" s="4" t="b">
        <f t="shared" si="0"/>
        <v>0</v>
      </c>
      <c r="H59" s="4" t="str">
        <f t="shared" si="1"/>
        <v>INELIGIBLE</v>
      </c>
      <c r="I59" s="4" t="str">
        <f t="shared" si="2"/>
        <v>Credit Score</v>
      </c>
    </row>
    <row r="60" spans="1:9" x14ac:dyDescent="0.25">
      <c r="A60" s="4" t="str">
        <f>RAW_DATA!A60</f>
        <v>APP059</v>
      </c>
      <c r="B60" s="4" t="b">
        <f>AND(RAW_DATA!B60&gt;=21,RAW_DATA!B60&lt;=60)</f>
        <v>1</v>
      </c>
      <c r="C60" s="4" t="b">
        <f>RAW_DATA!C60&gt;=300000</f>
        <v>1</v>
      </c>
      <c r="D60" s="4" t="b">
        <f>RAW_DATA!F60&gt;=650</f>
        <v>0</v>
      </c>
      <c r="E60" s="4" t="b">
        <f>RAW_DATA!E60&gt;=1</f>
        <v>1</v>
      </c>
      <c r="F60" s="4" t="b">
        <f>RAW_DATA!L60="No"</f>
        <v>1</v>
      </c>
      <c r="G60" s="4" t="b">
        <f t="shared" si="0"/>
        <v>0</v>
      </c>
      <c r="H60" s="4" t="str">
        <f t="shared" si="1"/>
        <v>INELIGIBLE</v>
      </c>
      <c r="I60" s="4" t="str">
        <f t="shared" si="2"/>
        <v>Credit Score</v>
      </c>
    </row>
    <row r="61" spans="1:9" x14ac:dyDescent="0.25">
      <c r="A61" s="4" t="str">
        <f>RAW_DATA!A61</f>
        <v>APP060</v>
      </c>
      <c r="B61" s="4" t="b">
        <f>AND(RAW_DATA!B61&gt;=21,RAW_DATA!B61&lt;=60)</f>
        <v>1</v>
      </c>
      <c r="C61" s="4" t="b">
        <f>RAW_DATA!C61&gt;=300000</f>
        <v>1</v>
      </c>
      <c r="D61" s="4" t="b">
        <f>RAW_DATA!F61&gt;=650</f>
        <v>1</v>
      </c>
      <c r="E61" s="4" t="b">
        <f>RAW_DATA!E61&gt;=1</f>
        <v>1</v>
      </c>
      <c r="F61" s="4" t="b">
        <f>RAW_DATA!L61="No"</f>
        <v>1</v>
      </c>
      <c r="G61" s="4" t="b">
        <f t="shared" si="0"/>
        <v>1</v>
      </c>
      <c r="H61" s="4" t="str">
        <f t="shared" si="1"/>
        <v>ELIGIBLE</v>
      </c>
      <c r="I61" s="4" t="str">
        <f t="shared" si="2"/>
        <v/>
      </c>
    </row>
    <row r="62" spans="1:9" x14ac:dyDescent="0.25">
      <c r="A62" s="4" t="str">
        <f>RAW_DATA!A62</f>
        <v>APP061</v>
      </c>
      <c r="B62" s="4" t="b">
        <f>AND(RAW_DATA!B62&gt;=21,RAW_DATA!B62&lt;=60)</f>
        <v>0</v>
      </c>
      <c r="C62" s="4" t="b">
        <f>RAW_DATA!C62&gt;=300000</f>
        <v>1</v>
      </c>
      <c r="D62" s="4" t="b">
        <f>RAW_DATA!F62&gt;=650</f>
        <v>0</v>
      </c>
      <c r="E62" s="4" t="b">
        <f>RAW_DATA!E62&gt;=1</f>
        <v>1</v>
      </c>
      <c r="F62" s="4" t="b">
        <f>RAW_DATA!L62="No"</f>
        <v>0</v>
      </c>
      <c r="G62" s="4" t="b">
        <f t="shared" si="0"/>
        <v>0</v>
      </c>
      <c r="H62" s="4" t="str">
        <f t="shared" si="1"/>
        <v>INELIGIBLE</v>
      </c>
      <c r="I62" s="4" t="str">
        <f t="shared" si="2"/>
        <v>Age, Credit Score, Defaulter History</v>
      </c>
    </row>
    <row r="63" spans="1:9" x14ac:dyDescent="0.25">
      <c r="A63" s="4" t="str">
        <f>RAW_DATA!A63</f>
        <v>APP062</v>
      </c>
      <c r="B63" s="4" t="b">
        <f>AND(RAW_DATA!B63&gt;=21,RAW_DATA!B63&lt;=60)</f>
        <v>1</v>
      </c>
      <c r="C63" s="4" t="b">
        <f>RAW_DATA!C63&gt;=300000</f>
        <v>1</v>
      </c>
      <c r="D63" s="4" t="b">
        <f>RAW_DATA!F63&gt;=650</f>
        <v>0</v>
      </c>
      <c r="E63" s="4" t="b">
        <f>RAW_DATA!E63&gt;=1</f>
        <v>1</v>
      </c>
      <c r="F63" s="4" t="b">
        <f>RAW_DATA!L63="No"</f>
        <v>1</v>
      </c>
      <c r="G63" s="4" t="b">
        <f t="shared" si="0"/>
        <v>0</v>
      </c>
      <c r="H63" s="4" t="str">
        <f t="shared" si="1"/>
        <v>INELIGIBLE</v>
      </c>
      <c r="I63" s="4" t="str">
        <f t="shared" si="2"/>
        <v>Credit Score</v>
      </c>
    </row>
    <row r="64" spans="1:9" x14ac:dyDescent="0.25">
      <c r="A64" s="4" t="str">
        <f>RAW_DATA!A64</f>
        <v>APP063</v>
      </c>
      <c r="B64" s="4" t="b">
        <f>AND(RAW_DATA!B64&gt;=21,RAW_DATA!B64&lt;=60)</f>
        <v>1</v>
      </c>
      <c r="C64" s="4" t="b">
        <f>RAW_DATA!C64&gt;=300000</f>
        <v>1</v>
      </c>
      <c r="D64" s="4" t="b">
        <f>RAW_DATA!F64&gt;=650</f>
        <v>0</v>
      </c>
      <c r="E64" s="4" t="b">
        <f>RAW_DATA!E64&gt;=1</f>
        <v>1</v>
      </c>
      <c r="F64" s="4" t="b">
        <f>RAW_DATA!L64="No"</f>
        <v>0</v>
      </c>
      <c r="G64" s="4" t="b">
        <f t="shared" si="0"/>
        <v>0</v>
      </c>
      <c r="H64" s="4" t="str">
        <f t="shared" si="1"/>
        <v>INELIGIBLE</v>
      </c>
      <c r="I64" s="4" t="str">
        <f t="shared" si="2"/>
        <v>Credit Score, Defaulter History</v>
      </c>
    </row>
    <row r="65" spans="1:9" x14ac:dyDescent="0.25">
      <c r="A65" s="4" t="str">
        <f>RAW_DATA!A65</f>
        <v>APP064</v>
      </c>
      <c r="B65" s="4" t="b">
        <f>AND(RAW_DATA!B65&gt;=21,RAW_DATA!B65&lt;=60)</f>
        <v>1</v>
      </c>
      <c r="C65" s="4" t="b">
        <f>RAW_DATA!C65&gt;=300000</f>
        <v>1</v>
      </c>
      <c r="D65" s="4" t="b">
        <f>RAW_DATA!F65&gt;=650</f>
        <v>1</v>
      </c>
      <c r="E65" s="4" t="b">
        <f>RAW_DATA!E65&gt;=1</f>
        <v>1</v>
      </c>
      <c r="F65" s="4" t="b">
        <f>RAW_DATA!L65="No"</f>
        <v>1</v>
      </c>
      <c r="G65" s="4" t="b">
        <f t="shared" si="0"/>
        <v>1</v>
      </c>
      <c r="H65" s="4" t="str">
        <f t="shared" si="1"/>
        <v>ELIGIBLE</v>
      </c>
      <c r="I65" s="4" t="str">
        <f t="shared" si="2"/>
        <v/>
      </c>
    </row>
    <row r="66" spans="1:9" x14ac:dyDescent="0.25">
      <c r="A66" s="4" t="str">
        <f>RAW_DATA!A66</f>
        <v>APP065</v>
      </c>
      <c r="B66" s="4" t="b">
        <f>AND(RAW_DATA!B66&gt;=21,RAW_DATA!B66&lt;=60)</f>
        <v>1</v>
      </c>
      <c r="C66" s="4" t="b">
        <f>RAW_DATA!C66&gt;=300000</f>
        <v>1</v>
      </c>
      <c r="D66" s="4" t="b">
        <f>RAW_DATA!F66&gt;=650</f>
        <v>1</v>
      </c>
      <c r="E66" s="4" t="b">
        <f>RAW_DATA!E66&gt;=1</f>
        <v>1</v>
      </c>
      <c r="F66" s="4" t="b">
        <f>RAW_DATA!L66="No"</f>
        <v>1</v>
      </c>
      <c r="G66" s="4" t="b">
        <f t="shared" si="0"/>
        <v>1</v>
      </c>
      <c r="H66" s="4" t="str">
        <f t="shared" si="1"/>
        <v>ELIGIBLE</v>
      </c>
      <c r="I66" s="4" t="str">
        <f t="shared" si="2"/>
        <v/>
      </c>
    </row>
    <row r="67" spans="1:9" x14ac:dyDescent="0.25">
      <c r="A67" s="4" t="str">
        <f>RAW_DATA!A67</f>
        <v>APP066</v>
      </c>
      <c r="B67" s="4" t="b">
        <f>AND(RAW_DATA!B67&gt;=21,RAW_DATA!B67&lt;=60)</f>
        <v>1</v>
      </c>
      <c r="C67" s="4" t="b">
        <f>RAW_DATA!C67&gt;=300000</f>
        <v>0</v>
      </c>
      <c r="D67" s="4" t="b">
        <f>RAW_DATA!F67&gt;=650</f>
        <v>1</v>
      </c>
      <c r="E67" s="4" t="b">
        <f>RAW_DATA!E67&gt;=1</f>
        <v>1</v>
      </c>
      <c r="F67" s="4" t="b">
        <f>RAW_DATA!L67="No"</f>
        <v>1</v>
      </c>
      <c r="G67" s="4" t="b">
        <f t="shared" ref="G67:G130" si="3">AND(B67:F67)</f>
        <v>0</v>
      </c>
      <c r="H67" s="4" t="str">
        <f t="shared" ref="H67:H130" si="4">IF(G67,"ELIGIBLE","INELIGIBLE")</f>
        <v>INELIGIBLE</v>
      </c>
      <c r="I67" s="4" t="str">
        <f t="shared" ref="I67:I130" si="5">IF(G67,"",_xlfn.TEXTJOIN(", ",TRUE,IF(B67,"","Age"),IF(C67,"","Income"),IF(D67,"","Credit Score"),IF(E67,"","Employment"),IF(F67,"","Defaulter History")))</f>
        <v>Income</v>
      </c>
    </row>
    <row r="68" spans="1:9" x14ac:dyDescent="0.25">
      <c r="A68" s="4" t="str">
        <f>RAW_DATA!A68</f>
        <v>APP067</v>
      </c>
      <c r="B68" s="4" t="b">
        <f>AND(RAW_DATA!B68&gt;=21,RAW_DATA!B68&lt;=60)</f>
        <v>1</v>
      </c>
      <c r="C68" s="4" t="b">
        <f>RAW_DATA!C68&gt;=300000</f>
        <v>1</v>
      </c>
      <c r="D68" s="4" t="b">
        <f>RAW_DATA!F68&gt;=650</f>
        <v>0</v>
      </c>
      <c r="E68" s="4" t="b">
        <f>RAW_DATA!E68&gt;=1</f>
        <v>1</v>
      </c>
      <c r="F68" s="4" t="b">
        <f>RAW_DATA!L68="No"</f>
        <v>0</v>
      </c>
      <c r="G68" s="4" t="b">
        <f t="shared" si="3"/>
        <v>0</v>
      </c>
      <c r="H68" s="4" t="str">
        <f t="shared" si="4"/>
        <v>INELIGIBLE</v>
      </c>
      <c r="I68" s="4" t="str">
        <f t="shared" si="5"/>
        <v>Credit Score, Defaulter History</v>
      </c>
    </row>
    <row r="69" spans="1:9" x14ac:dyDescent="0.25">
      <c r="A69" s="4" t="str">
        <f>RAW_DATA!A69</f>
        <v>APP068</v>
      </c>
      <c r="B69" s="4" t="b">
        <f>AND(RAW_DATA!B69&gt;=21,RAW_DATA!B69&lt;=60)</f>
        <v>1</v>
      </c>
      <c r="C69" s="4" t="b">
        <f>RAW_DATA!C69&gt;=300000</f>
        <v>1</v>
      </c>
      <c r="D69" s="4" t="b">
        <f>RAW_DATA!F69&gt;=650</f>
        <v>0</v>
      </c>
      <c r="E69" s="4" t="b">
        <f>RAW_DATA!E69&gt;=1</f>
        <v>1</v>
      </c>
      <c r="F69" s="4" t="b">
        <f>RAW_DATA!L69="No"</f>
        <v>1</v>
      </c>
      <c r="G69" s="4" t="b">
        <f t="shared" si="3"/>
        <v>0</v>
      </c>
      <c r="H69" s="4" t="str">
        <f t="shared" si="4"/>
        <v>INELIGIBLE</v>
      </c>
      <c r="I69" s="4" t="str">
        <f t="shared" si="5"/>
        <v>Credit Score</v>
      </c>
    </row>
    <row r="70" spans="1:9" x14ac:dyDescent="0.25">
      <c r="A70" s="4" t="str">
        <f>RAW_DATA!A70</f>
        <v>APP069</v>
      </c>
      <c r="B70" s="4" t="b">
        <f>AND(RAW_DATA!B70&gt;=21,RAW_DATA!B70&lt;=60)</f>
        <v>1</v>
      </c>
      <c r="C70" s="4" t="b">
        <f>RAW_DATA!C70&gt;=300000</f>
        <v>1</v>
      </c>
      <c r="D70" s="4" t="b">
        <f>RAW_DATA!F70&gt;=650</f>
        <v>0</v>
      </c>
      <c r="E70" s="4" t="b">
        <f>RAW_DATA!E70&gt;=1</f>
        <v>1</v>
      </c>
      <c r="F70" s="4" t="b">
        <f>RAW_DATA!L70="No"</f>
        <v>0</v>
      </c>
      <c r="G70" s="4" t="b">
        <f t="shared" si="3"/>
        <v>0</v>
      </c>
      <c r="H70" s="4" t="str">
        <f t="shared" si="4"/>
        <v>INELIGIBLE</v>
      </c>
      <c r="I70" s="4" t="str">
        <f t="shared" si="5"/>
        <v>Credit Score, Defaulter History</v>
      </c>
    </row>
    <row r="71" spans="1:9" x14ac:dyDescent="0.25">
      <c r="A71" s="4" t="str">
        <f>RAW_DATA!A71</f>
        <v>APP070</v>
      </c>
      <c r="B71" s="4" t="b">
        <f>AND(RAW_DATA!B71&gt;=21,RAW_DATA!B71&lt;=60)</f>
        <v>1</v>
      </c>
      <c r="C71" s="4" t="b">
        <f>RAW_DATA!C71&gt;=300000</f>
        <v>1</v>
      </c>
      <c r="D71" s="4" t="b">
        <f>RAW_DATA!F71&gt;=650</f>
        <v>1</v>
      </c>
      <c r="E71" s="4" t="b">
        <f>RAW_DATA!E71&gt;=1</f>
        <v>1</v>
      </c>
      <c r="F71" s="4" t="b">
        <f>RAW_DATA!L71="No"</f>
        <v>1</v>
      </c>
      <c r="G71" s="4" t="b">
        <f t="shared" si="3"/>
        <v>1</v>
      </c>
      <c r="H71" s="4" t="str">
        <f t="shared" si="4"/>
        <v>ELIGIBLE</v>
      </c>
      <c r="I71" s="4" t="str">
        <f t="shared" si="5"/>
        <v/>
      </c>
    </row>
    <row r="72" spans="1:9" x14ac:dyDescent="0.25">
      <c r="A72" s="4" t="str">
        <f>RAW_DATA!A72</f>
        <v>APP071</v>
      </c>
      <c r="B72" s="4" t="b">
        <f>AND(RAW_DATA!B72&gt;=21,RAW_DATA!B72&lt;=60)</f>
        <v>1</v>
      </c>
      <c r="C72" s="4" t="b">
        <f>RAW_DATA!C72&gt;=300000</f>
        <v>1</v>
      </c>
      <c r="D72" s="4" t="b">
        <f>RAW_DATA!F72&gt;=650</f>
        <v>0</v>
      </c>
      <c r="E72" s="4" t="b">
        <f>RAW_DATA!E72&gt;=1</f>
        <v>1</v>
      </c>
      <c r="F72" s="4" t="b">
        <f>RAW_DATA!L72="No"</f>
        <v>1</v>
      </c>
      <c r="G72" s="4" t="b">
        <f t="shared" si="3"/>
        <v>0</v>
      </c>
      <c r="H72" s="4" t="str">
        <f t="shared" si="4"/>
        <v>INELIGIBLE</v>
      </c>
      <c r="I72" s="4" t="str">
        <f t="shared" si="5"/>
        <v>Credit Score</v>
      </c>
    </row>
    <row r="73" spans="1:9" x14ac:dyDescent="0.25">
      <c r="A73" s="4" t="str">
        <f>RAW_DATA!A73</f>
        <v>APP072</v>
      </c>
      <c r="B73" s="4" t="b">
        <f>AND(RAW_DATA!B73&gt;=21,RAW_DATA!B73&lt;=60)</f>
        <v>1</v>
      </c>
      <c r="C73" s="4" t="b">
        <f>RAW_DATA!C73&gt;=300000</f>
        <v>1</v>
      </c>
      <c r="D73" s="4" t="b">
        <f>RAW_DATA!F73&gt;=650</f>
        <v>1</v>
      </c>
      <c r="E73" s="4" t="b">
        <f>RAW_DATA!E73&gt;=1</f>
        <v>1</v>
      </c>
      <c r="F73" s="4" t="b">
        <f>RAW_DATA!L73="No"</f>
        <v>1</v>
      </c>
      <c r="G73" s="4" t="b">
        <f t="shared" si="3"/>
        <v>1</v>
      </c>
      <c r="H73" s="4" t="str">
        <f t="shared" si="4"/>
        <v>ELIGIBLE</v>
      </c>
      <c r="I73" s="4" t="str">
        <f t="shared" si="5"/>
        <v/>
      </c>
    </row>
    <row r="74" spans="1:9" x14ac:dyDescent="0.25">
      <c r="A74" s="4" t="str">
        <f>RAW_DATA!A74</f>
        <v>APP073</v>
      </c>
      <c r="B74" s="4" t="b">
        <f>AND(RAW_DATA!B74&gt;=21,RAW_DATA!B74&lt;=60)</f>
        <v>1</v>
      </c>
      <c r="C74" s="4" t="b">
        <f>RAW_DATA!C74&gt;=300000</f>
        <v>0</v>
      </c>
      <c r="D74" s="4" t="b">
        <f>RAW_DATA!F74&gt;=650</f>
        <v>1</v>
      </c>
      <c r="E74" s="4" t="b">
        <f>RAW_DATA!E74&gt;=1</f>
        <v>1</v>
      </c>
      <c r="F74" s="4" t="b">
        <f>RAW_DATA!L74="No"</f>
        <v>1</v>
      </c>
      <c r="G74" s="4" t="b">
        <f t="shared" si="3"/>
        <v>0</v>
      </c>
      <c r="H74" s="4" t="str">
        <f t="shared" si="4"/>
        <v>INELIGIBLE</v>
      </c>
      <c r="I74" s="4" t="str">
        <f t="shared" si="5"/>
        <v>Income</v>
      </c>
    </row>
    <row r="75" spans="1:9" x14ac:dyDescent="0.25">
      <c r="A75" s="4" t="str">
        <f>RAW_DATA!A75</f>
        <v>APP074</v>
      </c>
      <c r="B75" s="4" t="b">
        <f>AND(RAW_DATA!B75&gt;=21,RAW_DATA!B75&lt;=60)</f>
        <v>1</v>
      </c>
      <c r="C75" s="4" t="b">
        <f>RAW_DATA!C75&gt;=300000</f>
        <v>1</v>
      </c>
      <c r="D75" s="4" t="b">
        <f>RAW_DATA!F75&gt;=650</f>
        <v>0</v>
      </c>
      <c r="E75" s="4" t="b">
        <f>RAW_DATA!E75&gt;=1</f>
        <v>1</v>
      </c>
      <c r="F75" s="4" t="b">
        <f>RAW_DATA!L75="No"</f>
        <v>1</v>
      </c>
      <c r="G75" s="4" t="b">
        <f t="shared" si="3"/>
        <v>0</v>
      </c>
      <c r="H75" s="4" t="str">
        <f t="shared" si="4"/>
        <v>INELIGIBLE</v>
      </c>
      <c r="I75" s="4" t="str">
        <f t="shared" si="5"/>
        <v>Credit Score</v>
      </c>
    </row>
    <row r="76" spans="1:9" x14ac:dyDescent="0.25">
      <c r="A76" s="4" t="str">
        <f>RAW_DATA!A76</f>
        <v>APP075</v>
      </c>
      <c r="B76" s="4" t="b">
        <f>AND(RAW_DATA!B76&gt;=21,RAW_DATA!B76&lt;=60)</f>
        <v>1</v>
      </c>
      <c r="C76" s="4" t="b">
        <f>RAW_DATA!C76&gt;=300000</f>
        <v>1</v>
      </c>
      <c r="D76" s="4" t="b">
        <f>RAW_DATA!F76&gt;=650</f>
        <v>0</v>
      </c>
      <c r="E76" s="4" t="b">
        <f>RAW_DATA!E76&gt;=1</f>
        <v>1</v>
      </c>
      <c r="F76" s="4" t="b">
        <f>RAW_DATA!L76="No"</f>
        <v>1</v>
      </c>
      <c r="G76" s="4" t="b">
        <f t="shared" si="3"/>
        <v>0</v>
      </c>
      <c r="H76" s="4" t="str">
        <f t="shared" si="4"/>
        <v>INELIGIBLE</v>
      </c>
      <c r="I76" s="4" t="str">
        <f t="shared" si="5"/>
        <v>Credit Score</v>
      </c>
    </row>
    <row r="77" spans="1:9" x14ac:dyDescent="0.25">
      <c r="A77" s="4" t="str">
        <f>RAW_DATA!A77</f>
        <v>APP076</v>
      </c>
      <c r="B77" s="4" t="b">
        <f>AND(RAW_DATA!B77&gt;=21,RAW_DATA!B77&lt;=60)</f>
        <v>1</v>
      </c>
      <c r="C77" s="4" t="b">
        <f>RAW_DATA!C77&gt;=300000</f>
        <v>1</v>
      </c>
      <c r="D77" s="4" t="b">
        <f>RAW_DATA!F77&gt;=650</f>
        <v>1</v>
      </c>
      <c r="E77" s="4" t="b">
        <f>RAW_DATA!E77&gt;=1</f>
        <v>1</v>
      </c>
      <c r="F77" s="4" t="b">
        <f>RAW_DATA!L77="No"</f>
        <v>1</v>
      </c>
      <c r="G77" s="4" t="b">
        <f t="shared" si="3"/>
        <v>1</v>
      </c>
      <c r="H77" s="4" t="str">
        <f t="shared" si="4"/>
        <v>ELIGIBLE</v>
      </c>
      <c r="I77" s="4" t="str">
        <f t="shared" si="5"/>
        <v/>
      </c>
    </row>
    <row r="78" spans="1:9" x14ac:dyDescent="0.25">
      <c r="A78" s="4" t="str">
        <f>RAW_DATA!A78</f>
        <v>APP077</v>
      </c>
      <c r="B78" s="4" t="b">
        <f>AND(RAW_DATA!B78&gt;=21,RAW_DATA!B78&lt;=60)</f>
        <v>1</v>
      </c>
      <c r="C78" s="4" t="b">
        <f>RAW_DATA!C78&gt;=300000</f>
        <v>1</v>
      </c>
      <c r="D78" s="4" t="b">
        <f>RAW_DATA!F78&gt;=650</f>
        <v>1</v>
      </c>
      <c r="E78" s="4" t="b">
        <f>RAW_DATA!E78&gt;=1</f>
        <v>1</v>
      </c>
      <c r="F78" s="4" t="b">
        <f>RAW_DATA!L78="No"</f>
        <v>1</v>
      </c>
      <c r="G78" s="4" t="b">
        <f t="shared" si="3"/>
        <v>1</v>
      </c>
      <c r="H78" s="4" t="str">
        <f t="shared" si="4"/>
        <v>ELIGIBLE</v>
      </c>
      <c r="I78" s="4" t="str">
        <f t="shared" si="5"/>
        <v/>
      </c>
    </row>
    <row r="79" spans="1:9" x14ac:dyDescent="0.25">
      <c r="A79" s="4" t="str">
        <f>RAW_DATA!A79</f>
        <v>APP078</v>
      </c>
      <c r="B79" s="4" t="b">
        <f>AND(RAW_DATA!B79&gt;=21,RAW_DATA!B79&lt;=60)</f>
        <v>1</v>
      </c>
      <c r="C79" s="4" t="b">
        <f>RAW_DATA!C79&gt;=300000</f>
        <v>1</v>
      </c>
      <c r="D79" s="4" t="b">
        <f>RAW_DATA!F79&gt;=650</f>
        <v>0</v>
      </c>
      <c r="E79" s="4" t="b">
        <f>RAW_DATA!E79&gt;=1</f>
        <v>1</v>
      </c>
      <c r="F79" s="4" t="b">
        <f>RAW_DATA!L79="No"</f>
        <v>1</v>
      </c>
      <c r="G79" s="4" t="b">
        <f t="shared" si="3"/>
        <v>0</v>
      </c>
      <c r="H79" s="4" t="str">
        <f t="shared" si="4"/>
        <v>INELIGIBLE</v>
      </c>
      <c r="I79" s="4" t="str">
        <f t="shared" si="5"/>
        <v>Credit Score</v>
      </c>
    </row>
    <row r="80" spans="1:9" x14ac:dyDescent="0.25">
      <c r="A80" s="4" t="str">
        <f>RAW_DATA!A80</f>
        <v>APP079</v>
      </c>
      <c r="B80" s="4" t="b">
        <f>AND(RAW_DATA!B80&gt;=21,RAW_DATA!B80&lt;=60)</f>
        <v>1</v>
      </c>
      <c r="C80" s="4" t="b">
        <f>RAW_DATA!C80&gt;=300000</f>
        <v>1</v>
      </c>
      <c r="D80" s="4" t="b">
        <f>RAW_DATA!F80&gt;=650</f>
        <v>1</v>
      </c>
      <c r="E80" s="4" t="b">
        <f>RAW_DATA!E80&gt;=1</f>
        <v>1</v>
      </c>
      <c r="F80" s="4" t="b">
        <f>RAW_DATA!L80="No"</f>
        <v>1</v>
      </c>
      <c r="G80" s="4" t="b">
        <f t="shared" si="3"/>
        <v>1</v>
      </c>
      <c r="H80" s="4" t="str">
        <f t="shared" si="4"/>
        <v>ELIGIBLE</v>
      </c>
      <c r="I80" s="4" t="str">
        <f t="shared" si="5"/>
        <v/>
      </c>
    </row>
    <row r="81" spans="1:9" x14ac:dyDescent="0.25">
      <c r="A81" s="4" t="str">
        <f>RAW_DATA!A81</f>
        <v>APP080</v>
      </c>
      <c r="B81" s="4" t="b">
        <f>AND(RAW_DATA!B81&gt;=21,RAW_DATA!B81&lt;=60)</f>
        <v>1</v>
      </c>
      <c r="C81" s="4" t="b">
        <f>RAW_DATA!C81&gt;=300000</f>
        <v>1</v>
      </c>
      <c r="D81" s="4" t="b">
        <f>RAW_DATA!F81&gt;=650</f>
        <v>1</v>
      </c>
      <c r="E81" s="4" t="b">
        <f>RAW_DATA!E81&gt;=1</f>
        <v>1</v>
      </c>
      <c r="F81" s="4" t="b">
        <f>RAW_DATA!L81="No"</f>
        <v>1</v>
      </c>
      <c r="G81" s="4" t="b">
        <f t="shared" si="3"/>
        <v>1</v>
      </c>
      <c r="H81" s="4" t="str">
        <f t="shared" si="4"/>
        <v>ELIGIBLE</v>
      </c>
      <c r="I81" s="4" t="str">
        <f t="shared" si="5"/>
        <v/>
      </c>
    </row>
    <row r="82" spans="1:9" x14ac:dyDescent="0.25">
      <c r="A82" s="4" t="str">
        <f>RAW_DATA!A82</f>
        <v>APP081</v>
      </c>
      <c r="B82" s="4" t="b">
        <f>AND(RAW_DATA!B82&gt;=21,RAW_DATA!B82&lt;=60)</f>
        <v>1</v>
      </c>
      <c r="C82" s="4" t="b">
        <f>RAW_DATA!C82&gt;=300000</f>
        <v>1</v>
      </c>
      <c r="D82" s="4" t="b">
        <f>RAW_DATA!F82&gt;=650</f>
        <v>1</v>
      </c>
      <c r="E82" s="4" t="b">
        <f>RAW_DATA!E82&gt;=1</f>
        <v>1</v>
      </c>
      <c r="F82" s="4" t="b">
        <f>RAW_DATA!L82="No"</f>
        <v>0</v>
      </c>
      <c r="G82" s="4" t="b">
        <f t="shared" si="3"/>
        <v>0</v>
      </c>
      <c r="H82" s="4" t="str">
        <f t="shared" si="4"/>
        <v>INELIGIBLE</v>
      </c>
      <c r="I82" s="4" t="str">
        <f t="shared" si="5"/>
        <v>Defaulter History</v>
      </c>
    </row>
    <row r="83" spans="1:9" x14ac:dyDescent="0.25">
      <c r="A83" s="4" t="str">
        <f>RAW_DATA!A83</f>
        <v>APP082</v>
      </c>
      <c r="B83" s="4" t="b">
        <f>AND(RAW_DATA!B83&gt;=21,RAW_DATA!B83&lt;=60)</f>
        <v>1</v>
      </c>
      <c r="C83" s="4" t="b">
        <f>RAW_DATA!C83&gt;=300000</f>
        <v>1</v>
      </c>
      <c r="D83" s="4" t="b">
        <f>RAW_DATA!F83&gt;=650</f>
        <v>0</v>
      </c>
      <c r="E83" s="4" t="b">
        <f>RAW_DATA!E83&gt;=1</f>
        <v>1</v>
      </c>
      <c r="F83" s="4" t="b">
        <f>RAW_DATA!L83="No"</f>
        <v>1</v>
      </c>
      <c r="G83" s="4" t="b">
        <f t="shared" si="3"/>
        <v>0</v>
      </c>
      <c r="H83" s="4" t="str">
        <f t="shared" si="4"/>
        <v>INELIGIBLE</v>
      </c>
      <c r="I83" s="4" t="str">
        <f t="shared" si="5"/>
        <v>Credit Score</v>
      </c>
    </row>
    <row r="84" spans="1:9" x14ac:dyDescent="0.25">
      <c r="A84" s="4" t="str">
        <f>RAW_DATA!A84</f>
        <v>APP083</v>
      </c>
      <c r="B84" s="4" t="b">
        <f>AND(RAW_DATA!B84&gt;=21,RAW_DATA!B84&lt;=60)</f>
        <v>1</v>
      </c>
      <c r="C84" s="4" t="b">
        <f>RAW_DATA!C84&gt;=300000</f>
        <v>1</v>
      </c>
      <c r="D84" s="4" t="b">
        <f>RAW_DATA!F84&gt;=650</f>
        <v>0</v>
      </c>
      <c r="E84" s="4" t="b">
        <f>RAW_DATA!E84&gt;=1</f>
        <v>1</v>
      </c>
      <c r="F84" s="4" t="b">
        <f>RAW_DATA!L84="No"</f>
        <v>1</v>
      </c>
      <c r="G84" s="4" t="b">
        <f t="shared" si="3"/>
        <v>0</v>
      </c>
      <c r="H84" s="4" t="str">
        <f t="shared" si="4"/>
        <v>INELIGIBLE</v>
      </c>
      <c r="I84" s="4" t="str">
        <f t="shared" si="5"/>
        <v>Credit Score</v>
      </c>
    </row>
    <row r="85" spans="1:9" x14ac:dyDescent="0.25">
      <c r="A85" s="4" t="str">
        <f>RAW_DATA!A85</f>
        <v>APP084</v>
      </c>
      <c r="B85" s="4" t="b">
        <f>AND(RAW_DATA!B85&gt;=21,RAW_DATA!B85&lt;=60)</f>
        <v>1</v>
      </c>
      <c r="C85" s="4" t="b">
        <f>RAW_DATA!C85&gt;=300000</f>
        <v>0</v>
      </c>
      <c r="D85" s="4" t="b">
        <f>RAW_DATA!F85&gt;=650</f>
        <v>1</v>
      </c>
      <c r="E85" s="4" t="b">
        <f>RAW_DATA!E85&gt;=1</f>
        <v>1</v>
      </c>
      <c r="F85" s="4" t="b">
        <f>RAW_DATA!L85="No"</f>
        <v>1</v>
      </c>
      <c r="G85" s="4" t="b">
        <f t="shared" si="3"/>
        <v>0</v>
      </c>
      <c r="H85" s="4" t="str">
        <f t="shared" si="4"/>
        <v>INELIGIBLE</v>
      </c>
      <c r="I85" s="4" t="str">
        <f t="shared" si="5"/>
        <v>Income</v>
      </c>
    </row>
    <row r="86" spans="1:9" x14ac:dyDescent="0.25">
      <c r="A86" s="4" t="str">
        <f>RAW_DATA!A86</f>
        <v>APP085</v>
      </c>
      <c r="B86" s="4" t="b">
        <f>AND(RAW_DATA!B86&gt;=21,RAW_DATA!B86&lt;=60)</f>
        <v>0</v>
      </c>
      <c r="C86" s="4" t="b">
        <f>RAW_DATA!C86&gt;=300000</f>
        <v>1</v>
      </c>
      <c r="D86" s="4" t="b">
        <f>RAW_DATA!F86&gt;=650</f>
        <v>0</v>
      </c>
      <c r="E86" s="4" t="b">
        <f>RAW_DATA!E86&gt;=1</f>
        <v>1</v>
      </c>
      <c r="F86" s="4" t="b">
        <f>RAW_DATA!L86="No"</f>
        <v>1</v>
      </c>
      <c r="G86" s="4" t="b">
        <f t="shared" si="3"/>
        <v>0</v>
      </c>
      <c r="H86" s="4" t="str">
        <f t="shared" si="4"/>
        <v>INELIGIBLE</v>
      </c>
      <c r="I86" s="4" t="str">
        <f t="shared" si="5"/>
        <v>Age, Credit Score</v>
      </c>
    </row>
    <row r="87" spans="1:9" x14ac:dyDescent="0.25">
      <c r="A87" s="4" t="str">
        <f>RAW_DATA!A87</f>
        <v>APP086</v>
      </c>
      <c r="B87" s="4" t="b">
        <f>AND(RAW_DATA!B87&gt;=21,RAW_DATA!B87&lt;=60)</f>
        <v>1</v>
      </c>
      <c r="C87" s="4" t="b">
        <f>RAW_DATA!C87&gt;=300000</f>
        <v>1</v>
      </c>
      <c r="D87" s="4" t="b">
        <f>RAW_DATA!F87&gt;=650</f>
        <v>1</v>
      </c>
      <c r="E87" s="4" t="b">
        <f>RAW_DATA!E87&gt;=1</f>
        <v>1</v>
      </c>
      <c r="F87" s="4" t="b">
        <f>RAW_DATA!L87="No"</f>
        <v>1</v>
      </c>
      <c r="G87" s="4" t="b">
        <f t="shared" si="3"/>
        <v>1</v>
      </c>
      <c r="H87" s="4" t="str">
        <f t="shared" si="4"/>
        <v>ELIGIBLE</v>
      </c>
      <c r="I87" s="4" t="str">
        <f t="shared" si="5"/>
        <v/>
      </c>
    </row>
    <row r="88" spans="1:9" x14ac:dyDescent="0.25">
      <c r="A88" s="4" t="str">
        <f>RAW_DATA!A88</f>
        <v>APP087</v>
      </c>
      <c r="B88" s="4" t="b">
        <f>AND(RAW_DATA!B88&gt;=21,RAW_DATA!B88&lt;=60)</f>
        <v>1</v>
      </c>
      <c r="C88" s="4" t="b">
        <f>RAW_DATA!C88&gt;=300000</f>
        <v>1</v>
      </c>
      <c r="D88" s="4" t="b">
        <f>RAW_DATA!F88&gt;=650</f>
        <v>0</v>
      </c>
      <c r="E88" s="4" t="b">
        <f>RAW_DATA!E88&gt;=1</f>
        <v>1</v>
      </c>
      <c r="F88" s="4" t="b">
        <f>RAW_DATA!L88="No"</f>
        <v>1</v>
      </c>
      <c r="G88" s="4" t="b">
        <f t="shared" si="3"/>
        <v>0</v>
      </c>
      <c r="H88" s="4" t="str">
        <f t="shared" si="4"/>
        <v>INELIGIBLE</v>
      </c>
      <c r="I88" s="4" t="str">
        <f t="shared" si="5"/>
        <v>Credit Score</v>
      </c>
    </row>
    <row r="89" spans="1:9" x14ac:dyDescent="0.25">
      <c r="A89" s="4" t="str">
        <f>RAW_DATA!A89</f>
        <v>APP088</v>
      </c>
      <c r="B89" s="4" t="b">
        <f>AND(RAW_DATA!B89&gt;=21,RAW_DATA!B89&lt;=60)</f>
        <v>1</v>
      </c>
      <c r="C89" s="4" t="b">
        <f>RAW_DATA!C89&gt;=300000</f>
        <v>1</v>
      </c>
      <c r="D89" s="4" t="b">
        <f>RAW_DATA!F89&gt;=650</f>
        <v>0</v>
      </c>
      <c r="E89" s="4" t="b">
        <f>RAW_DATA!E89&gt;=1</f>
        <v>0</v>
      </c>
      <c r="F89" s="4" t="b">
        <f>RAW_DATA!L89="No"</f>
        <v>1</v>
      </c>
      <c r="G89" s="4" t="b">
        <f t="shared" si="3"/>
        <v>0</v>
      </c>
      <c r="H89" s="4" t="str">
        <f t="shared" si="4"/>
        <v>INELIGIBLE</v>
      </c>
      <c r="I89" s="4" t="str">
        <f t="shared" si="5"/>
        <v>Credit Score, Employment</v>
      </c>
    </row>
    <row r="90" spans="1:9" x14ac:dyDescent="0.25">
      <c r="A90" s="4" t="str">
        <f>RAW_DATA!A90</f>
        <v>APP089</v>
      </c>
      <c r="B90" s="4" t="b">
        <f>AND(RAW_DATA!B90&gt;=21,RAW_DATA!B90&lt;=60)</f>
        <v>1</v>
      </c>
      <c r="C90" s="4" t="b">
        <f>RAW_DATA!C90&gt;=300000</f>
        <v>1</v>
      </c>
      <c r="D90" s="4" t="b">
        <f>RAW_DATA!F90&gt;=650</f>
        <v>0</v>
      </c>
      <c r="E90" s="4" t="b">
        <f>RAW_DATA!E90&gt;=1</f>
        <v>1</v>
      </c>
      <c r="F90" s="4" t="b">
        <f>RAW_DATA!L90="No"</f>
        <v>0</v>
      </c>
      <c r="G90" s="4" t="b">
        <f t="shared" si="3"/>
        <v>0</v>
      </c>
      <c r="H90" s="4" t="str">
        <f t="shared" si="4"/>
        <v>INELIGIBLE</v>
      </c>
      <c r="I90" s="4" t="str">
        <f t="shared" si="5"/>
        <v>Credit Score, Defaulter History</v>
      </c>
    </row>
    <row r="91" spans="1:9" x14ac:dyDescent="0.25">
      <c r="A91" s="4" t="str">
        <f>RAW_DATA!A91</f>
        <v>APP090</v>
      </c>
      <c r="B91" s="4" t="b">
        <f>AND(RAW_DATA!B91&gt;=21,RAW_DATA!B91&lt;=60)</f>
        <v>1</v>
      </c>
      <c r="C91" s="4" t="b">
        <f>RAW_DATA!C91&gt;=300000</f>
        <v>1</v>
      </c>
      <c r="D91" s="4" t="b">
        <f>RAW_DATA!F91&gt;=650</f>
        <v>0</v>
      </c>
      <c r="E91" s="4" t="b">
        <f>RAW_DATA!E91&gt;=1</f>
        <v>1</v>
      </c>
      <c r="F91" s="4" t="b">
        <f>RAW_DATA!L91="No"</f>
        <v>1</v>
      </c>
      <c r="G91" s="4" t="b">
        <f t="shared" si="3"/>
        <v>0</v>
      </c>
      <c r="H91" s="4" t="str">
        <f t="shared" si="4"/>
        <v>INELIGIBLE</v>
      </c>
      <c r="I91" s="4" t="str">
        <f t="shared" si="5"/>
        <v>Credit Score</v>
      </c>
    </row>
    <row r="92" spans="1:9" x14ac:dyDescent="0.25">
      <c r="A92" s="4" t="str">
        <f>RAW_DATA!A92</f>
        <v>APP091</v>
      </c>
      <c r="B92" s="4" t="b">
        <f>AND(RAW_DATA!B92&gt;=21,RAW_DATA!B92&lt;=60)</f>
        <v>1</v>
      </c>
      <c r="C92" s="4" t="b">
        <f>RAW_DATA!C92&gt;=300000</f>
        <v>0</v>
      </c>
      <c r="D92" s="4" t="b">
        <f>RAW_DATA!F92&gt;=650</f>
        <v>1</v>
      </c>
      <c r="E92" s="4" t="b">
        <f>RAW_DATA!E92&gt;=1</f>
        <v>1</v>
      </c>
      <c r="F92" s="4" t="b">
        <f>RAW_DATA!L92="No"</f>
        <v>0</v>
      </c>
      <c r="G92" s="4" t="b">
        <f t="shared" si="3"/>
        <v>0</v>
      </c>
      <c r="H92" s="4" t="str">
        <f t="shared" si="4"/>
        <v>INELIGIBLE</v>
      </c>
      <c r="I92" s="4" t="str">
        <f t="shared" si="5"/>
        <v>Income, Defaulter History</v>
      </c>
    </row>
    <row r="93" spans="1:9" x14ac:dyDescent="0.25">
      <c r="A93" s="4" t="str">
        <f>RAW_DATA!A93</f>
        <v>APP092</v>
      </c>
      <c r="B93" s="4" t="b">
        <f>AND(RAW_DATA!B93&gt;=21,RAW_DATA!B93&lt;=60)</f>
        <v>1</v>
      </c>
      <c r="C93" s="4" t="b">
        <f>RAW_DATA!C93&gt;=300000</f>
        <v>1</v>
      </c>
      <c r="D93" s="4" t="b">
        <f>RAW_DATA!F93&gt;=650</f>
        <v>1</v>
      </c>
      <c r="E93" s="4" t="b">
        <f>RAW_DATA!E93&gt;=1</f>
        <v>1</v>
      </c>
      <c r="F93" s="4" t="b">
        <f>RAW_DATA!L93="No"</f>
        <v>1</v>
      </c>
      <c r="G93" s="4" t="b">
        <f t="shared" si="3"/>
        <v>1</v>
      </c>
      <c r="H93" s="4" t="str">
        <f t="shared" si="4"/>
        <v>ELIGIBLE</v>
      </c>
      <c r="I93" s="4" t="str">
        <f t="shared" si="5"/>
        <v/>
      </c>
    </row>
    <row r="94" spans="1:9" x14ac:dyDescent="0.25">
      <c r="A94" s="4" t="str">
        <f>RAW_DATA!A94</f>
        <v>APP093</v>
      </c>
      <c r="B94" s="4" t="b">
        <f>AND(RAW_DATA!B94&gt;=21,RAW_DATA!B94&lt;=60)</f>
        <v>1</v>
      </c>
      <c r="C94" s="4" t="b">
        <f>RAW_DATA!C94&gt;=300000</f>
        <v>1</v>
      </c>
      <c r="D94" s="4" t="b">
        <f>RAW_DATA!F94&gt;=650</f>
        <v>0</v>
      </c>
      <c r="E94" s="4" t="b">
        <f>RAW_DATA!E94&gt;=1</f>
        <v>1</v>
      </c>
      <c r="F94" s="4" t="b">
        <f>RAW_DATA!L94="No"</f>
        <v>1</v>
      </c>
      <c r="G94" s="4" t="b">
        <f t="shared" si="3"/>
        <v>0</v>
      </c>
      <c r="H94" s="4" t="str">
        <f t="shared" si="4"/>
        <v>INELIGIBLE</v>
      </c>
      <c r="I94" s="4" t="str">
        <f t="shared" si="5"/>
        <v>Credit Score</v>
      </c>
    </row>
    <row r="95" spans="1:9" x14ac:dyDescent="0.25">
      <c r="A95" s="4" t="str">
        <f>RAW_DATA!A95</f>
        <v>APP094</v>
      </c>
      <c r="B95" s="4" t="b">
        <f>AND(RAW_DATA!B95&gt;=21,RAW_DATA!B95&lt;=60)</f>
        <v>1</v>
      </c>
      <c r="C95" s="4" t="b">
        <f>RAW_DATA!C95&gt;=300000</f>
        <v>0</v>
      </c>
      <c r="D95" s="4" t="b">
        <f>RAW_DATA!F95&gt;=650</f>
        <v>1</v>
      </c>
      <c r="E95" s="4" t="b">
        <f>RAW_DATA!E95&gt;=1</f>
        <v>0</v>
      </c>
      <c r="F95" s="4" t="b">
        <f>RAW_DATA!L95="No"</f>
        <v>1</v>
      </c>
      <c r="G95" s="4" t="b">
        <f t="shared" si="3"/>
        <v>0</v>
      </c>
      <c r="H95" s="4" t="str">
        <f t="shared" si="4"/>
        <v>INELIGIBLE</v>
      </c>
      <c r="I95" s="4" t="str">
        <f t="shared" si="5"/>
        <v>Income, Employment</v>
      </c>
    </row>
    <row r="96" spans="1:9" x14ac:dyDescent="0.25">
      <c r="A96" s="4" t="str">
        <f>RAW_DATA!A96</f>
        <v>APP095</v>
      </c>
      <c r="B96" s="4" t="b">
        <f>AND(RAW_DATA!B96&gt;=21,RAW_DATA!B96&lt;=60)</f>
        <v>1</v>
      </c>
      <c r="C96" s="4" t="b">
        <f>RAW_DATA!C96&gt;=300000</f>
        <v>0</v>
      </c>
      <c r="D96" s="4" t="b">
        <f>RAW_DATA!F96&gt;=650</f>
        <v>0</v>
      </c>
      <c r="E96" s="4" t="b">
        <f>RAW_DATA!E96&gt;=1</f>
        <v>1</v>
      </c>
      <c r="F96" s="4" t="b">
        <f>RAW_DATA!L96="No"</f>
        <v>1</v>
      </c>
      <c r="G96" s="4" t="b">
        <f t="shared" si="3"/>
        <v>0</v>
      </c>
      <c r="H96" s="4" t="str">
        <f t="shared" si="4"/>
        <v>INELIGIBLE</v>
      </c>
      <c r="I96" s="4" t="str">
        <f t="shared" si="5"/>
        <v>Income, Credit Score</v>
      </c>
    </row>
    <row r="97" spans="1:9" x14ac:dyDescent="0.25">
      <c r="A97" s="4" t="str">
        <f>RAW_DATA!A97</f>
        <v>APP096</v>
      </c>
      <c r="B97" s="4" t="b">
        <f>AND(RAW_DATA!B97&gt;=21,RAW_DATA!B97&lt;=60)</f>
        <v>1</v>
      </c>
      <c r="C97" s="4" t="b">
        <f>RAW_DATA!C97&gt;=300000</f>
        <v>1</v>
      </c>
      <c r="D97" s="4" t="b">
        <f>RAW_DATA!F97&gt;=650</f>
        <v>0</v>
      </c>
      <c r="E97" s="4" t="b">
        <f>RAW_DATA!E97&gt;=1</f>
        <v>1</v>
      </c>
      <c r="F97" s="4" t="b">
        <f>RAW_DATA!L97="No"</f>
        <v>1</v>
      </c>
      <c r="G97" s="4" t="b">
        <f t="shared" si="3"/>
        <v>0</v>
      </c>
      <c r="H97" s="4" t="str">
        <f t="shared" si="4"/>
        <v>INELIGIBLE</v>
      </c>
      <c r="I97" s="4" t="str">
        <f t="shared" si="5"/>
        <v>Credit Score</v>
      </c>
    </row>
    <row r="98" spans="1:9" x14ac:dyDescent="0.25">
      <c r="A98" s="4" t="str">
        <f>RAW_DATA!A98</f>
        <v>APP097</v>
      </c>
      <c r="B98" s="4" t="b">
        <f>AND(RAW_DATA!B98&gt;=21,RAW_DATA!B98&lt;=60)</f>
        <v>1</v>
      </c>
      <c r="C98" s="4" t="b">
        <f>RAW_DATA!C98&gt;=300000</f>
        <v>1</v>
      </c>
      <c r="D98" s="4" t="b">
        <f>RAW_DATA!F98&gt;=650</f>
        <v>1</v>
      </c>
      <c r="E98" s="4" t="b">
        <f>RAW_DATA!E98&gt;=1</f>
        <v>1</v>
      </c>
      <c r="F98" s="4" t="b">
        <f>RAW_DATA!L98="No"</f>
        <v>1</v>
      </c>
      <c r="G98" s="4" t="b">
        <f t="shared" si="3"/>
        <v>1</v>
      </c>
      <c r="H98" s="4" t="str">
        <f t="shared" si="4"/>
        <v>ELIGIBLE</v>
      </c>
      <c r="I98" s="4" t="str">
        <f t="shared" si="5"/>
        <v/>
      </c>
    </row>
    <row r="99" spans="1:9" x14ac:dyDescent="0.25">
      <c r="A99" s="4" t="str">
        <f>RAW_DATA!A99</f>
        <v>APP098</v>
      </c>
      <c r="B99" s="4" t="b">
        <f>AND(RAW_DATA!B99&gt;=21,RAW_DATA!B99&lt;=60)</f>
        <v>1</v>
      </c>
      <c r="C99" s="4" t="b">
        <f>RAW_DATA!C99&gt;=300000</f>
        <v>1</v>
      </c>
      <c r="D99" s="4" t="b">
        <f>RAW_DATA!F99&gt;=650</f>
        <v>0</v>
      </c>
      <c r="E99" s="4" t="b">
        <f>RAW_DATA!E99&gt;=1</f>
        <v>1</v>
      </c>
      <c r="F99" s="4" t="b">
        <f>RAW_DATA!L99="No"</f>
        <v>1</v>
      </c>
      <c r="G99" s="4" t="b">
        <f t="shared" si="3"/>
        <v>0</v>
      </c>
      <c r="H99" s="4" t="str">
        <f t="shared" si="4"/>
        <v>INELIGIBLE</v>
      </c>
      <c r="I99" s="4" t="str">
        <f t="shared" si="5"/>
        <v>Credit Score</v>
      </c>
    </row>
    <row r="100" spans="1:9" x14ac:dyDescent="0.25">
      <c r="A100" s="4" t="str">
        <f>RAW_DATA!A100</f>
        <v>APP099</v>
      </c>
      <c r="B100" s="4" t="b">
        <f>AND(RAW_DATA!B100&gt;=21,RAW_DATA!B100&lt;=60)</f>
        <v>1</v>
      </c>
      <c r="C100" s="4" t="b">
        <f>RAW_DATA!C100&gt;=300000</f>
        <v>1</v>
      </c>
      <c r="D100" s="4" t="b">
        <f>RAW_DATA!F100&gt;=650</f>
        <v>1</v>
      </c>
      <c r="E100" s="4" t="b">
        <f>RAW_DATA!E100&gt;=1</f>
        <v>1</v>
      </c>
      <c r="F100" s="4" t="b">
        <f>RAW_DATA!L100="No"</f>
        <v>1</v>
      </c>
      <c r="G100" s="4" t="b">
        <f t="shared" si="3"/>
        <v>1</v>
      </c>
      <c r="H100" s="4" t="str">
        <f t="shared" si="4"/>
        <v>ELIGIBLE</v>
      </c>
      <c r="I100" s="4" t="str">
        <f t="shared" si="5"/>
        <v/>
      </c>
    </row>
    <row r="101" spans="1:9" x14ac:dyDescent="0.25">
      <c r="A101" s="4" t="str">
        <f>RAW_DATA!A101</f>
        <v>APP100</v>
      </c>
      <c r="B101" s="4" t="b">
        <f>AND(RAW_DATA!B101&gt;=21,RAW_DATA!B101&lt;=60)</f>
        <v>1</v>
      </c>
      <c r="C101" s="4" t="b">
        <f>RAW_DATA!C101&gt;=300000</f>
        <v>1</v>
      </c>
      <c r="D101" s="4" t="b">
        <f>RAW_DATA!F101&gt;=650</f>
        <v>0</v>
      </c>
      <c r="E101" s="4" t="b">
        <f>RAW_DATA!E101&gt;=1</f>
        <v>1</v>
      </c>
      <c r="F101" s="4" t="b">
        <f>RAW_DATA!L101="No"</f>
        <v>1</v>
      </c>
      <c r="G101" s="4" t="b">
        <f t="shared" si="3"/>
        <v>0</v>
      </c>
      <c r="H101" s="4" t="str">
        <f t="shared" si="4"/>
        <v>INELIGIBLE</v>
      </c>
      <c r="I101" s="4" t="str">
        <f t="shared" si="5"/>
        <v>Credit Score</v>
      </c>
    </row>
    <row r="102" spans="1:9" x14ac:dyDescent="0.25">
      <c r="A102" s="4" t="str">
        <f>RAW_DATA!A102</f>
        <v>APP101</v>
      </c>
      <c r="B102" s="4" t="b">
        <f>AND(RAW_DATA!B102&gt;=21,RAW_DATA!B102&lt;=60)</f>
        <v>1</v>
      </c>
      <c r="C102" s="4" t="b">
        <f>RAW_DATA!C102&gt;=300000</f>
        <v>0</v>
      </c>
      <c r="D102" s="4" t="b">
        <f>RAW_DATA!F102&gt;=650</f>
        <v>0</v>
      </c>
      <c r="E102" s="4" t="b">
        <f>RAW_DATA!E102&gt;=1</f>
        <v>1</v>
      </c>
      <c r="F102" s="4" t="b">
        <f>RAW_DATA!L102="No"</f>
        <v>0</v>
      </c>
      <c r="G102" s="4" t="b">
        <f t="shared" si="3"/>
        <v>0</v>
      </c>
      <c r="H102" s="4" t="str">
        <f t="shared" si="4"/>
        <v>INELIGIBLE</v>
      </c>
      <c r="I102" s="4" t="str">
        <f t="shared" si="5"/>
        <v>Income, Credit Score, Defaulter History</v>
      </c>
    </row>
    <row r="103" spans="1:9" x14ac:dyDescent="0.25">
      <c r="A103" s="4" t="str">
        <f>RAW_DATA!A103</f>
        <v>APP102</v>
      </c>
      <c r="B103" s="4" t="b">
        <f>AND(RAW_DATA!B103&gt;=21,RAW_DATA!B103&lt;=60)</f>
        <v>1</v>
      </c>
      <c r="C103" s="4" t="b">
        <f>RAW_DATA!C103&gt;=300000</f>
        <v>1</v>
      </c>
      <c r="D103" s="4" t="b">
        <f>RAW_DATA!F103&gt;=650</f>
        <v>0</v>
      </c>
      <c r="E103" s="4" t="b">
        <f>RAW_DATA!E103&gt;=1</f>
        <v>1</v>
      </c>
      <c r="F103" s="4" t="b">
        <f>RAW_DATA!L103="No"</f>
        <v>0</v>
      </c>
      <c r="G103" s="4" t="b">
        <f t="shared" si="3"/>
        <v>0</v>
      </c>
      <c r="H103" s="4" t="str">
        <f t="shared" si="4"/>
        <v>INELIGIBLE</v>
      </c>
      <c r="I103" s="4" t="str">
        <f t="shared" si="5"/>
        <v>Credit Score, Defaulter History</v>
      </c>
    </row>
    <row r="104" spans="1:9" x14ac:dyDescent="0.25">
      <c r="A104" s="4" t="str">
        <f>RAW_DATA!A104</f>
        <v>APP103</v>
      </c>
      <c r="B104" s="4" t="b">
        <f>AND(RAW_DATA!B104&gt;=21,RAW_DATA!B104&lt;=60)</f>
        <v>1</v>
      </c>
      <c r="C104" s="4" t="b">
        <f>RAW_DATA!C104&gt;=300000</f>
        <v>1</v>
      </c>
      <c r="D104" s="4" t="b">
        <f>RAW_DATA!F104&gt;=650</f>
        <v>1</v>
      </c>
      <c r="E104" s="4" t="b">
        <f>RAW_DATA!E104&gt;=1</f>
        <v>1</v>
      </c>
      <c r="F104" s="4" t="b">
        <f>RAW_DATA!L104="No"</f>
        <v>0</v>
      </c>
      <c r="G104" s="4" t="b">
        <f t="shared" si="3"/>
        <v>0</v>
      </c>
      <c r="H104" s="4" t="str">
        <f t="shared" si="4"/>
        <v>INELIGIBLE</v>
      </c>
      <c r="I104" s="4" t="str">
        <f t="shared" si="5"/>
        <v>Defaulter History</v>
      </c>
    </row>
    <row r="105" spans="1:9" x14ac:dyDescent="0.25">
      <c r="A105" s="4" t="str">
        <f>RAW_DATA!A105</f>
        <v>APP104</v>
      </c>
      <c r="B105" s="4" t="b">
        <f>AND(RAW_DATA!B105&gt;=21,RAW_DATA!B105&lt;=60)</f>
        <v>1</v>
      </c>
      <c r="C105" s="4" t="b">
        <f>RAW_DATA!C105&gt;=300000</f>
        <v>1</v>
      </c>
      <c r="D105" s="4" t="b">
        <f>RAW_DATA!F105&gt;=650</f>
        <v>0</v>
      </c>
      <c r="E105" s="4" t="b">
        <f>RAW_DATA!E105&gt;=1</f>
        <v>1</v>
      </c>
      <c r="F105" s="4" t="b">
        <f>RAW_DATA!L105="No"</f>
        <v>1</v>
      </c>
      <c r="G105" s="4" t="b">
        <f t="shared" si="3"/>
        <v>0</v>
      </c>
      <c r="H105" s="4" t="str">
        <f t="shared" si="4"/>
        <v>INELIGIBLE</v>
      </c>
      <c r="I105" s="4" t="str">
        <f t="shared" si="5"/>
        <v>Credit Score</v>
      </c>
    </row>
    <row r="106" spans="1:9" x14ac:dyDescent="0.25">
      <c r="A106" s="4" t="str">
        <f>RAW_DATA!A106</f>
        <v>APP105</v>
      </c>
      <c r="B106" s="4" t="b">
        <f>AND(RAW_DATA!B106&gt;=21,RAW_DATA!B106&lt;=60)</f>
        <v>1</v>
      </c>
      <c r="C106" s="4" t="b">
        <f>RAW_DATA!C106&gt;=300000</f>
        <v>1</v>
      </c>
      <c r="D106" s="4" t="b">
        <f>RAW_DATA!F106&gt;=650</f>
        <v>0</v>
      </c>
      <c r="E106" s="4" t="b">
        <f>RAW_DATA!E106&gt;=1</f>
        <v>1</v>
      </c>
      <c r="F106" s="4" t="b">
        <f>RAW_DATA!L106="No"</f>
        <v>1</v>
      </c>
      <c r="G106" s="4" t="b">
        <f t="shared" si="3"/>
        <v>0</v>
      </c>
      <c r="H106" s="4" t="str">
        <f t="shared" si="4"/>
        <v>INELIGIBLE</v>
      </c>
      <c r="I106" s="4" t="str">
        <f t="shared" si="5"/>
        <v>Credit Score</v>
      </c>
    </row>
    <row r="107" spans="1:9" x14ac:dyDescent="0.25">
      <c r="A107" s="4" t="str">
        <f>RAW_DATA!A107</f>
        <v>APP106</v>
      </c>
      <c r="B107" s="4" t="b">
        <f>AND(RAW_DATA!B107&gt;=21,RAW_DATA!B107&lt;=60)</f>
        <v>1</v>
      </c>
      <c r="C107" s="4" t="b">
        <f>RAW_DATA!C107&gt;=300000</f>
        <v>1</v>
      </c>
      <c r="D107" s="4" t="b">
        <f>RAW_DATA!F107&gt;=650</f>
        <v>0</v>
      </c>
      <c r="E107" s="4" t="b">
        <f>RAW_DATA!E107&gt;=1</f>
        <v>1</v>
      </c>
      <c r="F107" s="4" t="b">
        <f>RAW_DATA!L107="No"</f>
        <v>1</v>
      </c>
      <c r="G107" s="4" t="b">
        <f t="shared" si="3"/>
        <v>0</v>
      </c>
      <c r="H107" s="4" t="str">
        <f t="shared" si="4"/>
        <v>INELIGIBLE</v>
      </c>
      <c r="I107" s="4" t="str">
        <f t="shared" si="5"/>
        <v>Credit Score</v>
      </c>
    </row>
    <row r="108" spans="1:9" x14ac:dyDescent="0.25">
      <c r="A108" s="4" t="str">
        <f>RAW_DATA!A108</f>
        <v>APP107</v>
      </c>
      <c r="B108" s="4" t="b">
        <f>AND(RAW_DATA!B108&gt;=21,RAW_DATA!B108&lt;=60)</f>
        <v>1</v>
      </c>
      <c r="C108" s="4" t="b">
        <f>RAW_DATA!C108&gt;=300000</f>
        <v>1</v>
      </c>
      <c r="D108" s="4" t="b">
        <f>RAW_DATA!F108&gt;=650</f>
        <v>1</v>
      </c>
      <c r="E108" s="4" t="b">
        <f>RAW_DATA!E108&gt;=1</f>
        <v>1</v>
      </c>
      <c r="F108" s="4" t="b">
        <f>RAW_DATA!L108="No"</f>
        <v>1</v>
      </c>
      <c r="G108" s="4" t="b">
        <f t="shared" si="3"/>
        <v>1</v>
      </c>
      <c r="H108" s="4" t="str">
        <f t="shared" si="4"/>
        <v>ELIGIBLE</v>
      </c>
      <c r="I108" s="4" t="str">
        <f t="shared" si="5"/>
        <v/>
      </c>
    </row>
    <row r="109" spans="1:9" x14ac:dyDescent="0.25">
      <c r="A109" s="4" t="str">
        <f>RAW_DATA!A109</f>
        <v>APP108</v>
      </c>
      <c r="B109" s="4" t="b">
        <f>AND(RAW_DATA!B109&gt;=21,RAW_DATA!B109&lt;=60)</f>
        <v>1</v>
      </c>
      <c r="C109" s="4" t="b">
        <f>RAW_DATA!C109&gt;=300000</f>
        <v>1</v>
      </c>
      <c r="D109" s="4" t="b">
        <f>RAW_DATA!F109&gt;=650</f>
        <v>1</v>
      </c>
      <c r="E109" s="4" t="b">
        <f>RAW_DATA!E109&gt;=1</f>
        <v>1</v>
      </c>
      <c r="F109" s="4" t="b">
        <f>RAW_DATA!L109="No"</f>
        <v>1</v>
      </c>
      <c r="G109" s="4" t="b">
        <f t="shared" si="3"/>
        <v>1</v>
      </c>
      <c r="H109" s="4" t="str">
        <f t="shared" si="4"/>
        <v>ELIGIBLE</v>
      </c>
      <c r="I109" s="4" t="str">
        <f t="shared" si="5"/>
        <v/>
      </c>
    </row>
    <row r="110" spans="1:9" x14ac:dyDescent="0.25">
      <c r="A110" s="4" t="str">
        <f>RAW_DATA!A110</f>
        <v>APP109</v>
      </c>
      <c r="B110" s="4" t="b">
        <f>AND(RAW_DATA!B110&gt;=21,RAW_DATA!B110&lt;=60)</f>
        <v>1</v>
      </c>
      <c r="C110" s="4" t="b">
        <f>RAW_DATA!C110&gt;=300000</f>
        <v>1</v>
      </c>
      <c r="D110" s="4" t="b">
        <f>RAW_DATA!F110&gt;=650</f>
        <v>1</v>
      </c>
      <c r="E110" s="4" t="b">
        <f>RAW_DATA!E110&gt;=1</f>
        <v>1</v>
      </c>
      <c r="F110" s="4" t="b">
        <f>RAW_DATA!L110="No"</f>
        <v>1</v>
      </c>
      <c r="G110" s="4" t="b">
        <f t="shared" si="3"/>
        <v>1</v>
      </c>
      <c r="H110" s="4" t="str">
        <f t="shared" si="4"/>
        <v>ELIGIBLE</v>
      </c>
      <c r="I110" s="4" t="str">
        <f t="shared" si="5"/>
        <v/>
      </c>
    </row>
    <row r="111" spans="1:9" x14ac:dyDescent="0.25">
      <c r="A111" s="4" t="str">
        <f>RAW_DATA!A111</f>
        <v>APP110</v>
      </c>
      <c r="B111" s="4" t="b">
        <f>AND(RAW_DATA!B111&gt;=21,RAW_DATA!B111&lt;=60)</f>
        <v>0</v>
      </c>
      <c r="C111" s="4" t="b">
        <f>RAW_DATA!C111&gt;=300000</f>
        <v>0</v>
      </c>
      <c r="D111" s="4" t="b">
        <f>RAW_DATA!F111&gt;=650</f>
        <v>0</v>
      </c>
      <c r="E111" s="4" t="b">
        <f>RAW_DATA!E111&gt;=1</f>
        <v>1</v>
      </c>
      <c r="F111" s="4" t="b">
        <f>RAW_DATA!L111="No"</f>
        <v>1</v>
      </c>
      <c r="G111" s="4" t="b">
        <f t="shared" si="3"/>
        <v>0</v>
      </c>
      <c r="H111" s="4" t="str">
        <f t="shared" si="4"/>
        <v>INELIGIBLE</v>
      </c>
      <c r="I111" s="4" t="str">
        <f t="shared" si="5"/>
        <v>Age, Income, Credit Score</v>
      </c>
    </row>
    <row r="112" spans="1:9" x14ac:dyDescent="0.25">
      <c r="A112" s="4" t="str">
        <f>RAW_DATA!A112</f>
        <v>APP111</v>
      </c>
      <c r="B112" s="4" t="b">
        <f>AND(RAW_DATA!B112&gt;=21,RAW_DATA!B112&lt;=60)</f>
        <v>1</v>
      </c>
      <c r="C112" s="4" t="b">
        <f>RAW_DATA!C112&gt;=300000</f>
        <v>1</v>
      </c>
      <c r="D112" s="4" t="b">
        <f>RAW_DATA!F112&gt;=650</f>
        <v>0</v>
      </c>
      <c r="E112" s="4" t="b">
        <f>RAW_DATA!E112&gt;=1</f>
        <v>1</v>
      </c>
      <c r="F112" s="4" t="b">
        <f>RAW_DATA!L112="No"</f>
        <v>1</v>
      </c>
      <c r="G112" s="4" t="b">
        <f t="shared" si="3"/>
        <v>0</v>
      </c>
      <c r="H112" s="4" t="str">
        <f t="shared" si="4"/>
        <v>INELIGIBLE</v>
      </c>
      <c r="I112" s="4" t="str">
        <f t="shared" si="5"/>
        <v>Credit Score</v>
      </c>
    </row>
    <row r="113" spans="1:9" x14ac:dyDescent="0.25">
      <c r="A113" s="4" t="str">
        <f>RAW_DATA!A113</f>
        <v>APP112</v>
      </c>
      <c r="B113" s="4" t="b">
        <f>AND(RAW_DATA!B113&gt;=21,RAW_DATA!B113&lt;=60)</f>
        <v>1</v>
      </c>
      <c r="C113" s="4" t="b">
        <f>RAW_DATA!C113&gt;=300000</f>
        <v>0</v>
      </c>
      <c r="D113" s="4" t="b">
        <f>RAW_DATA!F113&gt;=650</f>
        <v>0</v>
      </c>
      <c r="E113" s="4" t="b">
        <f>RAW_DATA!E113&gt;=1</f>
        <v>1</v>
      </c>
      <c r="F113" s="4" t="b">
        <f>RAW_DATA!L113="No"</f>
        <v>1</v>
      </c>
      <c r="G113" s="4" t="b">
        <f t="shared" si="3"/>
        <v>0</v>
      </c>
      <c r="H113" s="4" t="str">
        <f t="shared" si="4"/>
        <v>INELIGIBLE</v>
      </c>
      <c r="I113" s="4" t="str">
        <f t="shared" si="5"/>
        <v>Income, Credit Score</v>
      </c>
    </row>
    <row r="114" spans="1:9" x14ac:dyDescent="0.25">
      <c r="A114" s="4" t="str">
        <f>RAW_DATA!A114</f>
        <v>APP113</v>
      </c>
      <c r="B114" s="4" t="b">
        <f>AND(RAW_DATA!B114&gt;=21,RAW_DATA!B114&lt;=60)</f>
        <v>1</v>
      </c>
      <c r="C114" s="4" t="b">
        <f>RAW_DATA!C114&gt;=300000</f>
        <v>1</v>
      </c>
      <c r="D114" s="4" t="b">
        <f>RAW_DATA!F114&gt;=650</f>
        <v>1</v>
      </c>
      <c r="E114" s="4" t="b">
        <f>RAW_DATA!E114&gt;=1</f>
        <v>1</v>
      </c>
      <c r="F114" s="4" t="b">
        <f>RAW_DATA!L114="No"</f>
        <v>1</v>
      </c>
      <c r="G114" s="4" t="b">
        <f t="shared" si="3"/>
        <v>1</v>
      </c>
      <c r="H114" s="4" t="str">
        <f t="shared" si="4"/>
        <v>ELIGIBLE</v>
      </c>
      <c r="I114" s="4" t="str">
        <f t="shared" si="5"/>
        <v/>
      </c>
    </row>
    <row r="115" spans="1:9" x14ac:dyDescent="0.25">
      <c r="A115" s="4" t="str">
        <f>RAW_DATA!A115</f>
        <v>APP114</v>
      </c>
      <c r="B115" s="4" t="b">
        <f>AND(RAW_DATA!B115&gt;=21,RAW_DATA!B115&lt;=60)</f>
        <v>1</v>
      </c>
      <c r="C115" s="4" t="b">
        <f>RAW_DATA!C115&gt;=300000</f>
        <v>1</v>
      </c>
      <c r="D115" s="4" t="b">
        <f>RAW_DATA!F115&gt;=650</f>
        <v>0</v>
      </c>
      <c r="E115" s="4" t="b">
        <f>RAW_DATA!E115&gt;=1</f>
        <v>1</v>
      </c>
      <c r="F115" s="4" t="b">
        <f>RAW_DATA!L115="No"</f>
        <v>1</v>
      </c>
      <c r="G115" s="4" t="b">
        <f t="shared" si="3"/>
        <v>0</v>
      </c>
      <c r="H115" s="4" t="str">
        <f t="shared" si="4"/>
        <v>INELIGIBLE</v>
      </c>
      <c r="I115" s="4" t="str">
        <f t="shared" si="5"/>
        <v>Credit Score</v>
      </c>
    </row>
    <row r="116" spans="1:9" x14ac:dyDescent="0.25">
      <c r="A116" s="4" t="str">
        <f>RAW_DATA!A116</f>
        <v>APP115</v>
      </c>
      <c r="B116" s="4" t="b">
        <f>AND(RAW_DATA!B116&gt;=21,RAW_DATA!B116&lt;=60)</f>
        <v>1</v>
      </c>
      <c r="C116" s="4" t="b">
        <f>RAW_DATA!C116&gt;=300000</f>
        <v>1</v>
      </c>
      <c r="D116" s="4" t="b">
        <f>RAW_DATA!F116&gt;=650</f>
        <v>1</v>
      </c>
      <c r="E116" s="4" t="b">
        <f>RAW_DATA!E116&gt;=1</f>
        <v>1</v>
      </c>
      <c r="F116" s="4" t="b">
        <f>RAW_DATA!L116="No"</f>
        <v>1</v>
      </c>
      <c r="G116" s="4" t="b">
        <f t="shared" si="3"/>
        <v>1</v>
      </c>
      <c r="H116" s="4" t="str">
        <f t="shared" si="4"/>
        <v>ELIGIBLE</v>
      </c>
      <c r="I116" s="4" t="str">
        <f t="shared" si="5"/>
        <v/>
      </c>
    </row>
    <row r="117" spans="1:9" x14ac:dyDescent="0.25">
      <c r="A117" s="4" t="str">
        <f>RAW_DATA!A117</f>
        <v>APP116</v>
      </c>
      <c r="B117" s="4" t="b">
        <f>AND(RAW_DATA!B117&gt;=21,RAW_DATA!B117&lt;=60)</f>
        <v>1</v>
      </c>
      <c r="C117" s="4" t="b">
        <f>RAW_DATA!C117&gt;=300000</f>
        <v>1</v>
      </c>
      <c r="D117" s="4" t="b">
        <f>RAW_DATA!F117&gt;=650</f>
        <v>0</v>
      </c>
      <c r="E117" s="4" t="b">
        <f>RAW_DATA!E117&gt;=1</f>
        <v>1</v>
      </c>
      <c r="F117" s="4" t="b">
        <f>RAW_DATA!L117="No"</f>
        <v>1</v>
      </c>
      <c r="G117" s="4" t="b">
        <f t="shared" si="3"/>
        <v>0</v>
      </c>
      <c r="H117" s="4" t="str">
        <f t="shared" si="4"/>
        <v>INELIGIBLE</v>
      </c>
      <c r="I117" s="4" t="str">
        <f t="shared" si="5"/>
        <v>Credit Score</v>
      </c>
    </row>
    <row r="118" spans="1:9" x14ac:dyDescent="0.25">
      <c r="A118" s="4" t="str">
        <f>RAW_DATA!A118</f>
        <v>APP117</v>
      </c>
      <c r="B118" s="4" t="b">
        <f>AND(RAW_DATA!B118&gt;=21,RAW_DATA!B118&lt;=60)</f>
        <v>1</v>
      </c>
      <c r="C118" s="4" t="b">
        <f>RAW_DATA!C118&gt;=300000</f>
        <v>1</v>
      </c>
      <c r="D118" s="4" t="b">
        <f>RAW_DATA!F118&gt;=650</f>
        <v>0</v>
      </c>
      <c r="E118" s="4" t="b">
        <f>RAW_DATA!E118&gt;=1</f>
        <v>1</v>
      </c>
      <c r="F118" s="4" t="b">
        <f>RAW_DATA!L118="No"</f>
        <v>1</v>
      </c>
      <c r="G118" s="4" t="b">
        <f t="shared" si="3"/>
        <v>0</v>
      </c>
      <c r="H118" s="4" t="str">
        <f t="shared" si="4"/>
        <v>INELIGIBLE</v>
      </c>
      <c r="I118" s="4" t="str">
        <f t="shared" si="5"/>
        <v>Credit Score</v>
      </c>
    </row>
    <row r="119" spans="1:9" x14ac:dyDescent="0.25">
      <c r="A119" s="4" t="str">
        <f>RAW_DATA!A119</f>
        <v>APP118</v>
      </c>
      <c r="B119" s="4" t="b">
        <f>AND(RAW_DATA!B119&gt;=21,RAW_DATA!B119&lt;=60)</f>
        <v>1</v>
      </c>
      <c r="C119" s="4" t="b">
        <f>RAW_DATA!C119&gt;=300000</f>
        <v>0</v>
      </c>
      <c r="D119" s="4" t="b">
        <f>RAW_DATA!F119&gt;=650</f>
        <v>1</v>
      </c>
      <c r="E119" s="4" t="b">
        <f>RAW_DATA!E119&gt;=1</f>
        <v>1</v>
      </c>
      <c r="F119" s="4" t="b">
        <f>RAW_DATA!L119="No"</f>
        <v>1</v>
      </c>
      <c r="G119" s="4" t="b">
        <f t="shared" si="3"/>
        <v>0</v>
      </c>
      <c r="H119" s="4" t="str">
        <f t="shared" si="4"/>
        <v>INELIGIBLE</v>
      </c>
      <c r="I119" s="4" t="str">
        <f t="shared" si="5"/>
        <v>Income</v>
      </c>
    </row>
    <row r="120" spans="1:9" x14ac:dyDescent="0.25">
      <c r="A120" s="4" t="str">
        <f>RAW_DATA!A120</f>
        <v>APP119</v>
      </c>
      <c r="B120" s="4" t="b">
        <f>AND(RAW_DATA!B120&gt;=21,RAW_DATA!B120&lt;=60)</f>
        <v>1</v>
      </c>
      <c r="C120" s="4" t="b">
        <f>RAW_DATA!C120&gt;=300000</f>
        <v>1</v>
      </c>
      <c r="D120" s="4" t="b">
        <f>RAW_DATA!F120&gt;=650</f>
        <v>1</v>
      </c>
      <c r="E120" s="4" t="b">
        <f>RAW_DATA!E120&gt;=1</f>
        <v>1</v>
      </c>
      <c r="F120" s="4" t="b">
        <f>RAW_DATA!L120="No"</f>
        <v>1</v>
      </c>
      <c r="G120" s="4" t="b">
        <f t="shared" si="3"/>
        <v>1</v>
      </c>
      <c r="H120" s="4" t="str">
        <f t="shared" si="4"/>
        <v>ELIGIBLE</v>
      </c>
      <c r="I120" s="4" t="str">
        <f t="shared" si="5"/>
        <v/>
      </c>
    </row>
    <row r="121" spans="1:9" x14ac:dyDescent="0.25">
      <c r="A121" s="4" t="str">
        <f>RAW_DATA!A121</f>
        <v>APP120</v>
      </c>
      <c r="B121" s="4" t="b">
        <f>AND(RAW_DATA!B121&gt;=21,RAW_DATA!B121&lt;=60)</f>
        <v>1</v>
      </c>
      <c r="C121" s="4" t="b">
        <f>RAW_DATA!C121&gt;=300000</f>
        <v>1</v>
      </c>
      <c r="D121" s="4" t="b">
        <f>RAW_DATA!F121&gt;=650</f>
        <v>1</v>
      </c>
      <c r="E121" s="4" t="b">
        <f>RAW_DATA!E121&gt;=1</f>
        <v>1</v>
      </c>
      <c r="F121" s="4" t="b">
        <f>RAW_DATA!L121="No"</f>
        <v>1</v>
      </c>
      <c r="G121" s="4" t="b">
        <f t="shared" si="3"/>
        <v>1</v>
      </c>
      <c r="H121" s="4" t="str">
        <f t="shared" si="4"/>
        <v>ELIGIBLE</v>
      </c>
      <c r="I121" s="4" t="str">
        <f t="shared" si="5"/>
        <v/>
      </c>
    </row>
    <row r="122" spans="1:9" x14ac:dyDescent="0.25">
      <c r="A122" s="4" t="str">
        <f>RAW_DATA!A122</f>
        <v>APP121</v>
      </c>
      <c r="B122" s="4" t="b">
        <f>AND(RAW_DATA!B122&gt;=21,RAW_DATA!B122&lt;=60)</f>
        <v>1</v>
      </c>
      <c r="C122" s="4" t="b">
        <f>RAW_DATA!C122&gt;=300000</f>
        <v>1</v>
      </c>
      <c r="D122" s="4" t="b">
        <f>RAW_DATA!F122&gt;=650</f>
        <v>0</v>
      </c>
      <c r="E122" s="4" t="b">
        <f>RAW_DATA!E122&gt;=1</f>
        <v>1</v>
      </c>
      <c r="F122" s="4" t="b">
        <f>RAW_DATA!L122="No"</f>
        <v>1</v>
      </c>
      <c r="G122" s="4" t="b">
        <f t="shared" si="3"/>
        <v>0</v>
      </c>
      <c r="H122" s="4" t="str">
        <f t="shared" si="4"/>
        <v>INELIGIBLE</v>
      </c>
      <c r="I122" s="4" t="str">
        <f t="shared" si="5"/>
        <v>Credit Score</v>
      </c>
    </row>
    <row r="123" spans="1:9" x14ac:dyDescent="0.25">
      <c r="A123" s="4" t="str">
        <f>RAW_DATA!A123</f>
        <v>APP122</v>
      </c>
      <c r="B123" s="4" t="b">
        <f>AND(RAW_DATA!B123&gt;=21,RAW_DATA!B123&lt;=60)</f>
        <v>1</v>
      </c>
      <c r="C123" s="4" t="b">
        <f>RAW_DATA!C123&gt;=300000</f>
        <v>0</v>
      </c>
      <c r="D123" s="4" t="b">
        <f>RAW_DATA!F123&gt;=650</f>
        <v>0</v>
      </c>
      <c r="E123" s="4" t="b">
        <f>RAW_DATA!E123&gt;=1</f>
        <v>1</v>
      </c>
      <c r="F123" s="4" t="b">
        <f>RAW_DATA!L123="No"</f>
        <v>1</v>
      </c>
      <c r="G123" s="4" t="b">
        <f t="shared" si="3"/>
        <v>0</v>
      </c>
      <c r="H123" s="4" t="str">
        <f t="shared" si="4"/>
        <v>INELIGIBLE</v>
      </c>
      <c r="I123" s="4" t="str">
        <f t="shared" si="5"/>
        <v>Income, Credit Score</v>
      </c>
    </row>
    <row r="124" spans="1:9" x14ac:dyDescent="0.25">
      <c r="A124" s="4" t="str">
        <f>RAW_DATA!A124</f>
        <v>APP123</v>
      </c>
      <c r="B124" s="4" t="b">
        <f>AND(RAW_DATA!B124&gt;=21,RAW_DATA!B124&lt;=60)</f>
        <v>1</v>
      </c>
      <c r="C124" s="4" t="b">
        <f>RAW_DATA!C124&gt;=300000</f>
        <v>1</v>
      </c>
      <c r="D124" s="4" t="b">
        <f>RAW_DATA!F124&gt;=650</f>
        <v>0</v>
      </c>
      <c r="E124" s="4" t="b">
        <f>RAW_DATA!E124&gt;=1</f>
        <v>1</v>
      </c>
      <c r="F124" s="4" t="b">
        <f>RAW_DATA!L124="No"</f>
        <v>1</v>
      </c>
      <c r="G124" s="4" t="b">
        <f t="shared" si="3"/>
        <v>0</v>
      </c>
      <c r="H124" s="4" t="str">
        <f t="shared" si="4"/>
        <v>INELIGIBLE</v>
      </c>
      <c r="I124" s="4" t="str">
        <f t="shared" si="5"/>
        <v>Credit Score</v>
      </c>
    </row>
    <row r="125" spans="1:9" x14ac:dyDescent="0.25">
      <c r="A125" s="4" t="str">
        <f>RAW_DATA!A125</f>
        <v>APP124</v>
      </c>
      <c r="B125" s="4" t="b">
        <f>AND(RAW_DATA!B125&gt;=21,RAW_DATA!B125&lt;=60)</f>
        <v>1</v>
      </c>
      <c r="C125" s="4" t="b">
        <f>RAW_DATA!C125&gt;=300000</f>
        <v>1</v>
      </c>
      <c r="D125" s="4" t="b">
        <f>RAW_DATA!F125&gt;=650</f>
        <v>1</v>
      </c>
      <c r="E125" s="4" t="b">
        <f>RAW_DATA!E125&gt;=1</f>
        <v>1</v>
      </c>
      <c r="F125" s="4" t="b">
        <f>RAW_DATA!L125="No"</f>
        <v>0</v>
      </c>
      <c r="G125" s="4" t="b">
        <f t="shared" si="3"/>
        <v>0</v>
      </c>
      <c r="H125" s="4" t="str">
        <f t="shared" si="4"/>
        <v>INELIGIBLE</v>
      </c>
      <c r="I125" s="4" t="str">
        <f t="shared" si="5"/>
        <v>Defaulter History</v>
      </c>
    </row>
    <row r="126" spans="1:9" x14ac:dyDescent="0.25">
      <c r="A126" s="4" t="str">
        <f>RAW_DATA!A126</f>
        <v>APP125</v>
      </c>
      <c r="B126" s="4" t="b">
        <f>AND(RAW_DATA!B126&gt;=21,RAW_DATA!B126&lt;=60)</f>
        <v>1</v>
      </c>
      <c r="C126" s="4" t="b">
        <f>RAW_DATA!C126&gt;=300000</f>
        <v>1</v>
      </c>
      <c r="D126" s="4" t="b">
        <f>RAW_DATA!F126&gt;=650</f>
        <v>0</v>
      </c>
      <c r="E126" s="4" t="b">
        <f>RAW_DATA!E126&gt;=1</f>
        <v>1</v>
      </c>
      <c r="F126" s="4" t="b">
        <f>RAW_DATA!L126="No"</f>
        <v>1</v>
      </c>
      <c r="G126" s="4" t="b">
        <f t="shared" si="3"/>
        <v>0</v>
      </c>
      <c r="H126" s="4" t="str">
        <f t="shared" si="4"/>
        <v>INELIGIBLE</v>
      </c>
      <c r="I126" s="4" t="str">
        <f t="shared" si="5"/>
        <v>Credit Score</v>
      </c>
    </row>
    <row r="127" spans="1:9" x14ac:dyDescent="0.25">
      <c r="A127" s="4" t="str">
        <f>RAW_DATA!A127</f>
        <v>APP126</v>
      </c>
      <c r="B127" s="4" t="b">
        <f>AND(RAW_DATA!B127&gt;=21,RAW_DATA!B127&lt;=60)</f>
        <v>1</v>
      </c>
      <c r="C127" s="4" t="b">
        <f>RAW_DATA!C127&gt;=300000</f>
        <v>1</v>
      </c>
      <c r="D127" s="4" t="b">
        <f>RAW_DATA!F127&gt;=650</f>
        <v>0</v>
      </c>
      <c r="E127" s="4" t="b">
        <f>RAW_DATA!E127&gt;=1</f>
        <v>1</v>
      </c>
      <c r="F127" s="4" t="b">
        <f>RAW_DATA!L127="No"</f>
        <v>1</v>
      </c>
      <c r="G127" s="4" t="b">
        <f t="shared" si="3"/>
        <v>0</v>
      </c>
      <c r="H127" s="4" t="str">
        <f t="shared" si="4"/>
        <v>INELIGIBLE</v>
      </c>
      <c r="I127" s="4" t="str">
        <f t="shared" si="5"/>
        <v>Credit Score</v>
      </c>
    </row>
    <row r="128" spans="1:9" x14ac:dyDescent="0.25">
      <c r="A128" s="4" t="str">
        <f>RAW_DATA!A128</f>
        <v>APP127</v>
      </c>
      <c r="B128" s="4" t="b">
        <f>AND(RAW_DATA!B128&gt;=21,RAW_DATA!B128&lt;=60)</f>
        <v>1</v>
      </c>
      <c r="C128" s="4" t="b">
        <f>RAW_DATA!C128&gt;=300000</f>
        <v>1</v>
      </c>
      <c r="D128" s="4" t="b">
        <f>RAW_DATA!F128&gt;=650</f>
        <v>0</v>
      </c>
      <c r="E128" s="4" t="b">
        <f>RAW_DATA!E128&gt;=1</f>
        <v>1</v>
      </c>
      <c r="F128" s="4" t="b">
        <f>RAW_DATA!L128="No"</f>
        <v>0</v>
      </c>
      <c r="G128" s="4" t="b">
        <f t="shared" si="3"/>
        <v>0</v>
      </c>
      <c r="H128" s="4" t="str">
        <f t="shared" si="4"/>
        <v>INELIGIBLE</v>
      </c>
      <c r="I128" s="4" t="str">
        <f t="shared" si="5"/>
        <v>Credit Score, Defaulter History</v>
      </c>
    </row>
    <row r="129" spans="1:9" x14ac:dyDescent="0.25">
      <c r="A129" s="4" t="str">
        <f>RAW_DATA!A129</f>
        <v>APP128</v>
      </c>
      <c r="B129" s="4" t="b">
        <f>AND(RAW_DATA!B129&gt;=21,RAW_DATA!B129&lt;=60)</f>
        <v>1</v>
      </c>
      <c r="C129" s="4" t="b">
        <f>RAW_DATA!C129&gt;=300000</f>
        <v>1</v>
      </c>
      <c r="D129" s="4" t="b">
        <f>RAW_DATA!F129&gt;=650</f>
        <v>0</v>
      </c>
      <c r="E129" s="4" t="b">
        <f>RAW_DATA!E129&gt;=1</f>
        <v>1</v>
      </c>
      <c r="F129" s="4" t="b">
        <f>RAW_DATA!L129="No"</f>
        <v>1</v>
      </c>
      <c r="G129" s="4" t="b">
        <f t="shared" si="3"/>
        <v>0</v>
      </c>
      <c r="H129" s="4" t="str">
        <f t="shared" si="4"/>
        <v>INELIGIBLE</v>
      </c>
      <c r="I129" s="4" t="str">
        <f t="shared" si="5"/>
        <v>Credit Score</v>
      </c>
    </row>
    <row r="130" spans="1:9" x14ac:dyDescent="0.25">
      <c r="A130" s="4" t="str">
        <f>RAW_DATA!A130</f>
        <v>APP129</v>
      </c>
      <c r="B130" s="4" t="b">
        <f>AND(RAW_DATA!B130&gt;=21,RAW_DATA!B130&lt;=60)</f>
        <v>1</v>
      </c>
      <c r="C130" s="4" t="b">
        <f>RAW_DATA!C130&gt;=300000</f>
        <v>1</v>
      </c>
      <c r="D130" s="4" t="b">
        <f>RAW_DATA!F130&gt;=650</f>
        <v>0</v>
      </c>
      <c r="E130" s="4" t="b">
        <f>RAW_DATA!E130&gt;=1</f>
        <v>1</v>
      </c>
      <c r="F130" s="4" t="b">
        <f>RAW_DATA!L130="No"</f>
        <v>0</v>
      </c>
      <c r="G130" s="4" t="b">
        <f t="shared" si="3"/>
        <v>0</v>
      </c>
      <c r="H130" s="4" t="str">
        <f t="shared" si="4"/>
        <v>INELIGIBLE</v>
      </c>
      <c r="I130" s="4" t="str">
        <f t="shared" si="5"/>
        <v>Credit Score, Defaulter History</v>
      </c>
    </row>
    <row r="131" spans="1:9" x14ac:dyDescent="0.25">
      <c r="A131" s="4" t="str">
        <f>RAW_DATA!A131</f>
        <v>APP130</v>
      </c>
      <c r="B131" s="4" t="b">
        <f>AND(RAW_DATA!B131&gt;=21,RAW_DATA!B131&lt;=60)</f>
        <v>1</v>
      </c>
      <c r="C131" s="4" t="b">
        <f>RAW_DATA!C131&gt;=300000</f>
        <v>1</v>
      </c>
      <c r="D131" s="4" t="b">
        <f>RAW_DATA!F131&gt;=650</f>
        <v>1</v>
      </c>
      <c r="E131" s="4" t="b">
        <f>RAW_DATA!E131&gt;=1</f>
        <v>1</v>
      </c>
      <c r="F131" s="4" t="b">
        <f>RAW_DATA!L131="No"</f>
        <v>1</v>
      </c>
      <c r="G131" s="4" t="b">
        <f t="shared" ref="G131:G194" si="6">AND(B131:F131)</f>
        <v>1</v>
      </c>
      <c r="H131" s="4" t="str">
        <f t="shared" ref="H131:H194" si="7">IF(G131,"ELIGIBLE","INELIGIBLE")</f>
        <v>ELIGIBLE</v>
      </c>
      <c r="I131" s="4" t="str">
        <f t="shared" ref="I131:I194" si="8">IF(G131,"",_xlfn.TEXTJOIN(", ",TRUE,IF(B131,"","Age"),IF(C131,"","Income"),IF(D131,"","Credit Score"),IF(E131,"","Employment"),IF(F131,"","Defaulter History")))</f>
        <v/>
      </c>
    </row>
    <row r="132" spans="1:9" x14ac:dyDescent="0.25">
      <c r="A132" s="4" t="str">
        <f>RAW_DATA!A132</f>
        <v>APP131</v>
      </c>
      <c r="B132" s="4" t="b">
        <f>AND(RAW_DATA!B132&gt;=21,RAW_DATA!B132&lt;=60)</f>
        <v>1</v>
      </c>
      <c r="C132" s="4" t="b">
        <f>RAW_DATA!C132&gt;=300000</f>
        <v>1</v>
      </c>
      <c r="D132" s="4" t="b">
        <f>RAW_DATA!F132&gt;=650</f>
        <v>0</v>
      </c>
      <c r="E132" s="4" t="b">
        <f>RAW_DATA!E132&gt;=1</f>
        <v>1</v>
      </c>
      <c r="F132" s="4" t="b">
        <f>RAW_DATA!L132="No"</f>
        <v>1</v>
      </c>
      <c r="G132" s="4" t="b">
        <f t="shared" si="6"/>
        <v>0</v>
      </c>
      <c r="H132" s="4" t="str">
        <f t="shared" si="7"/>
        <v>INELIGIBLE</v>
      </c>
      <c r="I132" s="4" t="str">
        <f t="shared" si="8"/>
        <v>Credit Score</v>
      </c>
    </row>
    <row r="133" spans="1:9" x14ac:dyDescent="0.25">
      <c r="A133" s="4" t="str">
        <f>RAW_DATA!A133</f>
        <v>APP132</v>
      </c>
      <c r="B133" s="4" t="b">
        <f>AND(RAW_DATA!B133&gt;=21,RAW_DATA!B133&lt;=60)</f>
        <v>1</v>
      </c>
      <c r="C133" s="4" t="b">
        <f>RAW_DATA!C133&gt;=300000</f>
        <v>1</v>
      </c>
      <c r="D133" s="4" t="b">
        <f>RAW_DATA!F133&gt;=650</f>
        <v>0</v>
      </c>
      <c r="E133" s="4" t="b">
        <f>RAW_DATA!E133&gt;=1</f>
        <v>1</v>
      </c>
      <c r="F133" s="4" t="b">
        <f>RAW_DATA!L133="No"</f>
        <v>1</v>
      </c>
      <c r="G133" s="4" t="b">
        <f t="shared" si="6"/>
        <v>0</v>
      </c>
      <c r="H133" s="4" t="str">
        <f t="shared" si="7"/>
        <v>INELIGIBLE</v>
      </c>
      <c r="I133" s="4" t="str">
        <f t="shared" si="8"/>
        <v>Credit Score</v>
      </c>
    </row>
    <row r="134" spans="1:9" x14ac:dyDescent="0.25">
      <c r="A134" s="4" t="str">
        <f>RAW_DATA!A134</f>
        <v>APP133</v>
      </c>
      <c r="B134" s="4" t="b">
        <f>AND(RAW_DATA!B134&gt;=21,RAW_DATA!B134&lt;=60)</f>
        <v>1</v>
      </c>
      <c r="C134" s="4" t="b">
        <f>RAW_DATA!C134&gt;=300000</f>
        <v>1</v>
      </c>
      <c r="D134" s="4" t="b">
        <f>RAW_DATA!F134&gt;=650</f>
        <v>0</v>
      </c>
      <c r="E134" s="4" t="b">
        <f>RAW_DATA!E134&gt;=1</f>
        <v>1</v>
      </c>
      <c r="F134" s="4" t="b">
        <f>RAW_DATA!L134="No"</f>
        <v>1</v>
      </c>
      <c r="G134" s="4" t="b">
        <f t="shared" si="6"/>
        <v>0</v>
      </c>
      <c r="H134" s="4" t="str">
        <f t="shared" si="7"/>
        <v>INELIGIBLE</v>
      </c>
      <c r="I134" s="4" t="str">
        <f t="shared" si="8"/>
        <v>Credit Score</v>
      </c>
    </row>
    <row r="135" spans="1:9" x14ac:dyDescent="0.25">
      <c r="A135" s="4" t="str">
        <f>RAW_DATA!A135</f>
        <v>APP134</v>
      </c>
      <c r="B135" s="4" t="b">
        <f>AND(RAW_DATA!B135&gt;=21,RAW_DATA!B135&lt;=60)</f>
        <v>1</v>
      </c>
      <c r="C135" s="4" t="b">
        <f>RAW_DATA!C135&gt;=300000</f>
        <v>1</v>
      </c>
      <c r="D135" s="4" t="b">
        <f>RAW_DATA!F135&gt;=650</f>
        <v>1</v>
      </c>
      <c r="E135" s="4" t="b">
        <f>RAW_DATA!E135&gt;=1</f>
        <v>1</v>
      </c>
      <c r="F135" s="4" t="b">
        <f>RAW_DATA!L135="No"</f>
        <v>0</v>
      </c>
      <c r="G135" s="4" t="b">
        <f t="shared" si="6"/>
        <v>0</v>
      </c>
      <c r="H135" s="4" t="str">
        <f t="shared" si="7"/>
        <v>INELIGIBLE</v>
      </c>
      <c r="I135" s="4" t="str">
        <f t="shared" si="8"/>
        <v>Defaulter History</v>
      </c>
    </row>
    <row r="136" spans="1:9" x14ac:dyDescent="0.25">
      <c r="A136" s="4" t="str">
        <f>RAW_DATA!A136</f>
        <v>APP135</v>
      </c>
      <c r="B136" s="4" t="b">
        <f>AND(RAW_DATA!B136&gt;=21,RAW_DATA!B136&lt;=60)</f>
        <v>1</v>
      </c>
      <c r="C136" s="4" t="b">
        <f>RAW_DATA!C136&gt;=300000</f>
        <v>1</v>
      </c>
      <c r="D136" s="4" t="b">
        <f>RAW_DATA!F136&gt;=650</f>
        <v>0</v>
      </c>
      <c r="E136" s="4" t="b">
        <f>RAW_DATA!E136&gt;=1</f>
        <v>1</v>
      </c>
      <c r="F136" s="4" t="b">
        <f>RAW_DATA!L136="No"</f>
        <v>1</v>
      </c>
      <c r="G136" s="4" t="b">
        <f t="shared" si="6"/>
        <v>0</v>
      </c>
      <c r="H136" s="4" t="str">
        <f t="shared" si="7"/>
        <v>INELIGIBLE</v>
      </c>
      <c r="I136" s="4" t="str">
        <f t="shared" si="8"/>
        <v>Credit Score</v>
      </c>
    </row>
    <row r="137" spans="1:9" x14ac:dyDescent="0.25">
      <c r="A137" s="4" t="str">
        <f>RAW_DATA!A137</f>
        <v>APP136</v>
      </c>
      <c r="B137" s="4" t="b">
        <f>AND(RAW_DATA!B137&gt;=21,RAW_DATA!B137&lt;=60)</f>
        <v>1</v>
      </c>
      <c r="C137" s="4" t="b">
        <f>RAW_DATA!C137&gt;=300000</f>
        <v>1</v>
      </c>
      <c r="D137" s="4" t="b">
        <f>RAW_DATA!F137&gt;=650</f>
        <v>0</v>
      </c>
      <c r="E137" s="4" t="b">
        <f>RAW_DATA!E137&gt;=1</f>
        <v>1</v>
      </c>
      <c r="F137" s="4" t="b">
        <f>RAW_DATA!L137="No"</f>
        <v>1</v>
      </c>
      <c r="G137" s="4" t="b">
        <f t="shared" si="6"/>
        <v>0</v>
      </c>
      <c r="H137" s="4" t="str">
        <f t="shared" si="7"/>
        <v>INELIGIBLE</v>
      </c>
      <c r="I137" s="4" t="str">
        <f t="shared" si="8"/>
        <v>Credit Score</v>
      </c>
    </row>
    <row r="138" spans="1:9" x14ac:dyDescent="0.25">
      <c r="A138" s="4" t="str">
        <f>RAW_DATA!A138</f>
        <v>APP137</v>
      </c>
      <c r="B138" s="4" t="b">
        <f>AND(RAW_DATA!B138&gt;=21,RAW_DATA!B138&lt;=60)</f>
        <v>1</v>
      </c>
      <c r="C138" s="4" t="b">
        <f>RAW_DATA!C138&gt;=300000</f>
        <v>1</v>
      </c>
      <c r="D138" s="4" t="b">
        <f>RAW_DATA!F138&gt;=650</f>
        <v>0</v>
      </c>
      <c r="E138" s="4" t="b">
        <f>RAW_DATA!E138&gt;=1</f>
        <v>1</v>
      </c>
      <c r="F138" s="4" t="b">
        <f>RAW_DATA!L138="No"</f>
        <v>1</v>
      </c>
      <c r="G138" s="4" t="b">
        <f t="shared" si="6"/>
        <v>0</v>
      </c>
      <c r="H138" s="4" t="str">
        <f t="shared" si="7"/>
        <v>INELIGIBLE</v>
      </c>
      <c r="I138" s="4" t="str">
        <f t="shared" si="8"/>
        <v>Credit Score</v>
      </c>
    </row>
    <row r="139" spans="1:9" x14ac:dyDescent="0.25">
      <c r="A139" s="4" t="str">
        <f>RAW_DATA!A139</f>
        <v>APP138</v>
      </c>
      <c r="B139" s="4" t="b">
        <f>AND(RAW_DATA!B139&gt;=21,RAW_DATA!B139&lt;=60)</f>
        <v>1</v>
      </c>
      <c r="C139" s="4" t="b">
        <f>RAW_DATA!C139&gt;=300000</f>
        <v>1</v>
      </c>
      <c r="D139" s="4" t="b">
        <f>RAW_DATA!F139&gt;=650</f>
        <v>0</v>
      </c>
      <c r="E139" s="4" t="b">
        <f>RAW_DATA!E139&gt;=1</f>
        <v>1</v>
      </c>
      <c r="F139" s="4" t="b">
        <f>RAW_DATA!L139="No"</f>
        <v>1</v>
      </c>
      <c r="G139" s="4" t="b">
        <f t="shared" si="6"/>
        <v>0</v>
      </c>
      <c r="H139" s="4" t="str">
        <f t="shared" si="7"/>
        <v>INELIGIBLE</v>
      </c>
      <c r="I139" s="4" t="str">
        <f t="shared" si="8"/>
        <v>Credit Score</v>
      </c>
    </row>
    <row r="140" spans="1:9" x14ac:dyDescent="0.25">
      <c r="A140" s="4" t="str">
        <f>RAW_DATA!A140</f>
        <v>APP139</v>
      </c>
      <c r="B140" s="4" t="b">
        <f>AND(RAW_DATA!B140&gt;=21,RAW_DATA!B140&lt;=60)</f>
        <v>1</v>
      </c>
      <c r="C140" s="4" t="b">
        <f>RAW_DATA!C140&gt;=300000</f>
        <v>1</v>
      </c>
      <c r="D140" s="4" t="b">
        <f>RAW_DATA!F140&gt;=650</f>
        <v>1</v>
      </c>
      <c r="E140" s="4" t="b">
        <f>RAW_DATA!E140&gt;=1</f>
        <v>1</v>
      </c>
      <c r="F140" s="4" t="b">
        <f>RAW_DATA!L140="No"</f>
        <v>0</v>
      </c>
      <c r="G140" s="4" t="b">
        <f t="shared" si="6"/>
        <v>0</v>
      </c>
      <c r="H140" s="4" t="str">
        <f t="shared" si="7"/>
        <v>INELIGIBLE</v>
      </c>
      <c r="I140" s="4" t="str">
        <f t="shared" si="8"/>
        <v>Defaulter History</v>
      </c>
    </row>
    <row r="141" spans="1:9" x14ac:dyDescent="0.25">
      <c r="A141" s="4" t="str">
        <f>RAW_DATA!A141</f>
        <v>APP140</v>
      </c>
      <c r="B141" s="4" t="b">
        <f>AND(RAW_DATA!B141&gt;=21,RAW_DATA!B141&lt;=60)</f>
        <v>1</v>
      </c>
      <c r="C141" s="4" t="b">
        <f>RAW_DATA!C141&gt;=300000</f>
        <v>1</v>
      </c>
      <c r="D141" s="4" t="b">
        <f>RAW_DATA!F141&gt;=650</f>
        <v>1</v>
      </c>
      <c r="E141" s="4" t="b">
        <f>RAW_DATA!E141&gt;=1</f>
        <v>1</v>
      </c>
      <c r="F141" s="4" t="b">
        <f>RAW_DATA!L141="No"</f>
        <v>1</v>
      </c>
      <c r="G141" s="4" t="b">
        <f t="shared" si="6"/>
        <v>1</v>
      </c>
      <c r="H141" s="4" t="str">
        <f t="shared" si="7"/>
        <v>ELIGIBLE</v>
      </c>
      <c r="I141" s="4" t="str">
        <f t="shared" si="8"/>
        <v/>
      </c>
    </row>
    <row r="142" spans="1:9" x14ac:dyDescent="0.25">
      <c r="A142" s="4" t="str">
        <f>RAW_DATA!A142</f>
        <v>APP141</v>
      </c>
      <c r="B142" s="4" t="b">
        <f>AND(RAW_DATA!B142&gt;=21,RAW_DATA!B142&lt;=60)</f>
        <v>1</v>
      </c>
      <c r="C142" s="4" t="b">
        <f>RAW_DATA!C142&gt;=300000</f>
        <v>1</v>
      </c>
      <c r="D142" s="4" t="b">
        <f>RAW_DATA!F142&gt;=650</f>
        <v>1</v>
      </c>
      <c r="E142" s="4" t="b">
        <f>RAW_DATA!E142&gt;=1</f>
        <v>1</v>
      </c>
      <c r="F142" s="4" t="b">
        <f>RAW_DATA!L142="No"</f>
        <v>1</v>
      </c>
      <c r="G142" s="4" t="b">
        <f t="shared" si="6"/>
        <v>1</v>
      </c>
      <c r="H142" s="4" t="str">
        <f t="shared" si="7"/>
        <v>ELIGIBLE</v>
      </c>
      <c r="I142" s="4" t="str">
        <f t="shared" si="8"/>
        <v/>
      </c>
    </row>
    <row r="143" spans="1:9" x14ac:dyDescent="0.25">
      <c r="A143" s="4" t="str">
        <f>RAW_DATA!A143</f>
        <v>APP142</v>
      </c>
      <c r="B143" s="4" t="b">
        <f>AND(RAW_DATA!B143&gt;=21,RAW_DATA!B143&lt;=60)</f>
        <v>1</v>
      </c>
      <c r="C143" s="4" t="b">
        <f>RAW_DATA!C143&gt;=300000</f>
        <v>1</v>
      </c>
      <c r="D143" s="4" t="b">
        <f>RAW_DATA!F143&gt;=650</f>
        <v>0</v>
      </c>
      <c r="E143" s="4" t="b">
        <f>RAW_DATA!E143&gt;=1</f>
        <v>1</v>
      </c>
      <c r="F143" s="4" t="b">
        <f>RAW_DATA!L143="No"</f>
        <v>1</v>
      </c>
      <c r="G143" s="4" t="b">
        <f t="shared" si="6"/>
        <v>0</v>
      </c>
      <c r="H143" s="4" t="str">
        <f t="shared" si="7"/>
        <v>INELIGIBLE</v>
      </c>
      <c r="I143" s="4" t="str">
        <f t="shared" si="8"/>
        <v>Credit Score</v>
      </c>
    </row>
    <row r="144" spans="1:9" x14ac:dyDescent="0.25">
      <c r="A144" s="4" t="str">
        <f>RAW_DATA!A144</f>
        <v>APP143</v>
      </c>
      <c r="B144" s="4" t="b">
        <f>AND(RAW_DATA!B144&gt;=21,RAW_DATA!B144&lt;=60)</f>
        <v>1</v>
      </c>
      <c r="C144" s="4" t="b">
        <f>RAW_DATA!C144&gt;=300000</f>
        <v>1</v>
      </c>
      <c r="D144" s="4" t="b">
        <f>RAW_DATA!F144&gt;=650</f>
        <v>0</v>
      </c>
      <c r="E144" s="4" t="b">
        <f>RAW_DATA!E144&gt;=1</f>
        <v>1</v>
      </c>
      <c r="F144" s="4" t="b">
        <f>RAW_DATA!L144="No"</f>
        <v>1</v>
      </c>
      <c r="G144" s="4" t="b">
        <f t="shared" si="6"/>
        <v>0</v>
      </c>
      <c r="H144" s="4" t="str">
        <f t="shared" si="7"/>
        <v>INELIGIBLE</v>
      </c>
      <c r="I144" s="4" t="str">
        <f t="shared" si="8"/>
        <v>Credit Score</v>
      </c>
    </row>
    <row r="145" spans="1:9" x14ac:dyDescent="0.25">
      <c r="A145" s="4" t="str">
        <f>RAW_DATA!A145</f>
        <v>APP144</v>
      </c>
      <c r="B145" s="4" t="b">
        <f>AND(RAW_DATA!B145&gt;=21,RAW_DATA!B145&lt;=60)</f>
        <v>1</v>
      </c>
      <c r="C145" s="4" t="b">
        <f>RAW_DATA!C145&gt;=300000</f>
        <v>1</v>
      </c>
      <c r="D145" s="4" t="b">
        <f>RAW_DATA!F145&gt;=650</f>
        <v>0</v>
      </c>
      <c r="E145" s="4" t="b">
        <f>RAW_DATA!E145&gt;=1</f>
        <v>1</v>
      </c>
      <c r="F145" s="4" t="b">
        <f>RAW_DATA!L145="No"</f>
        <v>0</v>
      </c>
      <c r="G145" s="4" t="b">
        <f t="shared" si="6"/>
        <v>0</v>
      </c>
      <c r="H145" s="4" t="str">
        <f t="shared" si="7"/>
        <v>INELIGIBLE</v>
      </c>
      <c r="I145" s="4" t="str">
        <f t="shared" si="8"/>
        <v>Credit Score, Defaulter History</v>
      </c>
    </row>
    <row r="146" spans="1:9" x14ac:dyDescent="0.25">
      <c r="A146" s="4" t="str">
        <f>RAW_DATA!A146</f>
        <v>APP145</v>
      </c>
      <c r="B146" s="4" t="b">
        <f>AND(RAW_DATA!B146&gt;=21,RAW_DATA!B146&lt;=60)</f>
        <v>1</v>
      </c>
      <c r="C146" s="4" t="b">
        <f>RAW_DATA!C146&gt;=300000</f>
        <v>1</v>
      </c>
      <c r="D146" s="4" t="b">
        <f>RAW_DATA!F146&gt;=650</f>
        <v>1</v>
      </c>
      <c r="E146" s="4" t="b">
        <f>RAW_DATA!E146&gt;=1</f>
        <v>1</v>
      </c>
      <c r="F146" s="4" t="b">
        <f>RAW_DATA!L146="No"</f>
        <v>1</v>
      </c>
      <c r="G146" s="4" t="b">
        <f t="shared" si="6"/>
        <v>1</v>
      </c>
      <c r="H146" s="4" t="str">
        <f t="shared" si="7"/>
        <v>ELIGIBLE</v>
      </c>
      <c r="I146" s="4" t="str">
        <f t="shared" si="8"/>
        <v/>
      </c>
    </row>
    <row r="147" spans="1:9" x14ac:dyDescent="0.25">
      <c r="A147" s="4" t="str">
        <f>RAW_DATA!A147</f>
        <v>APP146</v>
      </c>
      <c r="B147" s="4" t="b">
        <f>AND(RAW_DATA!B147&gt;=21,RAW_DATA!B147&lt;=60)</f>
        <v>1</v>
      </c>
      <c r="C147" s="4" t="b">
        <f>RAW_DATA!C147&gt;=300000</f>
        <v>1</v>
      </c>
      <c r="D147" s="4" t="b">
        <f>RAW_DATA!F147&gt;=650</f>
        <v>0</v>
      </c>
      <c r="E147" s="4" t="b">
        <f>RAW_DATA!E147&gt;=1</f>
        <v>1</v>
      </c>
      <c r="F147" s="4" t="b">
        <f>RAW_DATA!L147="No"</f>
        <v>1</v>
      </c>
      <c r="G147" s="4" t="b">
        <f t="shared" si="6"/>
        <v>0</v>
      </c>
      <c r="H147" s="4" t="str">
        <f t="shared" si="7"/>
        <v>INELIGIBLE</v>
      </c>
      <c r="I147" s="4" t="str">
        <f t="shared" si="8"/>
        <v>Credit Score</v>
      </c>
    </row>
    <row r="148" spans="1:9" x14ac:dyDescent="0.25">
      <c r="A148" s="4" t="str">
        <f>RAW_DATA!A148</f>
        <v>APP147</v>
      </c>
      <c r="B148" s="4" t="b">
        <f>AND(RAW_DATA!B148&gt;=21,RAW_DATA!B148&lt;=60)</f>
        <v>1</v>
      </c>
      <c r="C148" s="4" t="b">
        <f>RAW_DATA!C148&gt;=300000</f>
        <v>1</v>
      </c>
      <c r="D148" s="4" t="b">
        <f>RAW_DATA!F148&gt;=650</f>
        <v>1</v>
      </c>
      <c r="E148" s="4" t="b">
        <f>RAW_DATA!E148&gt;=1</f>
        <v>1</v>
      </c>
      <c r="F148" s="4" t="b">
        <f>RAW_DATA!L148="No"</f>
        <v>1</v>
      </c>
      <c r="G148" s="4" t="b">
        <f t="shared" si="6"/>
        <v>1</v>
      </c>
      <c r="H148" s="4" t="str">
        <f t="shared" si="7"/>
        <v>ELIGIBLE</v>
      </c>
      <c r="I148" s="4" t="str">
        <f t="shared" si="8"/>
        <v/>
      </c>
    </row>
    <row r="149" spans="1:9" x14ac:dyDescent="0.25">
      <c r="A149" s="4" t="str">
        <f>RAW_DATA!A149</f>
        <v>APP148</v>
      </c>
      <c r="B149" s="4" t="b">
        <f>AND(RAW_DATA!B149&gt;=21,RAW_DATA!B149&lt;=60)</f>
        <v>1</v>
      </c>
      <c r="C149" s="4" t="b">
        <f>RAW_DATA!C149&gt;=300000</f>
        <v>1</v>
      </c>
      <c r="D149" s="4" t="b">
        <f>RAW_DATA!F149&gt;=650</f>
        <v>0</v>
      </c>
      <c r="E149" s="4" t="b">
        <f>RAW_DATA!E149&gt;=1</f>
        <v>1</v>
      </c>
      <c r="F149" s="4" t="b">
        <f>RAW_DATA!L149="No"</f>
        <v>1</v>
      </c>
      <c r="G149" s="4" t="b">
        <f t="shared" si="6"/>
        <v>0</v>
      </c>
      <c r="H149" s="4" t="str">
        <f t="shared" si="7"/>
        <v>INELIGIBLE</v>
      </c>
      <c r="I149" s="4" t="str">
        <f t="shared" si="8"/>
        <v>Credit Score</v>
      </c>
    </row>
    <row r="150" spans="1:9" x14ac:dyDescent="0.25">
      <c r="A150" s="4" t="str">
        <f>RAW_DATA!A150</f>
        <v>APP149</v>
      </c>
      <c r="B150" s="4" t="b">
        <f>AND(RAW_DATA!B150&gt;=21,RAW_DATA!B150&lt;=60)</f>
        <v>1</v>
      </c>
      <c r="C150" s="4" t="b">
        <f>RAW_DATA!C150&gt;=300000</f>
        <v>1</v>
      </c>
      <c r="D150" s="4" t="b">
        <f>RAW_DATA!F150&gt;=650</f>
        <v>1</v>
      </c>
      <c r="E150" s="4" t="b">
        <f>RAW_DATA!E150&gt;=1</f>
        <v>1</v>
      </c>
      <c r="F150" s="4" t="b">
        <f>RAW_DATA!L150="No"</f>
        <v>1</v>
      </c>
      <c r="G150" s="4" t="b">
        <f t="shared" si="6"/>
        <v>1</v>
      </c>
      <c r="H150" s="4" t="str">
        <f t="shared" si="7"/>
        <v>ELIGIBLE</v>
      </c>
      <c r="I150" s="4" t="str">
        <f t="shared" si="8"/>
        <v/>
      </c>
    </row>
    <row r="151" spans="1:9" x14ac:dyDescent="0.25">
      <c r="A151" s="4" t="str">
        <f>RAW_DATA!A151</f>
        <v>APP150</v>
      </c>
      <c r="B151" s="4" t="b">
        <f>AND(RAW_DATA!B151&gt;=21,RAW_DATA!B151&lt;=60)</f>
        <v>0</v>
      </c>
      <c r="C151" s="4" t="b">
        <f>RAW_DATA!C151&gt;=300000</f>
        <v>1</v>
      </c>
      <c r="D151" s="4" t="b">
        <f>RAW_DATA!F151&gt;=650</f>
        <v>0</v>
      </c>
      <c r="E151" s="4" t="b">
        <f>RAW_DATA!E151&gt;=1</f>
        <v>1</v>
      </c>
      <c r="F151" s="4" t="b">
        <f>RAW_DATA!L151="No"</f>
        <v>0</v>
      </c>
      <c r="G151" s="4" t="b">
        <f t="shared" si="6"/>
        <v>0</v>
      </c>
      <c r="H151" s="4" t="str">
        <f t="shared" si="7"/>
        <v>INELIGIBLE</v>
      </c>
      <c r="I151" s="4" t="str">
        <f t="shared" si="8"/>
        <v>Age, Credit Score, Defaulter History</v>
      </c>
    </row>
    <row r="152" spans="1:9" x14ac:dyDescent="0.25">
      <c r="A152" s="4" t="str">
        <f>RAW_DATA!A152</f>
        <v>APP151</v>
      </c>
      <c r="B152" s="4" t="b">
        <f>AND(RAW_DATA!B152&gt;=21,RAW_DATA!B152&lt;=60)</f>
        <v>1</v>
      </c>
      <c r="C152" s="4" t="b">
        <f>RAW_DATA!C152&gt;=300000</f>
        <v>1</v>
      </c>
      <c r="D152" s="4" t="b">
        <f>RAW_DATA!F152&gt;=650</f>
        <v>0</v>
      </c>
      <c r="E152" s="4" t="b">
        <f>RAW_DATA!E152&gt;=1</f>
        <v>1</v>
      </c>
      <c r="F152" s="4" t="b">
        <f>RAW_DATA!L152="No"</f>
        <v>1</v>
      </c>
      <c r="G152" s="4" t="b">
        <f t="shared" si="6"/>
        <v>0</v>
      </c>
      <c r="H152" s="4" t="str">
        <f t="shared" si="7"/>
        <v>INELIGIBLE</v>
      </c>
      <c r="I152" s="4" t="str">
        <f t="shared" si="8"/>
        <v>Credit Score</v>
      </c>
    </row>
    <row r="153" spans="1:9" x14ac:dyDescent="0.25">
      <c r="A153" s="4" t="str">
        <f>RAW_DATA!A153</f>
        <v>APP152</v>
      </c>
      <c r="B153" s="4" t="b">
        <f>AND(RAW_DATA!B153&gt;=21,RAW_DATA!B153&lt;=60)</f>
        <v>1</v>
      </c>
      <c r="C153" s="4" t="b">
        <f>RAW_DATA!C153&gt;=300000</f>
        <v>1</v>
      </c>
      <c r="D153" s="4" t="b">
        <f>RAW_DATA!F153&gt;=650</f>
        <v>0</v>
      </c>
      <c r="E153" s="4" t="b">
        <f>RAW_DATA!E153&gt;=1</f>
        <v>1</v>
      </c>
      <c r="F153" s="4" t="b">
        <f>RAW_DATA!L153="No"</f>
        <v>1</v>
      </c>
      <c r="G153" s="4" t="b">
        <f t="shared" si="6"/>
        <v>0</v>
      </c>
      <c r="H153" s="4" t="str">
        <f t="shared" si="7"/>
        <v>INELIGIBLE</v>
      </c>
      <c r="I153" s="4" t="str">
        <f t="shared" si="8"/>
        <v>Credit Score</v>
      </c>
    </row>
    <row r="154" spans="1:9" x14ac:dyDescent="0.25">
      <c r="A154" s="4" t="str">
        <f>RAW_DATA!A154</f>
        <v>APP153</v>
      </c>
      <c r="B154" s="4" t="b">
        <f>AND(RAW_DATA!B154&gt;=21,RAW_DATA!B154&lt;=60)</f>
        <v>1</v>
      </c>
      <c r="C154" s="4" t="b">
        <f>RAW_DATA!C154&gt;=300000</f>
        <v>1</v>
      </c>
      <c r="D154" s="4" t="b">
        <f>RAW_DATA!F154&gt;=650</f>
        <v>0</v>
      </c>
      <c r="E154" s="4" t="b">
        <f>RAW_DATA!E154&gt;=1</f>
        <v>1</v>
      </c>
      <c r="F154" s="4" t="b">
        <f>RAW_DATA!L154="No"</f>
        <v>1</v>
      </c>
      <c r="G154" s="4" t="b">
        <f t="shared" si="6"/>
        <v>0</v>
      </c>
      <c r="H154" s="4" t="str">
        <f t="shared" si="7"/>
        <v>INELIGIBLE</v>
      </c>
      <c r="I154" s="4" t="str">
        <f t="shared" si="8"/>
        <v>Credit Score</v>
      </c>
    </row>
    <row r="155" spans="1:9" x14ac:dyDescent="0.25">
      <c r="A155" s="4" t="str">
        <f>RAW_DATA!A155</f>
        <v>APP154</v>
      </c>
      <c r="B155" s="4" t="b">
        <f>AND(RAW_DATA!B155&gt;=21,RAW_DATA!B155&lt;=60)</f>
        <v>1</v>
      </c>
      <c r="C155" s="4" t="b">
        <f>RAW_DATA!C155&gt;=300000</f>
        <v>1</v>
      </c>
      <c r="D155" s="4" t="b">
        <f>RAW_DATA!F155&gt;=650</f>
        <v>1</v>
      </c>
      <c r="E155" s="4" t="b">
        <f>RAW_DATA!E155&gt;=1</f>
        <v>1</v>
      </c>
      <c r="F155" s="4" t="b">
        <f>RAW_DATA!L155="No"</f>
        <v>1</v>
      </c>
      <c r="G155" s="4" t="b">
        <f t="shared" si="6"/>
        <v>1</v>
      </c>
      <c r="H155" s="4" t="str">
        <f t="shared" si="7"/>
        <v>ELIGIBLE</v>
      </c>
      <c r="I155" s="4" t="str">
        <f t="shared" si="8"/>
        <v/>
      </c>
    </row>
    <row r="156" spans="1:9" x14ac:dyDescent="0.25">
      <c r="A156" s="4" t="str">
        <f>RAW_DATA!A156</f>
        <v>APP155</v>
      </c>
      <c r="B156" s="4" t="b">
        <f>AND(RAW_DATA!B156&gt;=21,RAW_DATA!B156&lt;=60)</f>
        <v>1</v>
      </c>
      <c r="C156" s="4" t="b">
        <f>RAW_DATA!C156&gt;=300000</f>
        <v>1</v>
      </c>
      <c r="D156" s="4" t="b">
        <f>RAW_DATA!F156&gt;=650</f>
        <v>1</v>
      </c>
      <c r="E156" s="4" t="b">
        <f>RAW_DATA!E156&gt;=1</f>
        <v>1</v>
      </c>
      <c r="F156" s="4" t="b">
        <f>RAW_DATA!L156="No"</f>
        <v>1</v>
      </c>
      <c r="G156" s="4" t="b">
        <f t="shared" si="6"/>
        <v>1</v>
      </c>
      <c r="H156" s="4" t="str">
        <f t="shared" si="7"/>
        <v>ELIGIBLE</v>
      </c>
      <c r="I156" s="4" t="str">
        <f t="shared" si="8"/>
        <v/>
      </c>
    </row>
    <row r="157" spans="1:9" x14ac:dyDescent="0.25">
      <c r="A157" s="4" t="str">
        <f>RAW_DATA!A157</f>
        <v>APP156</v>
      </c>
      <c r="B157" s="4" t="b">
        <f>AND(RAW_DATA!B157&gt;=21,RAW_DATA!B157&lt;=60)</f>
        <v>1</v>
      </c>
      <c r="C157" s="4" t="b">
        <f>RAW_DATA!C157&gt;=300000</f>
        <v>1</v>
      </c>
      <c r="D157" s="4" t="b">
        <f>RAW_DATA!F157&gt;=650</f>
        <v>0</v>
      </c>
      <c r="E157" s="4" t="b">
        <f>RAW_DATA!E157&gt;=1</f>
        <v>1</v>
      </c>
      <c r="F157" s="4" t="b">
        <f>RAW_DATA!L157="No"</f>
        <v>1</v>
      </c>
      <c r="G157" s="4" t="b">
        <f t="shared" si="6"/>
        <v>0</v>
      </c>
      <c r="H157" s="4" t="str">
        <f t="shared" si="7"/>
        <v>INELIGIBLE</v>
      </c>
      <c r="I157" s="4" t="str">
        <f t="shared" si="8"/>
        <v>Credit Score</v>
      </c>
    </row>
    <row r="158" spans="1:9" x14ac:dyDescent="0.25">
      <c r="A158" s="4" t="str">
        <f>RAW_DATA!A158</f>
        <v>APP157</v>
      </c>
      <c r="B158" s="4" t="b">
        <f>AND(RAW_DATA!B158&gt;=21,RAW_DATA!B158&lt;=60)</f>
        <v>1</v>
      </c>
      <c r="C158" s="4" t="b">
        <f>RAW_DATA!C158&gt;=300000</f>
        <v>0</v>
      </c>
      <c r="D158" s="4" t="b">
        <f>RAW_DATA!F158&gt;=650</f>
        <v>1</v>
      </c>
      <c r="E158" s="4" t="b">
        <f>RAW_DATA!E158&gt;=1</f>
        <v>1</v>
      </c>
      <c r="F158" s="4" t="b">
        <f>RAW_DATA!L158="No"</f>
        <v>0</v>
      </c>
      <c r="G158" s="4" t="b">
        <f t="shared" si="6"/>
        <v>0</v>
      </c>
      <c r="H158" s="4" t="str">
        <f t="shared" si="7"/>
        <v>INELIGIBLE</v>
      </c>
      <c r="I158" s="4" t="str">
        <f t="shared" si="8"/>
        <v>Income, Defaulter History</v>
      </c>
    </row>
    <row r="159" spans="1:9" x14ac:dyDescent="0.25">
      <c r="A159" s="4" t="str">
        <f>RAW_DATA!A159</f>
        <v>APP158</v>
      </c>
      <c r="B159" s="4" t="b">
        <f>AND(RAW_DATA!B159&gt;=21,RAW_DATA!B159&lt;=60)</f>
        <v>1</v>
      </c>
      <c r="C159" s="4" t="b">
        <f>RAW_DATA!C159&gt;=300000</f>
        <v>1</v>
      </c>
      <c r="D159" s="4" t="b">
        <f>RAW_DATA!F159&gt;=650</f>
        <v>0</v>
      </c>
      <c r="E159" s="4" t="b">
        <f>RAW_DATA!E159&gt;=1</f>
        <v>1</v>
      </c>
      <c r="F159" s="4" t="b">
        <f>RAW_DATA!L159="No"</f>
        <v>1</v>
      </c>
      <c r="G159" s="4" t="b">
        <f t="shared" si="6"/>
        <v>0</v>
      </c>
      <c r="H159" s="4" t="str">
        <f t="shared" si="7"/>
        <v>INELIGIBLE</v>
      </c>
      <c r="I159" s="4" t="str">
        <f t="shared" si="8"/>
        <v>Credit Score</v>
      </c>
    </row>
    <row r="160" spans="1:9" x14ac:dyDescent="0.25">
      <c r="A160" s="4" t="str">
        <f>RAW_DATA!A160</f>
        <v>APP159</v>
      </c>
      <c r="B160" s="4" t="b">
        <f>AND(RAW_DATA!B160&gt;=21,RAW_DATA!B160&lt;=60)</f>
        <v>1</v>
      </c>
      <c r="C160" s="4" t="b">
        <f>RAW_DATA!C160&gt;=300000</f>
        <v>1</v>
      </c>
      <c r="D160" s="4" t="b">
        <f>RAW_DATA!F160&gt;=650</f>
        <v>0</v>
      </c>
      <c r="E160" s="4" t="b">
        <f>RAW_DATA!E160&gt;=1</f>
        <v>0</v>
      </c>
      <c r="F160" s="4" t="b">
        <f>RAW_DATA!L160="No"</f>
        <v>1</v>
      </c>
      <c r="G160" s="4" t="b">
        <f t="shared" si="6"/>
        <v>0</v>
      </c>
      <c r="H160" s="4" t="str">
        <f t="shared" si="7"/>
        <v>INELIGIBLE</v>
      </c>
      <c r="I160" s="4" t="str">
        <f t="shared" si="8"/>
        <v>Credit Score, Employment</v>
      </c>
    </row>
    <row r="161" spans="1:9" x14ac:dyDescent="0.25">
      <c r="A161" s="4" t="str">
        <f>RAW_DATA!A161</f>
        <v>APP160</v>
      </c>
      <c r="B161" s="4" t="b">
        <f>AND(RAW_DATA!B161&gt;=21,RAW_DATA!B161&lt;=60)</f>
        <v>1</v>
      </c>
      <c r="C161" s="4" t="b">
        <f>RAW_DATA!C161&gt;=300000</f>
        <v>1</v>
      </c>
      <c r="D161" s="4" t="b">
        <f>RAW_DATA!F161&gt;=650</f>
        <v>0</v>
      </c>
      <c r="E161" s="4" t="b">
        <f>RAW_DATA!E161&gt;=1</f>
        <v>1</v>
      </c>
      <c r="F161" s="4" t="b">
        <f>RAW_DATA!L161="No"</f>
        <v>1</v>
      </c>
      <c r="G161" s="4" t="b">
        <f t="shared" si="6"/>
        <v>0</v>
      </c>
      <c r="H161" s="4" t="str">
        <f t="shared" si="7"/>
        <v>INELIGIBLE</v>
      </c>
      <c r="I161" s="4" t="str">
        <f t="shared" si="8"/>
        <v>Credit Score</v>
      </c>
    </row>
    <row r="162" spans="1:9" x14ac:dyDescent="0.25">
      <c r="A162" s="4" t="str">
        <f>RAW_DATA!A162</f>
        <v>APP161</v>
      </c>
      <c r="B162" s="4" t="b">
        <f>AND(RAW_DATA!B162&gt;=21,RAW_DATA!B162&lt;=60)</f>
        <v>1</v>
      </c>
      <c r="C162" s="4" t="b">
        <f>RAW_DATA!C162&gt;=300000</f>
        <v>1</v>
      </c>
      <c r="D162" s="4" t="b">
        <f>RAW_DATA!F162&gt;=650</f>
        <v>0</v>
      </c>
      <c r="E162" s="4" t="b">
        <f>RAW_DATA!E162&gt;=1</f>
        <v>1</v>
      </c>
      <c r="F162" s="4" t="b">
        <f>RAW_DATA!L162="No"</f>
        <v>0</v>
      </c>
      <c r="G162" s="4" t="b">
        <f t="shared" si="6"/>
        <v>0</v>
      </c>
      <c r="H162" s="4" t="str">
        <f t="shared" si="7"/>
        <v>INELIGIBLE</v>
      </c>
      <c r="I162" s="4" t="str">
        <f t="shared" si="8"/>
        <v>Credit Score, Defaulter History</v>
      </c>
    </row>
    <row r="163" spans="1:9" x14ac:dyDescent="0.25">
      <c r="A163" s="4" t="str">
        <f>RAW_DATA!A163</f>
        <v>APP162</v>
      </c>
      <c r="B163" s="4" t="b">
        <f>AND(RAW_DATA!B163&gt;=21,RAW_DATA!B163&lt;=60)</f>
        <v>1</v>
      </c>
      <c r="C163" s="4" t="b">
        <f>RAW_DATA!C163&gt;=300000</f>
        <v>1</v>
      </c>
      <c r="D163" s="4" t="b">
        <f>RAW_DATA!F163&gt;=650</f>
        <v>1</v>
      </c>
      <c r="E163" s="4" t="b">
        <f>RAW_DATA!E163&gt;=1</f>
        <v>1</v>
      </c>
      <c r="F163" s="4" t="b">
        <f>RAW_DATA!L163="No"</f>
        <v>1</v>
      </c>
      <c r="G163" s="4" t="b">
        <f t="shared" si="6"/>
        <v>1</v>
      </c>
      <c r="H163" s="4" t="str">
        <f t="shared" si="7"/>
        <v>ELIGIBLE</v>
      </c>
      <c r="I163" s="4" t="str">
        <f t="shared" si="8"/>
        <v/>
      </c>
    </row>
    <row r="164" spans="1:9" x14ac:dyDescent="0.25">
      <c r="A164" s="4" t="str">
        <f>RAW_DATA!A164</f>
        <v>APP163</v>
      </c>
      <c r="B164" s="4" t="b">
        <f>AND(RAW_DATA!B164&gt;=21,RAW_DATA!B164&lt;=60)</f>
        <v>1</v>
      </c>
      <c r="C164" s="4" t="b">
        <f>RAW_DATA!C164&gt;=300000</f>
        <v>0</v>
      </c>
      <c r="D164" s="4" t="b">
        <f>RAW_DATA!F164&gt;=650</f>
        <v>1</v>
      </c>
      <c r="E164" s="4" t="b">
        <f>RAW_DATA!E164&gt;=1</f>
        <v>1</v>
      </c>
      <c r="F164" s="4" t="b">
        <f>RAW_DATA!L164="No"</f>
        <v>1</v>
      </c>
      <c r="G164" s="4" t="b">
        <f t="shared" si="6"/>
        <v>0</v>
      </c>
      <c r="H164" s="4" t="str">
        <f t="shared" si="7"/>
        <v>INELIGIBLE</v>
      </c>
      <c r="I164" s="4" t="str">
        <f t="shared" si="8"/>
        <v>Income</v>
      </c>
    </row>
    <row r="165" spans="1:9" x14ac:dyDescent="0.25">
      <c r="A165" s="4" t="str">
        <f>RAW_DATA!A165</f>
        <v>APP164</v>
      </c>
      <c r="B165" s="4" t="b">
        <f>AND(RAW_DATA!B165&gt;=21,RAW_DATA!B165&lt;=60)</f>
        <v>1</v>
      </c>
      <c r="C165" s="4" t="b">
        <f>RAW_DATA!C165&gt;=300000</f>
        <v>1</v>
      </c>
      <c r="D165" s="4" t="b">
        <f>RAW_DATA!F165&gt;=650</f>
        <v>0</v>
      </c>
      <c r="E165" s="4" t="b">
        <f>RAW_DATA!E165&gt;=1</f>
        <v>1</v>
      </c>
      <c r="F165" s="4" t="b">
        <f>RAW_DATA!L165="No"</f>
        <v>1</v>
      </c>
      <c r="G165" s="4" t="b">
        <f t="shared" si="6"/>
        <v>0</v>
      </c>
      <c r="H165" s="4" t="str">
        <f t="shared" si="7"/>
        <v>INELIGIBLE</v>
      </c>
      <c r="I165" s="4" t="str">
        <f t="shared" si="8"/>
        <v>Credit Score</v>
      </c>
    </row>
    <row r="166" spans="1:9" x14ac:dyDescent="0.25">
      <c r="A166" s="4" t="str">
        <f>RAW_DATA!A166</f>
        <v>APP165</v>
      </c>
      <c r="B166" s="4" t="b">
        <f>AND(RAW_DATA!B166&gt;=21,RAW_DATA!B166&lt;=60)</f>
        <v>1</v>
      </c>
      <c r="C166" s="4" t="b">
        <f>RAW_DATA!C166&gt;=300000</f>
        <v>1</v>
      </c>
      <c r="D166" s="4" t="b">
        <f>RAW_DATA!F166&gt;=650</f>
        <v>1</v>
      </c>
      <c r="E166" s="4" t="b">
        <f>RAW_DATA!E166&gt;=1</f>
        <v>1</v>
      </c>
      <c r="F166" s="4" t="b">
        <f>RAW_DATA!L166="No"</f>
        <v>0</v>
      </c>
      <c r="G166" s="4" t="b">
        <f t="shared" si="6"/>
        <v>0</v>
      </c>
      <c r="H166" s="4" t="str">
        <f t="shared" si="7"/>
        <v>INELIGIBLE</v>
      </c>
      <c r="I166" s="4" t="str">
        <f t="shared" si="8"/>
        <v>Defaulter History</v>
      </c>
    </row>
    <row r="167" spans="1:9" x14ac:dyDescent="0.25">
      <c r="A167" s="4" t="str">
        <f>RAW_DATA!A167</f>
        <v>APP166</v>
      </c>
      <c r="B167" s="4" t="b">
        <f>AND(RAW_DATA!B167&gt;=21,RAW_DATA!B167&lt;=60)</f>
        <v>1</v>
      </c>
      <c r="C167" s="4" t="b">
        <f>RAW_DATA!C167&gt;=300000</f>
        <v>1</v>
      </c>
      <c r="D167" s="4" t="b">
        <f>RAW_DATA!F167&gt;=650</f>
        <v>0</v>
      </c>
      <c r="E167" s="4" t="b">
        <f>RAW_DATA!E167&gt;=1</f>
        <v>1</v>
      </c>
      <c r="F167" s="4" t="b">
        <f>RAW_DATA!L167="No"</f>
        <v>1</v>
      </c>
      <c r="G167" s="4" t="b">
        <f t="shared" si="6"/>
        <v>0</v>
      </c>
      <c r="H167" s="4" t="str">
        <f t="shared" si="7"/>
        <v>INELIGIBLE</v>
      </c>
      <c r="I167" s="4" t="str">
        <f t="shared" si="8"/>
        <v>Credit Score</v>
      </c>
    </row>
    <row r="168" spans="1:9" x14ac:dyDescent="0.25">
      <c r="A168" s="4" t="str">
        <f>RAW_DATA!A168</f>
        <v>APP167</v>
      </c>
      <c r="B168" s="4" t="b">
        <f>AND(RAW_DATA!B168&gt;=21,RAW_DATA!B168&lt;=60)</f>
        <v>1</v>
      </c>
      <c r="C168" s="4" t="b">
        <f>RAW_DATA!C168&gt;=300000</f>
        <v>1</v>
      </c>
      <c r="D168" s="4" t="b">
        <f>RAW_DATA!F168&gt;=650</f>
        <v>0</v>
      </c>
      <c r="E168" s="4" t="b">
        <f>RAW_DATA!E168&gt;=1</f>
        <v>1</v>
      </c>
      <c r="F168" s="4" t="b">
        <f>RAW_DATA!L168="No"</f>
        <v>1</v>
      </c>
      <c r="G168" s="4" t="b">
        <f t="shared" si="6"/>
        <v>0</v>
      </c>
      <c r="H168" s="4" t="str">
        <f t="shared" si="7"/>
        <v>INELIGIBLE</v>
      </c>
      <c r="I168" s="4" t="str">
        <f t="shared" si="8"/>
        <v>Credit Score</v>
      </c>
    </row>
    <row r="169" spans="1:9" x14ac:dyDescent="0.25">
      <c r="A169" s="4" t="str">
        <f>RAW_DATA!A169</f>
        <v>APP168</v>
      </c>
      <c r="B169" s="4" t="b">
        <f>AND(RAW_DATA!B169&gt;=21,RAW_DATA!B169&lt;=60)</f>
        <v>1</v>
      </c>
      <c r="C169" s="4" t="b">
        <f>RAW_DATA!C169&gt;=300000</f>
        <v>1</v>
      </c>
      <c r="D169" s="4" t="b">
        <f>RAW_DATA!F169&gt;=650</f>
        <v>0</v>
      </c>
      <c r="E169" s="4" t="b">
        <f>RAW_DATA!E169&gt;=1</f>
        <v>1</v>
      </c>
      <c r="F169" s="4" t="b">
        <f>RAW_DATA!L169="No"</f>
        <v>1</v>
      </c>
      <c r="G169" s="4" t="b">
        <f t="shared" si="6"/>
        <v>0</v>
      </c>
      <c r="H169" s="4" t="str">
        <f t="shared" si="7"/>
        <v>INELIGIBLE</v>
      </c>
      <c r="I169" s="4" t="str">
        <f t="shared" si="8"/>
        <v>Credit Score</v>
      </c>
    </row>
    <row r="170" spans="1:9" x14ac:dyDescent="0.25">
      <c r="A170" s="4" t="str">
        <f>RAW_DATA!A170</f>
        <v>APP169</v>
      </c>
      <c r="B170" s="4" t="b">
        <f>AND(RAW_DATA!B170&gt;=21,RAW_DATA!B170&lt;=60)</f>
        <v>1</v>
      </c>
      <c r="C170" s="4" t="b">
        <f>RAW_DATA!C170&gt;=300000</f>
        <v>1</v>
      </c>
      <c r="D170" s="4" t="b">
        <f>RAW_DATA!F170&gt;=650</f>
        <v>1</v>
      </c>
      <c r="E170" s="4" t="b">
        <f>RAW_DATA!E170&gt;=1</f>
        <v>0</v>
      </c>
      <c r="F170" s="4" t="b">
        <f>RAW_DATA!L170="No"</f>
        <v>0</v>
      </c>
      <c r="G170" s="4" t="b">
        <f t="shared" si="6"/>
        <v>0</v>
      </c>
      <c r="H170" s="4" t="str">
        <f t="shared" si="7"/>
        <v>INELIGIBLE</v>
      </c>
      <c r="I170" s="4" t="str">
        <f t="shared" si="8"/>
        <v>Employment, Defaulter History</v>
      </c>
    </row>
    <row r="171" spans="1:9" x14ac:dyDescent="0.25">
      <c r="A171" s="4" t="str">
        <f>RAW_DATA!A171</f>
        <v>APP170</v>
      </c>
      <c r="B171" s="4" t="b">
        <f>AND(RAW_DATA!B171&gt;=21,RAW_DATA!B171&lt;=60)</f>
        <v>1</v>
      </c>
      <c r="C171" s="4" t="b">
        <f>RAW_DATA!C171&gt;=300000</f>
        <v>1</v>
      </c>
      <c r="D171" s="4" t="b">
        <f>RAW_DATA!F171&gt;=650</f>
        <v>0</v>
      </c>
      <c r="E171" s="4" t="b">
        <f>RAW_DATA!E171&gt;=1</f>
        <v>1</v>
      </c>
      <c r="F171" s="4" t="b">
        <f>RAW_DATA!L171="No"</f>
        <v>1</v>
      </c>
      <c r="G171" s="4" t="b">
        <f t="shared" si="6"/>
        <v>0</v>
      </c>
      <c r="H171" s="4" t="str">
        <f t="shared" si="7"/>
        <v>INELIGIBLE</v>
      </c>
      <c r="I171" s="4" t="str">
        <f t="shared" si="8"/>
        <v>Credit Score</v>
      </c>
    </row>
    <row r="172" spans="1:9" x14ac:dyDescent="0.25">
      <c r="A172" s="4" t="str">
        <f>RAW_DATA!A172</f>
        <v>APP171</v>
      </c>
      <c r="B172" s="4" t="b">
        <f>AND(RAW_DATA!B172&gt;=21,RAW_DATA!B172&lt;=60)</f>
        <v>1</v>
      </c>
      <c r="C172" s="4" t="b">
        <f>RAW_DATA!C172&gt;=300000</f>
        <v>1</v>
      </c>
      <c r="D172" s="4" t="b">
        <f>RAW_DATA!F172&gt;=650</f>
        <v>1</v>
      </c>
      <c r="E172" s="4" t="b">
        <f>RAW_DATA!E172&gt;=1</f>
        <v>0</v>
      </c>
      <c r="F172" s="4" t="b">
        <f>RAW_DATA!L172="No"</f>
        <v>1</v>
      </c>
      <c r="G172" s="4" t="b">
        <f t="shared" si="6"/>
        <v>0</v>
      </c>
      <c r="H172" s="4" t="str">
        <f t="shared" si="7"/>
        <v>INELIGIBLE</v>
      </c>
      <c r="I172" s="4" t="str">
        <f t="shared" si="8"/>
        <v>Employment</v>
      </c>
    </row>
    <row r="173" spans="1:9" x14ac:dyDescent="0.25">
      <c r="A173" s="4" t="str">
        <f>RAW_DATA!A173</f>
        <v>APP172</v>
      </c>
      <c r="B173" s="4" t="b">
        <f>AND(RAW_DATA!B173&gt;=21,RAW_DATA!B173&lt;=60)</f>
        <v>0</v>
      </c>
      <c r="C173" s="4" t="b">
        <f>RAW_DATA!C173&gt;=300000</f>
        <v>1</v>
      </c>
      <c r="D173" s="4" t="b">
        <f>RAW_DATA!F173&gt;=650</f>
        <v>0</v>
      </c>
      <c r="E173" s="4" t="b">
        <f>RAW_DATA!E173&gt;=1</f>
        <v>1</v>
      </c>
      <c r="F173" s="4" t="b">
        <f>RAW_DATA!L173="No"</f>
        <v>1</v>
      </c>
      <c r="G173" s="4" t="b">
        <f t="shared" si="6"/>
        <v>0</v>
      </c>
      <c r="H173" s="4" t="str">
        <f t="shared" si="7"/>
        <v>INELIGIBLE</v>
      </c>
      <c r="I173" s="4" t="str">
        <f t="shared" si="8"/>
        <v>Age, Credit Score</v>
      </c>
    </row>
    <row r="174" spans="1:9" x14ac:dyDescent="0.25">
      <c r="A174" s="4" t="str">
        <f>RAW_DATA!A174</f>
        <v>APP173</v>
      </c>
      <c r="B174" s="4" t="b">
        <f>AND(RAW_DATA!B174&gt;=21,RAW_DATA!B174&lt;=60)</f>
        <v>1</v>
      </c>
      <c r="C174" s="4" t="b">
        <f>RAW_DATA!C174&gt;=300000</f>
        <v>1</v>
      </c>
      <c r="D174" s="4" t="b">
        <f>RAW_DATA!F174&gt;=650</f>
        <v>0</v>
      </c>
      <c r="E174" s="4" t="b">
        <f>RAW_DATA!E174&gt;=1</f>
        <v>1</v>
      </c>
      <c r="F174" s="4" t="b">
        <f>RAW_DATA!L174="No"</f>
        <v>1</v>
      </c>
      <c r="G174" s="4" t="b">
        <f t="shared" si="6"/>
        <v>0</v>
      </c>
      <c r="H174" s="4" t="str">
        <f t="shared" si="7"/>
        <v>INELIGIBLE</v>
      </c>
      <c r="I174" s="4" t="str">
        <f t="shared" si="8"/>
        <v>Credit Score</v>
      </c>
    </row>
    <row r="175" spans="1:9" x14ac:dyDescent="0.25">
      <c r="A175" s="4" t="str">
        <f>RAW_DATA!A175</f>
        <v>APP174</v>
      </c>
      <c r="B175" s="4" t="b">
        <f>AND(RAW_DATA!B175&gt;=21,RAW_DATA!B175&lt;=60)</f>
        <v>1</v>
      </c>
      <c r="C175" s="4" t="b">
        <f>RAW_DATA!C175&gt;=300000</f>
        <v>0</v>
      </c>
      <c r="D175" s="4" t="b">
        <f>RAW_DATA!F175&gt;=650</f>
        <v>0</v>
      </c>
      <c r="E175" s="4" t="b">
        <f>RAW_DATA!E175&gt;=1</f>
        <v>1</v>
      </c>
      <c r="F175" s="4" t="b">
        <f>RAW_DATA!L175="No"</f>
        <v>0</v>
      </c>
      <c r="G175" s="4" t="b">
        <f t="shared" si="6"/>
        <v>0</v>
      </c>
      <c r="H175" s="4" t="str">
        <f t="shared" si="7"/>
        <v>INELIGIBLE</v>
      </c>
      <c r="I175" s="4" t="str">
        <f t="shared" si="8"/>
        <v>Income, Credit Score, Defaulter History</v>
      </c>
    </row>
    <row r="176" spans="1:9" x14ac:dyDescent="0.25">
      <c r="A176" s="4" t="str">
        <f>RAW_DATA!A176</f>
        <v>APP175</v>
      </c>
      <c r="B176" s="4" t="b">
        <f>AND(RAW_DATA!B176&gt;=21,RAW_DATA!B176&lt;=60)</f>
        <v>1</v>
      </c>
      <c r="C176" s="4" t="b">
        <f>RAW_DATA!C176&gt;=300000</f>
        <v>1</v>
      </c>
      <c r="D176" s="4" t="b">
        <f>RAW_DATA!F176&gt;=650</f>
        <v>0</v>
      </c>
      <c r="E176" s="4" t="b">
        <f>RAW_DATA!E176&gt;=1</f>
        <v>1</v>
      </c>
      <c r="F176" s="4" t="b">
        <f>RAW_DATA!L176="No"</f>
        <v>1</v>
      </c>
      <c r="G176" s="4" t="b">
        <f t="shared" si="6"/>
        <v>0</v>
      </c>
      <c r="H176" s="4" t="str">
        <f t="shared" si="7"/>
        <v>INELIGIBLE</v>
      </c>
      <c r="I176" s="4" t="str">
        <f t="shared" si="8"/>
        <v>Credit Score</v>
      </c>
    </row>
    <row r="177" spans="1:9" x14ac:dyDescent="0.25">
      <c r="A177" s="4" t="str">
        <f>RAW_DATA!A177</f>
        <v>APP176</v>
      </c>
      <c r="B177" s="4" t="b">
        <f>AND(RAW_DATA!B177&gt;=21,RAW_DATA!B177&lt;=60)</f>
        <v>1</v>
      </c>
      <c r="C177" s="4" t="b">
        <f>RAW_DATA!C177&gt;=300000</f>
        <v>1</v>
      </c>
      <c r="D177" s="4" t="b">
        <f>RAW_DATA!F177&gt;=650</f>
        <v>0</v>
      </c>
      <c r="E177" s="4" t="b">
        <f>RAW_DATA!E177&gt;=1</f>
        <v>1</v>
      </c>
      <c r="F177" s="4" t="b">
        <f>RAW_DATA!L177="No"</f>
        <v>1</v>
      </c>
      <c r="G177" s="4" t="b">
        <f t="shared" si="6"/>
        <v>0</v>
      </c>
      <c r="H177" s="4" t="str">
        <f t="shared" si="7"/>
        <v>INELIGIBLE</v>
      </c>
      <c r="I177" s="4" t="str">
        <f t="shared" si="8"/>
        <v>Credit Score</v>
      </c>
    </row>
    <row r="178" spans="1:9" x14ac:dyDescent="0.25">
      <c r="A178" s="4" t="str">
        <f>RAW_DATA!A178</f>
        <v>APP177</v>
      </c>
      <c r="B178" s="4" t="b">
        <f>AND(RAW_DATA!B178&gt;=21,RAW_DATA!B178&lt;=60)</f>
        <v>1</v>
      </c>
      <c r="C178" s="4" t="b">
        <f>RAW_DATA!C178&gt;=300000</f>
        <v>1</v>
      </c>
      <c r="D178" s="4" t="b">
        <f>RAW_DATA!F178&gt;=650</f>
        <v>0</v>
      </c>
      <c r="E178" s="4" t="b">
        <f>RAW_DATA!E178&gt;=1</f>
        <v>1</v>
      </c>
      <c r="F178" s="4" t="b">
        <f>RAW_DATA!L178="No"</f>
        <v>0</v>
      </c>
      <c r="G178" s="4" t="b">
        <f t="shared" si="6"/>
        <v>0</v>
      </c>
      <c r="H178" s="4" t="str">
        <f t="shared" si="7"/>
        <v>INELIGIBLE</v>
      </c>
      <c r="I178" s="4" t="str">
        <f t="shared" si="8"/>
        <v>Credit Score, Defaulter History</v>
      </c>
    </row>
    <row r="179" spans="1:9" x14ac:dyDescent="0.25">
      <c r="A179" s="4" t="str">
        <f>RAW_DATA!A179</f>
        <v>APP178</v>
      </c>
      <c r="B179" s="4" t="b">
        <f>AND(RAW_DATA!B179&gt;=21,RAW_DATA!B179&lt;=60)</f>
        <v>1</v>
      </c>
      <c r="C179" s="4" t="b">
        <f>RAW_DATA!C179&gt;=300000</f>
        <v>1</v>
      </c>
      <c r="D179" s="4" t="b">
        <f>RAW_DATA!F179&gt;=650</f>
        <v>1</v>
      </c>
      <c r="E179" s="4" t="b">
        <f>RAW_DATA!E179&gt;=1</f>
        <v>1</v>
      </c>
      <c r="F179" s="4" t="b">
        <f>RAW_DATA!L179="No"</f>
        <v>1</v>
      </c>
      <c r="G179" s="4" t="b">
        <f t="shared" si="6"/>
        <v>1</v>
      </c>
      <c r="H179" s="4" t="str">
        <f t="shared" si="7"/>
        <v>ELIGIBLE</v>
      </c>
      <c r="I179" s="4" t="str">
        <f t="shared" si="8"/>
        <v/>
      </c>
    </row>
    <row r="180" spans="1:9" x14ac:dyDescent="0.25">
      <c r="A180" s="4" t="str">
        <f>RAW_DATA!A180</f>
        <v>APP179</v>
      </c>
      <c r="B180" s="4" t="b">
        <f>AND(RAW_DATA!B180&gt;=21,RAW_DATA!B180&lt;=60)</f>
        <v>1</v>
      </c>
      <c r="C180" s="4" t="b">
        <f>RAW_DATA!C180&gt;=300000</f>
        <v>0</v>
      </c>
      <c r="D180" s="4" t="b">
        <f>RAW_DATA!F180&gt;=650</f>
        <v>0</v>
      </c>
      <c r="E180" s="4" t="b">
        <f>RAW_DATA!E180&gt;=1</f>
        <v>1</v>
      </c>
      <c r="F180" s="4" t="b">
        <f>RAW_DATA!L180="No"</f>
        <v>1</v>
      </c>
      <c r="G180" s="4" t="b">
        <f t="shared" si="6"/>
        <v>0</v>
      </c>
      <c r="H180" s="4" t="str">
        <f t="shared" si="7"/>
        <v>INELIGIBLE</v>
      </c>
      <c r="I180" s="4" t="str">
        <f t="shared" si="8"/>
        <v>Income, Credit Score</v>
      </c>
    </row>
    <row r="181" spans="1:9" x14ac:dyDescent="0.25">
      <c r="A181" s="4" t="str">
        <f>RAW_DATA!A181</f>
        <v>APP180</v>
      </c>
      <c r="B181" s="4" t="b">
        <f>AND(RAW_DATA!B181&gt;=21,RAW_DATA!B181&lt;=60)</f>
        <v>1</v>
      </c>
      <c r="C181" s="4" t="b">
        <f>RAW_DATA!C181&gt;=300000</f>
        <v>1</v>
      </c>
      <c r="D181" s="4" t="b">
        <f>RAW_DATA!F181&gt;=650</f>
        <v>0</v>
      </c>
      <c r="E181" s="4" t="b">
        <f>RAW_DATA!E181&gt;=1</f>
        <v>1</v>
      </c>
      <c r="F181" s="4" t="b">
        <f>RAW_DATA!L181="No"</f>
        <v>1</v>
      </c>
      <c r="G181" s="4" t="b">
        <f t="shared" si="6"/>
        <v>0</v>
      </c>
      <c r="H181" s="4" t="str">
        <f t="shared" si="7"/>
        <v>INELIGIBLE</v>
      </c>
      <c r="I181" s="4" t="str">
        <f t="shared" si="8"/>
        <v>Credit Score</v>
      </c>
    </row>
    <row r="182" spans="1:9" x14ac:dyDescent="0.25">
      <c r="A182" s="4" t="str">
        <f>RAW_DATA!A182</f>
        <v>APP181</v>
      </c>
      <c r="B182" s="4" t="b">
        <f>AND(RAW_DATA!B182&gt;=21,RAW_DATA!B182&lt;=60)</f>
        <v>0</v>
      </c>
      <c r="C182" s="4" t="b">
        <f>RAW_DATA!C182&gt;=300000</f>
        <v>1</v>
      </c>
      <c r="D182" s="4" t="b">
        <f>RAW_DATA!F182&gt;=650</f>
        <v>1</v>
      </c>
      <c r="E182" s="4" t="b">
        <f>RAW_DATA!E182&gt;=1</f>
        <v>1</v>
      </c>
      <c r="F182" s="4" t="b">
        <f>RAW_DATA!L182="No"</f>
        <v>1</v>
      </c>
      <c r="G182" s="4" t="b">
        <f t="shared" si="6"/>
        <v>0</v>
      </c>
      <c r="H182" s="4" t="str">
        <f t="shared" si="7"/>
        <v>INELIGIBLE</v>
      </c>
      <c r="I182" s="4" t="str">
        <f t="shared" si="8"/>
        <v>Age</v>
      </c>
    </row>
    <row r="183" spans="1:9" x14ac:dyDescent="0.25">
      <c r="A183" s="4" t="str">
        <f>RAW_DATA!A183</f>
        <v>APP182</v>
      </c>
      <c r="B183" s="4" t="b">
        <f>AND(RAW_DATA!B183&gt;=21,RAW_DATA!B183&lt;=60)</f>
        <v>1</v>
      </c>
      <c r="C183" s="4" t="b">
        <f>RAW_DATA!C183&gt;=300000</f>
        <v>1</v>
      </c>
      <c r="D183" s="4" t="b">
        <f>RAW_DATA!F183&gt;=650</f>
        <v>0</v>
      </c>
      <c r="E183" s="4" t="b">
        <f>RAW_DATA!E183&gt;=1</f>
        <v>1</v>
      </c>
      <c r="F183" s="4" t="b">
        <f>RAW_DATA!L183="No"</f>
        <v>1</v>
      </c>
      <c r="G183" s="4" t="b">
        <f t="shared" si="6"/>
        <v>0</v>
      </c>
      <c r="H183" s="4" t="str">
        <f t="shared" si="7"/>
        <v>INELIGIBLE</v>
      </c>
      <c r="I183" s="4" t="str">
        <f t="shared" si="8"/>
        <v>Credit Score</v>
      </c>
    </row>
    <row r="184" spans="1:9" x14ac:dyDescent="0.25">
      <c r="A184" s="4" t="str">
        <f>RAW_DATA!A184</f>
        <v>APP183</v>
      </c>
      <c r="B184" s="4" t="b">
        <f>AND(RAW_DATA!B184&gt;=21,RAW_DATA!B184&lt;=60)</f>
        <v>0</v>
      </c>
      <c r="C184" s="4" t="b">
        <f>RAW_DATA!C184&gt;=300000</f>
        <v>1</v>
      </c>
      <c r="D184" s="4" t="b">
        <f>RAW_DATA!F184&gt;=650</f>
        <v>1</v>
      </c>
      <c r="E184" s="4" t="b">
        <f>RAW_DATA!E184&gt;=1</f>
        <v>1</v>
      </c>
      <c r="F184" s="4" t="b">
        <f>RAW_DATA!L184="No"</f>
        <v>1</v>
      </c>
      <c r="G184" s="4" t="b">
        <f t="shared" si="6"/>
        <v>0</v>
      </c>
      <c r="H184" s="4" t="str">
        <f t="shared" si="7"/>
        <v>INELIGIBLE</v>
      </c>
      <c r="I184" s="4" t="str">
        <f t="shared" si="8"/>
        <v>Age</v>
      </c>
    </row>
    <row r="185" spans="1:9" x14ac:dyDescent="0.25">
      <c r="A185" s="4" t="str">
        <f>RAW_DATA!A185</f>
        <v>APP184</v>
      </c>
      <c r="B185" s="4" t="b">
        <f>AND(RAW_DATA!B185&gt;=21,RAW_DATA!B185&lt;=60)</f>
        <v>0</v>
      </c>
      <c r="C185" s="4" t="b">
        <f>RAW_DATA!C185&gt;=300000</f>
        <v>1</v>
      </c>
      <c r="D185" s="4" t="b">
        <f>RAW_DATA!F185&gt;=650</f>
        <v>0</v>
      </c>
      <c r="E185" s="4" t="b">
        <f>RAW_DATA!E185&gt;=1</f>
        <v>1</v>
      </c>
      <c r="F185" s="4" t="b">
        <f>RAW_DATA!L185="No"</f>
        <v>1</v>
      </c>
      <c r="G185" s="4" t="b">
        <f t="shared" si="6"/>
        <v>0</v>
      </c>
      <c r="H185" s="4" t="str">
        <f t="shared" si="7"/>
        <v>INELIGIBLE</v>
      </c>
      <c r="I185" s="4" t="str">
        <f t="shared" si="8"/>
        <v>Age, Credit Score</v>
      </c>
    </row>
    <row r="186" spans="1:9" x14ac:dyDescent="0.25">
      <c r="A186" s="4" t="str">
        <f>RAW_DATA!A186</f>
        <v>APP185</v>
      </c>
      <c r="B186" s="4" t="b">
        <f>AND(RAW_DATA!B186&gt;=21,RAW_DATA!B186&lt;=60)</f>
        <v>1</v>
      </c>
      <c r="C186" s="4" t="b">
        <f>RAW_DATA!C186&gt;=300000</f>
        <v>1</v>
      </c>
      <c r="D186" s="4" t="b">
        <f>RAW_DATA!F186&gt;=650</f>
        <v>0</v>
      </c>
      <c r="E186" s="4" t="b">
        <f>RAW_DATA!E186&gt;=1</f>
        <v>1</v>
      </c>
      <c r="F186" s="4" t="b">
        <f>RAW_DATA!L186="No"</f>
        <v>1</v>
      </c>
      <c r="G186" s="4" t="b">
        <f t="shared" si="6"/>
        <v>0</v>
      </c>
      <c r="H186" s="4" t="str">
        <f t="shared" si="7"/>
        <v>INELIGIBLE</v>
      </c>
      <c r="I186" s="4" t="str">
        <f t="shared" si="8"/>
        <v>Credit Score</v>
      </c>
    </row>
    <row r="187" spans="1:9" x14ac:dyDescent="0.25">
      <c r="A187" s="4" t="str">
        <f>RAW_DATA!A187</f>
        <v>APP186</v>
      </c>
      <c r="B187" s="4" t="b">
        <f>AND(RAW_DATA!B187&gt;=21,RAW_DATA!B187&lt;=60)</f>
        <v>1</v>
      </c>
      <c r="C187" s="4" t="b">
        <f>RAW_DATA!C187&gt;=300000</f>
        <v>1</v>
      </c>
      <c r="D187" s="4" t="b">
        <f>RAW_DATA!F187&gt;=650</f>
        <v>1</v>
      </c>
      <c r="E187" s="4" t="b">
        <f>RAW_DATA!E187&gt;=1</f>
        <v>1</v>
      </c>
      <c r="F187" s="4" t="b">
        <f>RAW_DATA!L187="No"</f>
        <v>1</v>
      </c>
      <c r="G187" s="4" t="b">
        <f t="shared" si="6"/>
        <v>1</v>
      </c>
      <c r="H187" s="4" t="str">
        <f t="shared" si="7"/>
        <v>ELIGIBLE</v>
      </c>
      <c r="I187" s="4" t="str">
        <f t="shared" si="8"/>
        <v/>
      </c>
    </row>
    <row r="188" spans="1:9" x14ac:dyDescent="0.25">
      <c r="A188" s="4" t="str">
        <f>RAW_DATA!A188</f>
        <v>APP187</v>
      </c>
      <c r="B188" s="4" t="b">
        <f>AND(RAW_DATA!B188&gt;=21,RAW_DATA!B188&lt;=60)</f>
        <v>1</v>
      </c>
      <c r="C188" s="4" t="b">
        <f>RAW_DATA!C188&gt;=300000</f>
        <v>1</v>
      </c>
      <c r="D188" s="4" t="b">
        <f>RAW_DATA!F188&gt;=650</f>
        <v>1</v>
      </c>
      <c r="E188" s="4" t="b">
        <f>RAW_DATA!E188&gt;=1</f>
        <v>1</v>
      </c>
      <c r="F188" s="4" t="b">
        <f>RAW_DATA!L188="No"</f>
        <v>1</v>
      </c>
      <c r="G188" s="4" t="b">
        <f t="shared" si="6"/>
        <v>1</v>
      </c>
      <c r="H188" s="4" t="str">
        <f t="shared" si="7"/>
        <v>ELIGIBLE</v>
      </c>
      <c r="I188" s="4" t="str">
        <f t="shared" si="8"/>
        <v/>
      </c>
    </row>
    <row r="189" spans="1:9" x14ac:dyDescent="0.25">
      <c r="A189" s="4" t="str">
        <f>RAW_DATA!A189</f>
        <v>APP188</v>
      </c>
      <c r="B189" s="4" t="b">
        <f>AND(RAW_DATA!B189&gt;=21,RAW_DATA!B189&lt;=60)</f>
        <v>1</v>
      </c>
      <c r="C189" s="4" t="b">
        <f>RAW_DATA!C189&gt;=300000</f>
        <v>1</v>
      </c>
      <c r="D189" s="4" t="b">
        <f>RAW_DATA!F189&gt;=650</f>
        <v>1</v>
      </c>
      <c r="E189" s="4" t="b">
        <f>RAW_DATA!E189&gt;=1</f>
        <v>1</v>
      </c>
      <c r="F189" s="4" t="b">
        <f>RAW_DATA!L189="No"</f>
        <v>1</v>
      </c>
      <c r="G189" s="4" t="b">
        <f t="shared" si="6"/>
        <v>1</v>
      </c>
      <c r="H189" s="4" t="str">
        <f t="shared" si="7"/>
        <v>ELIGIBLE</v>
      </c>
      <c r="I189" s="4" t="str">
        <f t="shared" si="8"/>
        <v/>
      </c>
    </row>
    <row r="190" spans="1:9" x14ac:dyDescent="0.25">
      <c r="A190" s="4" t="str">
        <f>RAW_DATA!A190</f>
        <v>APP189</v>
      </c>
      <c r="B190" s="4" t="b">
        <f>AND(RAW_DATA!B190&gt;=21,RAW_DATA!B190&lt;=60)</f>
        <v>0</v>
      </c>
      <c r="C190" s="4" t="b">
        <f>RAW_DATA!C190&gt;=300000</f>
        <v>1</v>
      </c>
      <c r="D190" s="4" t="b">
        <f>RAW_DATA!F190&gt;=650</f>
        <v>0</v>
      </c>
      <c r="E190" s="4" t="b">
        <f>RAW_DATA!E190&gt;=1</f>
        <v>1</v>
      </c>
      <c r="F190" s="4" t="b">
        <f>RAW_DATA!L190="No"</f>
        <v>0</v>
      </c>
      <c r="G190" s="4" t="b">
        <f t="shared" si="6"/>
        <v>0</v>
      </c>
      <c r="H190" s="4" t="str">
        <f t="shared" si="7"/>
        <v>INELIGIBLE</v>
      </c>
      <c r="I190" s="4" t="str">
        <f t="shared" si="8"/>
        <v>Age, Credit Score, Defaulter History</v>
      </c>
    </row>
    <row r="191" spans="1:9" x14ac:dyDescent="0.25">
      <c r="A191" s="4" t="str">
        <f>RAW_DATA!A191</f>
        <v>APP190</v>
      </c>
      <c r="B191" s="4" t="b">
        <f>AND(RAW_DATA!B191&gt;=21,RAW_DATA!B191&lt;=60)</f>
        <v>1</v>
      </c>
      <c r="C191" s="4" t="b">
        <f>RAW_DATA!C191&gt;=300000</f>
        <v>1</v>
      </c>
      <c r="D191" s="4" t="b">
        <f>RAW_DATA!F191&gt;=650</f>
        <v>0</v>
      </c>
      <c r="E191" s="4" t="b">
        <f>RAW_DATA!E191&gt;=1</f>
        <v>1</v>
      </c>
      <c r="F191" s="4" t="b">
        <f>RAW_DATA!L191="No"</f>
        <v>1</v>
      </c>
      <c r="G191" s="4" t="b">
        <f t="shared" si="6"/>
        <v>0</v>
      </c>
      <c r="H191" s="4" t="str">
        <f t="shared" si="7"/>
        <v>INELIGIBLE</v>
      </c>
      <c r="I191" s="4" t="str">
        <f t="shared" si="8"/>
        <v>Credit Score</v>
      </c>
    </row>
    <row r="192" spans="1:9" x14ac:dyDescent="0.25">
      <c r="A192" s="4" t="str">
        <f>RAW_DATA!A192</f>
        <v>APP191</v>
      </c>
      <c r="B192" s="4" t="b">
        <f>AND(RAW_DATA!B192&gt;=21,RAW_DATA!B192&lt;=60)</f>
        <v>1</v>
      </c>
      <c r="C192" s="4" t="b">
        <f>RAW_DATA!C192&gt;=300000</f>
        <v>1</v>
      </c>
      <c r="D192" s="4" t="b">
        <f>RAW_DATA!F192&gt;=650</f>
        <v>1</v>
      </c>
      <c r="E192" s="4" t="b">
        <f>RAW_DATA!E192&gt;=1</f>
        <v>1</v>
      </c>
      <c r="F192" s="4" t="b">
        <f>RAW_DATA!L192="No"</f>
        <v>1</v>
      </c>
      <c r="G192" s="4" t="b">
        <f t="shared" si="6"/>
        <v>1</v>
      </c>
      <c r="H192" s="4" t="str">
        <f t="shared" si="7"/>
        <v>ELIGIBLE</v>
      </c>
      <c r="I192" s="4" t="str">
        <f t="shared" si="8"/>
        <v/>
      </c>
    </row>
    <row r="193" spans="1:9" x14ac:dyDescent="0.25">
      <c r="A193" s="4" t="str">
        <f>RAW_DATA!A193</f>
        <v>APP192</v>
      </c>
      <c r="B193" s="4" t="b">
        <f>AND(RAW_DATA!B193&gt;=21,RAW_DATA!B193&lt;=60)</f>
        <v>1</v>
      </c>
      <c r="C193" s="4" t="b">
        <f>RAW_DATA!C193&gt;=300000</f>
        <v>1</v>
      </c>
      <c r="D193" s="4" t="b">
        <f>RAW_DATA!F193&gt;=650</f>
        <v>0</v>
      </c>
      <c r="E193" s="4" t="b">
        <f>RAW_DATA!E193&gt;=1</f>
        <v>1</v>
      </c>
      <c r="F193" s="4" t="b">
        <f>RAW_DATA!L193="No"</f>
        <v>1</v>
      </c>
      <c r="G193" s="4" t="b">
        <f t="shared" si="6"/>
        <v>0</v>
      </c>
      <c r="H193" s="4" t="str">
        <f t="shared" si="7"/>
        <v>INELIGIBLE</v>
      </c>
      <c r="I193" s="4" t="str">
        <f t="shared" si="8"/>
        <v>Credit Score</v>
      </c>
    </row>
    <row r="194" spans="1:9" x14ac:dyDescent="0.25">
      <c r="A194" s="4" t="str">
        <f>RAW_DATA!A194</f>
        <v>APP193</v>
      </c>
      <c r="B194" s="4" t="b">
        <f>AND(RAW_DATA!B194&gt;=21,RAW_DATA!B194&lt;=60)</f>
        <v>1</v>
      </c>
      <c r="C194" s="4" t="b">
        <f>RAW_DATA!C194&gt;=300000</f>
        <v>1</v>
      </c>
      <c r="D194" s="4" t="b">
        <f>RAW_DATA!F194&gt;=650</f>
        <v>1</v>
      </c>
      <c r="E194" s="4" t="b">
        <f>RAW_DATA!E194&gt;=1</f>
        <v>1</v>
      </c>
      <c r="F194" s="4" t="b">
        <f>RAW_DATA!L194="No"</f>
        <v>1</v>
      </c>
      <c r="G194" s="4" t="b">
        <f t="shared" si="6"/>
        <v>1</v>
      </c>
      <c r="H194" s="4" t="str">
        <f t="shared" si="7"/>
        <v>ELIGIBLE</v>
      </c>
      <c r="I194" s="4" t="str">
        <f t="shared" si="8"/>
        <v/>
      </c>
    </row>
    <row r="195" spans="1:9" x14ac:dyDescent="0.25">
      <c r="A195" s="4" t="str">
        <f>RAW_DATA!A195</f>
        <v>APP194</v>
      </c>
      <c r="B195" s="4" t="b">
        <f>AND(RAW_DATA!B195&gt;=21,RAW_DATA!B195&lt;=60)</f>
        <v>1</v>
      </c>
      <c r="C195" s="4" t="b">
        <f>RAW_DATA!C195&gt;=300000</f>
        <v>1</v>
      </c>
      <c r="D195" s="4" t="b">
        <f>RAW_DATA!F195&gt;=650</f>
        <v>1</v>
      </c>
      <c r="E195" s="4" t="b">
        <f>RAW_DATA!E195&gt;=1</f>
        <v>1</v>
      </c>
      <c r="F195" s="4" t="b">
        <f>RAW_DATA!L195="No"</f>
        <v>0</v>
      </c>
      <c r="G195" s="4" t="b">
        <f t="shared" ref="G195:G258" si="9">AND(B195:F195)</f>
        <v>0</v>
      </c>
      <c r="H195" s="4" t="str">
        <f t="shared" ref="H195:H258" si="10">IF(G195,"ELIGIBLE","INELIGIBLE")</f>
        <v>INELIGIBLE</v>
      </c>
      <c r="I195" s="4" t="str">
        <f t="shared" ref="I195:I258" si="11">IF(G195,"",_xlfn.TEXTJOIN(", ",TRUE,IF(B195,"","Age"),IF(C195,"","Income"),IF(D195,"","Credit Score"),IF(E195,"","Employment"),IF(F195,"","Defaulter History")))</f>
        <v>Defaulter History</v>
      </c>
    </row>
    <row r="196" spans="1:9" x14ac:dyDescent="0.25">
      <c r="A196" s="4" t="str">
        <f>RAW_DATA!A196</f>
        <v>APP195</v>
      </c>
      <c r="B196" s="4" t="b">
        <f>AND(RAW_DATA!B196&gt;=21,RAW_DATA!B196&lt;=60)</f>
        <v>0</v>
      </c>
      <c r="C196" s="4" t="b">
        <f>RAW_DATA!C196&gt;=300000</f>
        <v>1</v>
      </c>
      <c r="D196" s="4" t="b">
        <f>RAW_DATA!F196&gt;=650</f>
        <v>0</v>
      </c>
      <c r="E196" s="4" t="b">
        <f>RAW_DATA!E196&gt;=1</f>
        <v>1</v>
      </c>
      <c r="F196" s="4" t="b">
        <f>RAW_DATA!L196="No"</f>
        <v>1</v>
      </c>
      <c r="G196" s="4" t="b">
        <f t="shared" si="9"/>
        <v>0</v>
      </c>
      <c r="H196" s="4" t="str">
        <f t="shared" si="10"/>
        <v>INELIGIBLE</v>
      </c>
      <c r="I196" s="4" t="str">
        <f t="shared" si="11"/>
        <v>Age, Credit Score</v>
      </c>
    </row>
    <row r="197" spans="1:9" x14ac:dyDescent="0.25">
      <c r="A197" s="4" t="str">
        <f>RAW_DATA!A197</f>
        <v>APP196</v>
      </c>
      <c r="B197" s="4" t="b">
        <f>AND(RAW_DATA!B197&gt;=21,RAW_DATA!B197&lt;=60)</f>
        <v>1</v>
      </c>
      <c r="C197" s="4" t="b">
        <f>RAW_DATA!C197&gt;=300000</f>
        <v>1</v>
      </c>
      <c r="D197" s="4" t="b">
        <f>RAW_DATA!F197&gt;=650</f>
        <v>0</v>
      </c>
      <c r="E197" s="4" t="b">
        <f>RAW_DATA!E197&gt;=1</f>
        <v>1</v>
      </c>
      <c r="F197" s="4" t="b">
        <f>RAW_DATA!L197="No"</f>
        <v>1</v>
      </c>
      <c r="G197" s="4" t="b">
        <f t="shared" si="9"/>
        <v>0</v>
      </c>
      <c r="H197" s="4" t="str">
        <f t="shared" si="10"/>
        <v>INELIGIBLE</v>
      </c>
      <c r="I197" s="4" t="str">
        <f t="shared" si="11"/>
        <v>Credit Score</v>
      </c>
    </row>
    <row r="198" spans="1:9" x14ac:dyDescent="0.25">
      <c r="A198" s="4" t="str">
        <f>RAW_DATA!A198</f>
        <v>APP197</v>
      </c>
      <c r="B198" s="4" t="b">
        <f>AND(RAW_DATA!B198&gt;=21,RAW_DATA!B198&lt;=60)</f>
        <v>1</v>
      </c>
      <c r="C198" s="4" t="b">
        <f>RAW_DATA!C198&gt;=300000</f>
        <v>1</v>
      </c>
      <c r="D198" s="4" t="b">
        <f>RAW_DATA!F198&gt;=650</f>
        <v>1</v>
      </c>
      <c r="E198" s="4" t="b">
        <f>RAW_DATA!E198&gt;=1</f>
        <v>1</v>
      </c>
      <c r="F198" s="4" t="b">
        <f>RAW_DATA!L198="No"</f>
        <v>1</v>
      </c>
      <c r="G198" s="4" t="b">
        <f t="shared" si="9"/>
        <v>1</v>
      </c>
      <c r="H198" s="4" t="str">
        <f t="shared" si="10"/>
        <v>ELIGIBLE</v>
      </c>
      <c r="I198" s="4" t="str">
        <f t="shared" si="11"/>
        <v/>
      </c>
    </row>
    <row r="199" spans="1:9" x14ac:dyDescent="0.25">
      <c r="A199" s="4" t="str">
        <f>RAW_DATA!A199</f>
        <v>APP198</v>
      </c>
      <c r="B199" s="4" t="b">
        <f>AND(RAW_DATA!B199&gt;=21,RAW_DATA!B199&lt;=60)</f>
        <v>1</v>
      </c>
      <c r="C199" s="4" t="b">
        <f>RAW_DATA!C199&gt;=300000</f>
        <v>1</v>
      </c>
      <c r="D199" s="4" t="b">
        <f>RAW_DATA!F199&gt;=650</f>
        <v>1</v>
      </c>
      <c r="E199" s="4" t="b">
        <f>RAW_DATA!E199&gt;=1</f>
        <v>1</v>
      </c>
      <c r="F199" s="4" t="b">
        <f>RAW_DATA!L199="No"</f>
        <v>1</v>
      </c>
      <c r="G199" s="4" t="b">
        <f t="shared" si="9"/>
        <v>1</v>
      </c>
      <c r="H199" s="4" t="str">
        <f t="shared" si="10"/>
        <v>ELIGIBLE</v>
      </c>
      <c r="I199" s="4" t="str">
        <f t="shared" si="11"/>
        <v/>
      </c>
    </row>
    <row r="200" spans="1:9" x14ac:dyDescent="0.25">
      <c r="A200" s="4" t="str">
        <f>RAW_DATA!A200</f>
        <v>APP199</v>
      </c>
      <c r="B200" s="4" t="b">
        <f>AND(RAW_DATA!B200&gt;=21,RAW_DATA!B200&lt;=60)</f>
        <v>1</v>
      </c>
      <c r="C200" s="4" t="b">
        <f>RAW_DATA!C200&gt;=300000</f>
        <v>1</v>
      </c>
      <c r="D200" s="4" t="b">
        <f>RAW_DATA!F200&gt;=650</f>
        <v>1</v>
      </c>
      <c r="E200" s="4" t="b">
        <f>RAW_DATA!E200&gt;=1</f>
        <v>1</v>
      </c>
      <c r="F200" s="4" t="b">
        <f>RAW_DATA!L200="No"</f>
        <v>0</v>
      </c>
      <c r="G200" s="4" t="b">
        <f t="shared" si="9"/>
        <v>0</v>
      </c>
      <c r="H200" s="4" t="str">
        <f t="shared" si="10"/>
        <v>INELIGIBLE</v>
      </c>
      <c r="I200" s="4" t="str">
        <f t="shared" si="11"/>
        <v>Defaulter History</v>
      </c>
    </row>
    <row r="201" spans="1:9" x14ac:dyDescent="0.25">
      <c r="A201" s="4" t="str">
        <f>RAW_DATA!A201</f>
        <v>APP200</v>
      </c>
      <c r="B201" s="4" t="b">
        <f>AND(RAW_DATA!B201&gt;=21,RAW_DATA!B201&lt;=60)</f>
        <v>1</v>
      </c>
      <c r="C201" s="4" t="b">
        <f>RAW_DATA!C201&gt;=300000</f>
        <v>1</v>
      </c>
      <c r="D201" s="4" t="b">
        <f>RAW_DATA!F201&gt;=650</f>
        <v>0</v>
      </c>
      <c r="E201" s="4" t="b">
        <f>RAW_DATA!E201&gt;=1</f>
        <v>1</v>
      </c>
      <c r="F201" s="4" t="b">
        <f>RAW_DATA!L201="No"</f>
        <v>0</v>
      </c>
      <c r="G201" s="4" t="b">
        <f t="shared" si="9"/>
        <v>0</v>
      </c>
      <c r="H201" s="4" t="str">
        <f t="shared" si="10"/>
        <v>INELIGIBLE</v>
      </c>
      <c r="I201" s="4" t="str">
        <f t="shared" si="11"/>
        <v>Credit Score, Defaulter History</v>
      </c>
    </row>
    <row r="202" spans="1:9" x14ac:dyDescent="0.25">
      <c r="A202" s="4" t="str">
        <f>RAW_DATA!A202</f>
        <v>APP201</v>
      </c>
      <c r="B202" s="4" t="b">
        <f>AND(RAW_DATA!B202&gt;=21,RAW_DATA!B202&lt;=60)</f>
        <v>1</v>
      </c>
      <c r="C202" s="4" t="b">
        <f>RAW_DATA!C202&gt;=300000</f>
        <v>1</v>
      </c>
      <c r="D202" s="4" t="b">
        <f>RAW_DATA!F202&gt;=650</f>
        <v>0</v>
      </c>
      <c r="E202" s="4" t="b">
        <f>RAW_DATA!E202&gt;=1</f>
        <v>1</v>
      </c>
      <c r="F202" s="4" t="b">
        <f>RAW_DATA!L202="No"</f>
        <v>1</v>
      </c>
      <c r="G202" s="4" t="b">
        <f t="shared" si="9"/>
        <v>0</v>
      </c>
      <c r="H202" s="4" t="str">
        <f t="shared" si="10"/>
        <v>INELIGIBLE</v>
      </c>
      <c r="I202" s="4" t="str">
        <f t="shared" si="11"/>
        <v>Credit Score</v>
      </c>
    </row>
    <row r="203" spans="1:9" x14ac:dyDescent="0.25">
      <c r="A203" s="4" t="str">
        <f>RAW_DATA!A203</f>
        <v>APP202</v>
      </c>
      <c r="B203" s="4" t="b">
        <f>AND(RAW_DATA!B203&gt;=21,RAW_DATA!B203&lt;=60)</f>
        <v>0</v>
      </c>
      <c r="C203" s="4" t="b">
        <f>RAW_DATA!C203&gt;=300000</f>
        <v>1</v>
      </c>
      <c r="D203" s="4" t="b">
        <f>RAW_DATA!F203&gt;=650</f>
        <v>0</v>
      </c>
      <c r="E203" s="4" t="b">
        <f>RAW_DATA!E203&gt;=1</f>
        <v>1</v>
      </c>
      <c r="F203" s="4" t="b">
        <f>RAW_DATA!L203="No"</f>
        <v>1</v>
      </c>
      <c r="G203" s="4" t="b">
        <f t="shared" si="9"/>
        <v>0</v>
      </c>
      <c r="H203" s="4" t="str">
        <f t="shared" si="10"/>
        <v>INELIGIBLE</v>
      </c>
      <c r="I203" s="4" t="str">
        <f t="shared" si="11"/>
        <v>Age, Credit Score</v>
      </c>
    </row>
    <row r="204" spans="1:9" x14ac:dyDescent="0.25">
      <c r="A204" s="4" t="str">
        <f>RAW_DATA!A204</f>
        <v>APP203</v>
      </c>
      <c r="B204" s="4" t="b">
        <f>AND(RAW_DATA!B204&gt;=21,RAW_DATA!B204&lt;=60)</f>
        <v>0</v>
      </c>
      <c r="C204" s="4" t="b">
        <f>RAW_DATA!C204&gt;=300000</f>
        <v>1</v>
      </c>
      <c r="D204" s="4" t="b">
        <f>RAW_DATA!F204&gt;=650</f>
        <v>1</v>
      </c>
      <c r="E204" s="4" t="b">
        <f>RAW_DATA!E204&gt;=1</f>
        <v>1</v>
      </c>
      <c r="F204" s="4" t="b">
        <f>RAW_DATA!L204="No"</f>
        <v>1</v>
      </c>
      <c r="G204" s="4" t="b">
        <f t="shared" si="9"/>
        <v>0</v>
      </c>
      <c r="H204" s="4" t="str">
        <f t="shared" si="10"/>
        <v>INELIGIBLE</v>
      </c>
      <c r="I204" s="4" t="str">
        <f t="shared" si="11"/>
        <v>Age</v>
      </c>
    </row>
    <row r="205" spans="1:9" x14ac:dyDescent="0.25">
      <c r="A205" s="4" t="str">
        <f>RAW_DATA!A205</f>
        <v>APP204</v>
      </c>
      <c r="B205" s="4" t="b">
        <f>AND(RAW_DATA!B205&gt;=21,RAW_DATA!B205&lt;=60)</f>
        <v>1</v>
      </c>
      <c r="C205" s="4" t="b">
        <f>RAW_DATA!C205&gt;=300000</f>
        <v>1</v>
      </c>
      <c r="D205" s="4" t="b">
        <f>RAW_DATA!F205&gt;=650</f>
        <v>0</v>
      </c>
      <c r="E205" s="4" t="b">
        <f>RAW_DATA!E205&gt;=1</f>
        <v>0</v>
      </c>
      <c r="F205" s="4" t="b">
        <f>RAW_DATA!L205="No"</f>
        <v>0</v>
      </c>
      <c r="G205" s="4" t="b">
        <f t="shared" si="9"/>
        <v>0</v>
      </c>
      <c r="H205" s="4" t="str">
        <f t="shared" si="10"/>
        <v>INELIGIBLE</v>
      </c>
      <c r="I205" s="4" t="str">
        <f t="shared" si="11"/>
        <v>Credit Score, Employment, Defaulter History</v>
      </c>
    </row>
    <row r="206" spans="1:9" x14ac:dyDescent="0.25">
      <c r="A206" s="4" t="str">
        <f>RAW_DATA!A206</f>
        <v>APP205</v>
      </c>
      <c r="B206" s="4" t="b">
        <f>AND(RAW_DATA!B206&gt;=21,RAW_DATA!B206&lt;=60)</f>
        <v>1</v>
      </c>
      <c r="C206" s="4" t="b">
        <f>RAW_DATA!C206&gt;=300000</f>
        <v>1</v>
      </c>
      <c r="D206" s="4" t="b">
        <f>RAW_DATA!F206&gt;=650</f>
        <v>0</v>
      </c>
      <c r="E206" s="4" t="b">
        <f>RAW_DATA!E206&gt;=1</f>
        <v>1</v>
      </c>
      <c r="F206" s="4" t="b">
        <f>RAW_DATA!L206="No"</f>
        <v>0</v>
      </c>
      <c r="G206" s="4" t="b">
        <f t="shared" si="9"/>
        <v>0</v>
      </c>
      <c r="H206" s="4" t="str">
        <f t="shared" si="10"/>
        <v>INELIGIBLE</v>
      </c>
      <c r="I206" s="4" t="str">
        <f t="shared" si="11"/>
        <v>Credit Score, Defaulter History</v>
      </c>
    </row>
    <row r="207" spans="1:9" x14ac:dyDescent="0.25">
      <c r="A207" s="4" t="str">
        <f>RAW_DATA!A207</f>
        <v>APP206</v>
      </c>
      <c r="B207" s="4" t="b">
        <f>AND(RAW_DATA!B207&gt;=21,RAW_DATA!B207&lt;=60)</f>
        <v>1</v>
      </c>
      <c r="C207" s="4" t="b">
        <f>RAW_DATA!C207&gt;=300000</f>
        <v>1</v>
      </c>
      <c r="D207" s="4" t="b">
        <f>RAW_DATA!F207&gt;=650</f>
        <v>1</v>
      </c>
      <c r="E207" s="4" t="b">
        <f>RAW_DATA!E207&gt;=1</f>
        <v>1</v>
      </c>
      <c r="F207" s="4" t="b">
        <f>RAW_DATA!L207="No"</f>
        <v>1</v>
      </c>
      <c r="G207" s="4" t="b">
        <f t="shared" si="9"/>
        <v>1</v>
      </c>
      <c r="H207" s="4" t="str">
        <f t="shared" si="10"/>
        <v>ELIGIBLE</v>
      </c>
      <c r="I207" s="4" t="str">
        <f t="shared" si="11"/>
        <v/>
      </c>
    </row>
    <row r="208" spans="1:9" x14ac:dyDescent="0.25">
      <c r="A208" s="4" t="str">
        <f>RAW_DATA!A208</f>
        <v>APP207</v>
      </c>
      <c r="B208" s="4" t="b">
        <f>AND(RAW_DATA!B208&gt;=21,RAW_DATA!B208&lt;=60)</f>
        <v>1</v>
      </c>
      <c r="C208" s="4" t="b">
        <f>RAW_DATA!C208&gt;=300000</f>
        <v>1</v>
      </c>
      <c r="D208" s="4" t="b">
        <f>RAW_DATA!F208&gt;=650</f>
        <v>1</v>
      </c>
      <c r="E208" s="4" t="b">
        <f>RAW_DATA!E208&gt;=1</f>
        <v>1</v>
      </c>
      <c r="F208" s="4" t="b">
        <f>RAW_DATA!L208="No"</f>
        <v>1</v>
      </c>
      <c r="G208" s="4" t="b">
        <f t="shared" si="9"/>
        <v>1</v>
      </c>
      <c r="H208" s="4" t="str">
        <f t="shared" si="10"/>
        <v>ELIGIBLE</v>
      </c>
      <c r="I208" s="4" t="str">
        <f t="shared" si="11"/>
        <v/>
      </c>
    </row>
    <row r="209" spans="1:9" x14ac:dyDescent="0.25">
      <c r="A209" s="4" t="str">
        <f>RAW_DATA!A209</f>
        <v>APP208</v>
      </c>
      <c r="B209" s="4" t="b">
        <f>AND(RAW_DATA!B209&gt;=21,RAW_DATA!B209&lt;=60)</f>
        <v>1</v>
      </c>
      <c r="C209" s="4" t="b">
        <f>RAW_DATA!C209&gt;=300000</f>
        <v>1</v>
      </c>
      <c r="D209" s="4" t="b">
        <f>RAW_DATA!F209&gt;=650</f>
        <v>0</v>
      </c>
      <c r="E209" s="4" t="b">
        <f>RAW_DATA!E209&gt;=1</f>
        <v>1</v>
      </c>
      <c r="F209" s="4" t="b">
        <f>RAW_DATA!L209="No"</f>
        <v>1</v>
      </c>
      <c r="G209" s="4" t="b">
        <f t="shared" si="9"/>
        <v>0</v>
      </c>
      <c r="H209" s="4" t="str">
        <f t="shared" si="10"/>
        <v>INELIGIBLE</v>
      </c>
      <c r="I209" s="4" t="str">
        <f t="shared" si="11"/>
        <v>Credit Score</v>
      </c>
    </row>
    <row r="210" spans="1:9" x14ac:dyDescent="0.25">
      <c r="A210" s="4" t="str">
        <f>RAW_DATA!A210</f>
        <v>APP209</v>
      </c>
      <c r="B210" s="4" t="b">
        <f>AND(RAW_DATA!B210&gt;=21,RAW_DATA!B210&lt;=60)</f>
        <v>0</v>
      </c>
      <c r="C210" s="4" t="b">
        <f>RAW_DATA!C210&gt;=300000</f>
        <v>1</v>
      </c>
      <c r="D210" s="4" t="b">
        <f>RAW_DATA!F210&gt;=650</f>
        <v>0</v>
      </c>
      <c r="E210" s="4" t="b">
        <f>RAW_DATA!E210&gt;=1</f>
        <v>1</v>
      </c>
      <c r="F210" s="4" t="b">
        <f>RAW_DATA!L210="No"</f>
        <v>1</v>
      </c>
      <c r="G210" s="4" t="b">
        <f t="shared" si="9"/>
        <v>0</v>
      </c>
      <c r="H210" s="4" t="str">
        <f t="shared" si="10"/>
        <v>INELIGIBLE</v>
      </c>
      <c r="I210" s="4" t="str">
        <f t="shared" si="11"/>
        <v>Age, Credit Score</v>
      </c>
    </row>
    <row r="211" spans="1:9" x14ac:dyDescent="0.25">
      <c r="A211" s="4" t="str">
        <f>RAW_DATA!A211</f>
        <v>APP210</v>
      </c>
      <c r="B211" s="4" t="b">
        <f>AND(RAW_DATA!B211&gt;=21,RAW_DATA!B211&lt;=60)</f>
        <v>1</v>
      </c>
      <c r="C211" s="4" t="b">
        <f>RAW_DATA!C211&gt;=300000</f>
        <v>1</v>
      </c>
      <c r="D211" s="4" t="b">
        <f>RAW_DATA!F211&gt;=650</f>
        <v>0</v>
      </c>
      <c r="E211" s="4" t="b">
        <f>RAW_DATA!E211&gt;=1</f>
        <v>1</v>
      </c>
      <c r="F211" s="4" t="b">
        <f>RAW_DATA!L211="No"</f>
        <v>1</v>
      </c>
      <c r="G211" s="4" t="b">
        <f t="shared" si="9"/>
        <v>0</v>
      </c>
      <c r="H211" s="4" t="str">
        <f t="shared" si="10"/>
        <v>INELIGIBLE</v>
      </c>
      <c r="I211" s="4" t="str">
        <f t="shared" si="11"/>
        <v>Credit Score</v>
      </c>
    </row>
    <row r="212" spans="1:9" x14ac:dyDescent="0.25">
      <c r="A212" s="4" t="str">
        <f>RAW_DATA!A212</f>
        <v>APP211</v>
      </c>
      <c r="B212" s="4" t="b">
        <f>AND(RAW_DATA!B212&gt;=21,RAW_DATA!B212&lt;=60)</f>
        <v>1</v>
      </c>
      <c r="C212" s="4" t="b">
        <f>RAW_DATA!C212&gt;=300000</f>
        <v>1</v>
      </c>
      <c r="D212" s="4" t="b">
        <f>RAW_DATA!F212&gt;=650</f>
        <v>0</v>
      </c>
      <c r="E212" s="4" t="b">
        <f>RAW_DATA!E212&gt;=1</f>
        <v>1</v>
      </c>
      <c r="F212" s="4" t="b">
        <f>RAW_DATA!L212="No"</f>
        <v>1</v>
      </c>
      <c r="G212" s="4" t="b">
        <f t="shared" si="9"/>
        <v>0</v>
      </c>
      <c r="H212" s="4" t="str">
        <f t="shared" si="10"/>
        <v>INELIGIBLE</v>
      </c>
      <c r="I212" s="4" t="str">
        <f t="shared" si="11"/>
        <v>Credit Score</v>
      </c>
    </row>
    <row r="213" spans="1:9" x14ac:dyDescent="0.25">
      <c r="A213" s="4" t="str">
        <f>RAW_DATA!A213</f>
        <v>APP212</v>
      </c>
      <c r="B213" s="4" t="b">
        <f>AND(RAW_DATA!B213&gt;=21,RAW_DATA!B213&lt;=60)</f>
        <v>1</v>
      </c>
      <c r="C213" s="4" t="b">
        <f>RAW_DATA!C213&gt;=300000</f>
        <v>1</v>
      </c>
      <c r="D213" s="4" t="b">
        <f>RAW_DATA!F213&gt;=650</f>
        <v>0</v>
      </c>
      <c r="E213" s="4" t="b">
        <f>RAW_DATA!E213&gt;=1</f>
        <v>1</v>
      </c>
      <c r="F213" s="4" t="b">
        <f>RAW_DATA!L213="No"</f>
        <v>1</v>
      </c>
      <c r="G213" s="4" t="b">
        <f t="shared" si="9"/>
        <v>0</v>
      </c>
      <c r="H213" s="4" t="str">
        <f t="shared" si="10"/>
        <v>INELIGIBLE</v>
      </c>
      <c r="I213" s="4" t="str">
        <f t="shared" si="11"/>
        <v>Credit Score</v>
      </c>
    </row>
    <row r="214" spans="1:9" x14ac:dyDescent="0.25">
      <c r="A214" s="4" t="str">
        <f>RAW_DATA!A214</f>
        <v>APP213</v>
      </c>
      <c r="B214" s="4" t="b">
        <f>AND(RAW_DATA!B214&gt;=21,RAW_DATA!B214&lt;=60)</f>
        <v>1</v>
      </c>
      <c r="C214" s="4" t="b">
        <f>RAW_DATA!C214&gt;=300000</f>
        <v>1</v>
      </c>
      <c r="D214" s="4" t="b">
        <f>RAW_DATA!F214&gt;=650</f>
        <v>0</v>
      </c>
      <c r="E214" s="4" t="b">
        <f>RAW_DATA!E214&gt;=1</f>
        <v>1</v>
      </c>
      <c r="F214" s="4" t="b">
        <f>RAW_DATA!L214="No"</f>
        <v>1</v>
      </c>
      <c r="G214" s="4" t="b">
        <f t="shared" si="9"/>
        <v>0</v>
      </c>
      <c r="H214" s="4" t="str">
        <f t="shared" si="10"/>
        <v>INELIGIBLE</v>
      </c>
      <c r="I214" s="4" t="str">
        <f t="shared" si="11"/>
        <v>Credit Score</v>
      </c>
    </row>
    <row r="215" spans="1:9" x14ac:dyDescent="0.25">
      <c r="A215" s="4" t="str">
        <f>RAW_DATA!A215</f>
        <v>APP214</v>
      </c>
      <c r="B215" s="4" t="b">
        <f>AND(RAW_DATA!B215&gt;=21,RAW_DATA!B215&lt;=60)</f>
        <v>1</v>
      </c>
      <c r="C215" s="4" t="b">
        <f>RAW_DATA!C215&gt;=300000</f>
        <v>1</v>
      </c>
      <c r="D215" s="4" t="b">
        <f>RAW_DATA!F215&gt;=650</f>
        <v>1</v>
      </c>
      <c r="E215" s="4" t="b">
        <f>RAW_DATA!E215&gt;=1</f>
        <v>1</v>
      </c>
      <c r="F215" s="4" t="b">
        <f>RAW_DATA!L215="No"</f>
        <v>1</v>
      </c>
      <c r="G215" s="4" t="b">
        <f t="shared" si="9"/>
        <v>1</v>
      </c>
      <c r="H215" s="4" t="str">
        <f t="shared" si="10"/>
        <v>ELIGIBLE</v>
      </c>
      <c r="I215" s="4" t="str">
        <f t="shared" si="11"/>
        <v/>
      </c>
    </row>
    <row r="216" spans="1:9" x14ac:dyDescent="0.25">
      <c r="A216" s="4" t="str">
        <f>RAW_DATA!A216</f>
        <v>APP215</v>
      </c>
      <c r="B216" s="4" t="b">
        <f>AND(RAW_DATA!B216&gt;=21,RAW_DATA!B216&lt;=60)</f>
        <v>1</v>
      </c>
      <c r="C216" s="4" t="b">
        <f>RAW_DATA!C216&gt;=300000</f>
        <v>1</v>
      </c>
      <c r="D216" s="4" t="b">
        <f>RAW_DATA!F216&gt;=650</f>
        <v>0</v>
      </c>
      <c r="E216" s="4" t="b">
        <f>RAW_DATA!E216&gt;=1</f>
        <v>1</v>
      </c>
      <c r="F216" s="4" t="b">
        <f>RAW_DATA!L216="No"</f>
        <v>1</v>
      </c>
      <c r="G216" s="4" t="b">
        <f t="shared" si="9"/>
        <v>0</v>
      </c>
      <c r="H216" s="4" t="str">
        <f t="shared" si="10"/>
        <v>INELIGIBLE</v>
      </c>
      <c r="I216" s="4" t="str">
        <f t="shared" si="11"/>
        <v>Credit Score</v>
      </c>
    </row>
    <row r="217" spans="1:9" x14ac:dyDescent="0.25">
      <c r="A217" s="4" t="str">
        <f>RAW_DATA!A217</f>
        <v>APP216</v>
      </c>
      <c r="B217" s="4" t="b">
        <f>AND(RAW_DATA!B217&gt;=21,RAW_DATA!B217&lt;=60)</f>
        <v>0</v>
      </c>
      <c r="C217" s="4" t="b">
        <f>RAW_DATA!C217&gt;=300000</f>
        <v>1</v>
      </c>
      <c r="D217" s="4" t="b">
        <f>RAW_DATA!F217&gt;=650</f>
        <v>1</v>
      </c>
      <c r="E217" s="4" t="b">
        <f>RAW_DATA!E217&gt;=1</f>
        <v>1</v>
      </c>
      <c r="F217" s="4" t="b">
        <f>RAW_DATA!L217="No"</f>
        <v>0</v>
      </c>
      <c r="G217" s="4" t="b">
        <f t="shared" si="9"/>
        <v>0</v>
      </c>
      <c r="H217" s="4" t="str">
        <f t="shared" si="10"/>
        <v>INELIGIBLE</v>
      </c>
      <c r="I217" s="4" t="str">
        <f t="shared" si="11"/>
        <v>Age, Defaulter History</v>
      </c>
    </row>
    <row r="218" spans="1:9" x14ac:dyDescent="0.25">
      <c r="A218" s="4" t="str">
        <f>RAW_DATA!A218</f>
        <v>APP217</v>
      </c>
      <c r="B218" s="4" t="b">
        <f>AND(RAW_DATA!B218&gt;=21,RAW_DATA!B218&lt;=60)</f>
        <v>1</v>
      </c>
      <c r="C218" s="4" t="b">
        <f>RAW_DATA!C218&gt;=300000</f>
        <v>1</v>
      </c>
      <c r="D218" s="4" t="b">
        <f>RAW_DATA!F218&gt;=650</f>
        <v>0</v>
      </c>
      <c r="E218" s="4" t="b">
        <f>RAW_DATA!E218&gt;=1</f>
        <v>1</v>
      </c>
      <c r="F218" s="4" t="b">
        <f>RAW_DATA!L218="No"</f>
        <v>0</v>
      </c>
      <c r="G218" s="4" t="b">
        <f t="shared" si="9"/>
        <v>0</v>
      </c>
      <c r="H218" s="4" t="str">
        <f t="shared" si="10"/>
        <v>INELIGIBLE</v>
      </c>
      <c r="I218" s="4" t="str">
        <f t="shared" si="11"/>
        <v>Credit Score, Defaulter History</v>
      </c>
    </row>
    <row r="219" spans="1:9" x14ac:dyDescent="0.25">
      <c r="A219" s="4" t="str">
        <f>RAW_DATA!A219</f>
        <v>APP218</v>
      </c>
      <c r="B219" s="4" t="b">
        <f>AND(RAW_DATA!B219&gt;=21,RAW_DATA!B219&lt;=60)</f>
        <v>1</v>
      </c>
      <c r="C219" s="4" t="b">
        <f>RAW_DATA!C219&gt;=300000</f>
        <v>1</v>
      </c>
      <c r="D219" s="4" t="b">
        <f>RAW_DATA!F219&gt;=650</f>
        <v>0</v>
      </c>
      <c r="E219" s="4" t="b">
        <f>RAW_DATA!E219&gt;=1</f>
        <v>1</v>
      </c>
      <c r="F219" s="4" t="b">
        <f>RAW_DATA!L219="No"</f>
        <v>0</v>
      </c>
      <c r="G219" s="4" t="b">
        <f t="shared" si="9"/>
        <v>0</v>
      </c>
      <c r="H219" s="4" t="str">
        <f t="shared" si="10"/>
        <v>INELIGIBLE</v>
      </c>
      <c r="I219" s="4" t="str">
        <f t="shared" si="11"/>
        <v>Credit Score, Defaulter History</v>
      </c>
    </row>
    <row r="220" spans="1:9" x14ac:dyDescent="0.25">
      <c r="A220" s="4" t="str">
        <f>RAW_DATA!A220</f>
        <v>APP219</v>
      </c>
      <c r="B220" s="4" t="b">
        <f>AND(RAW_DATA!B220&gt;=21,RAW_DATA!B220&lt;=60)</f>
        <v>1</v>
      </c>
      <c r="C220" s="4" t="b">
        <f>RAW_DATA!C220&gt;=300000</f>
        <v>1</v>
      </c>
      <c r="D220" s="4" t="b">
        <f>RAW_DATA!F220&gt;=650</f>
        <v>0</v>
      </c>
      <c r="E220" s="4" t="b">
        <f>RAW_DATA!E220&gt;=1</f>
        <v>1</v>
      </c>
      <c r="F220" s="4" t="b">
        <f>RAW_DATA!L220="No"</f>
        <v>1</v>
      </c>
      <c r="G220" s="4" t="b">
        <f t="shared" si="9"/>
        <v>0</v>
      </c>
      <c r="H220" s="4" t="str">
        <f t="shared" si="10"/>
        <v>INELIGIBLE</v>
      </c>
      <c r="I220" s="4" t="str">
        <f t="shared" si="11"/>
        <v>Credit Score</v>
      </c>
    </row>
    <row r="221" spans="1:9" x14ac:dyDescent="0.25">
      <c r="A221" s="4" t="str">
        <f>RAW_DATA!A221</f>
        <v>APP220</v>
      </c>
      <c r="B221" s="4" t="b">
        <f>AND(RAW_DATA!B221&gt;=21,RAW_DATA!B221&lt;=60)</f>
        <v>1</v>
      </c>
      <c r="C221" s="4" t="b">
        <f>RAW_DATA!C221&gt;=300000</f>
        <v>1</v>
      </c>
      <c r="D221" s="4" t="b">
        <f>RAW_DATA!F221&gt;=650</f>
        <v>0</v>
      </c>
      <c r="E221" s="4" t="b">
        <f>RAW_DATA!E221&gt;=1</f>
        <v>1</v>
      </c>
      <c r="F221" s="4" t="b">
        <f>RAW_DATA!L221="No"</f>
        <v>0</v>
      </c>
      <c r="G221" s="4" t="b">
        <f t="shared" si="9"/>
        <v>0</v>
      </c>
      <c r="H221" s="4" t="str">
        <f t="shared" si="10"/>
        <v>INELIGIBLE</v>
      </c>
      <c r="I221" s="4" t="str">
        <f t="shared" si="11"/>
        <v>Credit Score, Defaulter History</v>
      </c>
    </row>
    <row r="222" spans="1:9" x14ac:dyDescent="0.25">
      <c r="A222" s="4" t="str">
        <f>RAW_DATA!A222</f>
        <v>APP221</v>
      </c>
      <c r="B222" s="4" t="b">
        <f>AND(RAW_DATA!B222&gt;=21,RAW_DATA!B222&lt;=60)</f>
        <v>1</v>
      </c>
      <c r="C222" s="4" t="b">
        <f>RAW_DATA!C222&gt;=300000</f>
        <v>1</v>
      </c>
      <c r="D222" s="4" t="b">
        <f>RAW_DATA!F222&gt;=650</f>
        <v>1</v>
      </c>
      <c r="E222" s="4" t="b">
        <f>RAW_DATA!E222&gt;=1</f>
        <v>1</v>
      </c>
      <c r="F222" s="4" t="b">
        <f>RAW_DATA!L222="No"</f>
        <v>1</v>
      </c>
      <c r="G222" s="4" t="b">
        <f t="shared" si="9"/>
        <v>1</v>
      </c>
      <c r="H222" s="4" t="str">
        <f t="shared" si="10"/>
        <v>ELIGIBLE</v>
      </c>
      <c r="I222" s="4" t="str">
        <f t="shared" si="11"/>
        <v/>
      </c>
    </row>
    <row r="223" spans="1:9" x14ac:dyDescent="0.25">
      <c r="A223" s="4" t="str">
        <f>RAW_DATA!A223</f>
        <v>APP222</v>
      </c>
      <c r="B223" s="4" t="b">
        <f>AND(RAW_DATA!B223&gt;=21,RAW_DATA!B223&lt;=60)</f>
        <v>1</v>
      </c>
      <c r="C223" s="4" t="b">
        <f>RAW_DATA!C223&gt;=300000</f>
        <v>0</v>
      </c>
      <c r="D223" s="4" t="b">
        <f>RAW_DATA!F223&gt;=650</f>
        <v>1</v>
      </c>
      <c r="E223" s="4" t="b">
        <f>RAW_DATA!E223&gt;=1</f>
        <v>1</v>
      </c>
      <c r="F223" s="4" t="b">
        <f>RAW_DATA!L223="No"</f>
        <v>0</v>
      </c>
      <c r="G223" s="4" t="b">
        <f t="shared" si="9"/>
        <v>0</v>
      </c>
      <c r="H223" s="4" t="str">
        <f t="shared" si="10"/>
        <v>INELIGIBLE</v>
      </c>
      <c r="I223" s="4" t="str">
        <f t="shared" si="11"/>
        <v>Income, Defaulter History</v>
      </c>
    </row>
    <row r="224" spans="1:9" x14ac:dyDescent="0.25">
      <c r="A224" s="4" t="str">
        <f>RAW_DATA!A224</f>
        <v>APP223</v>
      </c>
      <c r="B224" s="4" t="b">
        <f>AND(RAW_DATA!B224&gt;=21,RAW_DATA!B224&lt;=60)</f>
        <v>1</v>
      </c>
      <c r="C224" s="4" t="b">
        <f>RAW_DATA!C224&gt;=300000</f>
        <v>1</v>
      </c>
      <c r="D224" s="4" t="b">
        <f>RAW_DATA!F224&gt;=650</f>
        <v>0</v>
      </c>
      <c r="E224" s="4" t="b">
        <f>RAW_DATA!E224&gt;=1</f>
        <v>1</v>
      </c>
      <c r="F224" s="4" t="b">
        <f>RAW_DATA!L224="No"</f>
        <v>1</v>
      </c>
      <c r="G224" s="4" t="b">
        <f t="shared" si="9"/>
        <v>0</v>
      </c>
      <c r="H224" s="4" t="str">
        <f t="shared" si="10"/>
        <v>INELIGIBLE</v>
      </c>
      <c r="I224" s="4" t="str">
        <f t="shared" si="11"/>
        <v>Credit Score</v>
      </c>
    </row>
    <row r="225" spans="1:9" x14ac:dyDescent="0.25">
      <c r="A225" s="4" t="str">
        <f>RAW_DATA!A225</f>
        <v>APP224</v>
      </c>
      <c r="B225" s="4" t="b">
        <f>AND(RAW_DATA!B225&gt;=21,RAW_DATA!B225&lt;=60)</f>
        <v>1</v>
      </c>
      <c r="C225" s="4" t="b">
        <f>RAW_DATA!C225&gt;=300000</f>
        <v>1</v>
      </c>
      <c r="D225" s="4" t="b">
        <f>RAW_DATA!F225&gt;=650</f>
        <v>0</v>
      </c>
      <c r="E225" s="4" t="b">
        <f>RAW_DATA!E225&gt;=1</f>
        <v>1</v>
      </c>
      <c r="F225" s="4" t="b">
        <f>RAW_DATA!L225="No"</f>
        <v>0</v>
      </c>
      <c r="G225" s="4" t="b">
        <f t="shared" si="9"/>
        <v>0</v>
      </c>
      <c r="H225" s="4" t="str">
        <f t="shared" si="10"/>
        <v>INELIGIBLE</v>
      </c>
      <c r="I225" s="4" t="str">
        <f t="shared" si="11"/>
        <v>Credit Score, Defaulter History</v>
      </c>
    </row>
    <row r="226" spans="1:9" x14ac:dyDescent="0.25">
      <c r="A226" s="4" t="str">
        <f>RAW_DATA!A226</f>
        <v>APP225</v>
      </c>
      <c r="B226" s="4" t="b">
        <f>AND(RAW_DATA!B226&gt;=21,RAW_DATA!B226&lt;=60)</f>
        <v>0</v>
      </c>
      <c r="C226" s="4" t="b">
        <f>RAW_DATA!C226&gt;=300000</f>
        <v>1</v>
      </c>
      <c r="D226" s="4" t="b">
        <f>RAW_DATA!F226&gt;=650</f>
        <v>0</v>
      </c>
      <c r="E226" s="4" t="b">
        <f>RAW_DATA!E226&gt;=1</f>
        <v>1</v>
      </c>
      <c r="F226" s="4" t="b">
        <f>RAW_DATA!L226="No"</f>
        <v>1</v>
      </c>
      <c r="G226" s="4" t="b">
        <f t="shared" si="9"/>
        <v>0</v>
      </c>
      <c r="H226" s="4" t="str">
        <f t="shared" si="10"/>
        <v>INELIGIBLE</v>
      </c>
      <c r="I226" s="4" t="str">
        <f t="shared" si="11"/>
        <v>Age, Credit Score</v>
      </c>
    </row>
    <row r="227" spans="1:9" x14ac:dyDescent="0.25">
      <c r="A227" s="4" t="str">
        <f>RAW_DATA!A227</f>
        <v>APP226</v>
      </c>
      <c r="B227" s="4" t="b">
        <f>AND(RAW_DATA!B227&gt;=21,RAW_DATA!B227&lt;=60)</f>
        <v>1</v>
      </c>
      <c r="C227" s="4" t="b">
        <f>RAW_DATA!C227&gt;=300000</f>
        <v>1</v>
      </c>
      <c r="D227" s="4" t="b">
        <f>RAW_DATA!F227&gt;=650</f>
        <v>1</v>
      </c>
      <c r="E227" s="4" t="b">
        <f>RAW_DATA!E227&gt;=1</f>
        <v>1</v>
      </c>
      <c r="F227" s="4" t="b">
        <f>RAW_DATA!L227="No"</f>
        <v>0</v>
      </c>
      <c r="G227" s="4" t="b">
        <f t="shared" si="9"/>
        <v>0</v>
      </c>
      <c r="H227" s="4" t="str">
        <f t="shared" si="10"/>
        <v>INELIGIBLE</v>
      </c>
      <c r="I227" s="4" t="str">
        <f t="shared" si="11"/>
        <v>Defaulter History</v>
      </c>
    </row>
    <row r="228" spans="1:9" x14ac:dyDescent="0.25">
      <c r="A228" s="4" t="str">
        <f>RAW_DATA!A228</f>
        <v>APP227</v>
      </c>
      <c r="B228" s="4" t="b">
        <f>AND(RAW_DATA!B228&gt;=21,RAW_DATA!B228&lt;=60)</f>
        <v>0</v>
      </c>
      <c r="C228" s="4" t="b">
        <f>RAW_DATA!C228&gt;=300000</f>
        <v>1</v>
      </c>
      <c r="D228" s="4" t="b">
        <f>RAW_DATA!F228&gt;=650</f>
        <v>0</v>
      </c>
      <c r="E228" s="4" t="b">
        <f>RAW_DATA!E228&gt;=1</f>
        <v>1</v>
      </c>
      <c r="F228" s="4" t="b">
        <f>RAW_DATA!L228="No"</f>
        <v>0</v>
      </c>
      <c r="G228" s="4" t="b">
        <f t="shared" si="9"/>
        <v>0</v>
      </c>
      <c r="H228" s="4" t="str">
        <f t="shared" si="10"/>
        <v>INELIGIBLE</v>
      </c>
      <c r="I228" s="4" t="str">
        <f t="shared" si="11"/>
        <v>Age, Credit Score, Defaulter History</v>
      </c>
    </row>
    <row r="229" spans="1:9" x14ac:dyDescent="0.25">
      <c r="A229" s="4" t="str">
        <f>RAW_DATA!A229</f>
        <v>APP228</v>
      </c>
      <c r="B229" s="4" t="b">
        <f>AND(RAW_DATA!B229&gt;=21,RAW_DATA!B229&lt;=60)</f>
        <v>1</v>
      </c>
      <c r="C229" s="4" t="b">
        <f>RAW_DATA!C229&gt;=300000</f>
        <v>1</v>
      </c>
      <c r="D229" s="4" t="b">
        <f>RAW_DATA!F229&gt;=650</f>
        <v>0</v>
      </c>
      <c r="E229" s="4" t="b">
        <f>RAW_DATA!E229&gt;=1</f>
        <v>1</v>
      </c>
      <c r="F229" s="4" t="b">
        <f>RAW_DATA!L229="No"</f>
        <v>1</v>
      </c>
      <c r="G229" s="4" t="b">
        <f t="shared" si="9"/>
        <v>0</v>
      </c>
      <c r="H229" s="4" t="str">
        <f t="shared" si="10"/>
        <v>INELIGIBLE</v>
      </c>
      <c r="I229" s="4" t="str">
        <f t="shared" si="11"/>
        <v>Credit Score</v>
      </c>
    </row>
    <row r="230" spans="1:9" x14ac:dyDescent="0.25">
      <c r="A230" s="4" t="str">
        <f>RAW_DATA!A230</f>
        <v>APP229</v>
      </c>
      <c r="B230" s="4" t="b">
        <f>AND(RAW_DATA!B230&gt;=21,RAW_DATA!B230&lt;=60)</f>
        <v>1</v>
      </c>
      <c r="C230" s="4" t="b">
        <f>RAW_DATA!C230&gt;=300000</f>
        <v>1</v>
      </c>
      <c r="D230" s="4" t="b">
        <f>RAW_DATA!F230&gt;=650</f>
        <v>1</v>
      </c>
      <c r="E230" s="4" t="b">
        <f>RAW_DATA!E230&gt;=1</f>
        <v>1</v>
      </c>
      <c r="F230" s="4" t="b">
        <f>RAW_DATA!L230="No"</f>
        <v>0</v>
      </c>
      <c r="G230" s="4" t="b">
        <f t="shared" si="9"/>
        <v>0</v>
      </c>
      <c r="H230" s="4" t="str">
        <f t="shared" si="10"/>
        <v>INELIGIBLE</v>
      </c>
      <c r="I230" s="4" t="str">
        <f t="shared" si="11"/>
        <v>Defaulter History</v>
      </c>
    </row>
    <row r="231" spans="1:9" x14ac:dyDescent="0.25">
      <c r="A231" s="4" t="str">
        <f>RAW_DATA!A231</f>
        <v>APP230</v>
      </c>
      <c r="B231" s="4" t="b">
        <f>AND(RAW_DATA!B231&gt;=21,RAW_DATA!B231&lt;=60)</f>
        <v>1</v>
      </c>
      <c r="C231" s="4" t="b">
        <f>RAW_DATA!C231&gt;=300000</f>
        <v>1</v>
      </c>
      <c r="D231" s="4" t="b">
        <f>RAW_DATA!F231&gt;=650</f>
        <v>1</v>
      </c>
      <c r="E231" s="4" t="b">
        <f>RAW_DATA!E231&gt;=1</f>
        <v>1</v>
      </c>
      <c r="F231" s="4" t="b">
        <f>RAW_DATA!L231="No"</f>
        <v>1</v>
      </c>
      <c r="G231" s="4" t="b">
        <f t="shared" si="9"/>
        <v>1</v>
      </c>
      <c r="H231" s="4" t="str">
        <f t="shared" si="10"/>
        <v>ELIGIBLE</v>
      </c>
      <c r="I231" s="4" t="str">
        <f t="shared" si="11"/>
        <v/>
      </c>
    </row>
    <row r="232" spans="1:9" x14ac:dyDescent="0.25">
      <c r="A232" s="4" t="str">
        <f>RAW_DATA!A232</f>
        <v>APP231</v>
      </c>
      <c r="B232" s="4" t="b">
        <f>AND(RAW_DATA!B232&gt;=21,RAW_DATA!B232&lt;=60)</f>
        <v>1</v>
      </c>
      <c r="C232" s="4" t="b">
        <f>RAW_DATA!C232&gt;=300000</f>
        <v>1</v>
      </c>
      <c r="D232" s="4" t="b">
        <f>RAW_DATA!F232&gt;=650</f>
        <v>1</v>
      </c>
      <c r="E232" s="4" t="b">
        <f>RAW_DATA!E232&gt;=1</f>
        <v>1</v>
      </c>
      <c r="F232" s="4" t="b">
        <f>RAW_DATA!L232="No"</f>
        <v>0</v>
      </c>
      <c r="G232" s="4" t="b">
        <f t="shared" si="9"/>
        <v>0</v>
      </c>
      <c r="H232" s="4" t="str">
        <f t="shared" si="10"/>
        <v>INELIGIBLE</v>
      </c>
      <c r="I232" s="4" t="str">
        <f t="shared" si="11"/>
        <v>Defaulter History</v>
      </c>
    </row>
    <row r="233" spans="1:9" x14ac:dyDescent="0.25">
      <c r="A233" s="4" t="str">
        <f>RAW_DATA!A233</f>
        <v>APP232</v>
      </c>
      <c r="B233" s="4" t="b">
        <f>AND(RAW_DATA!B233&gt;=21,RAW_DATA!B233&lt;=60)</f>
        <v>1</v>
      </c>
      <c r="C233" s="4" t="b">
        <f>RAW_DATA!C233&gt;=300000</f>
        <v>1</v>
      </c>
      <c r="D233" s="4" t="b">
        <f>RAW_DATA!F233&gt;=650</f>
        <v>1</v>
      </c>
      <c r="E233" s="4" t="b">
        <f>RAW_DATA!E233&gt;=1</f>
        <v>1</v>
      </c>
      <c r="F233" s="4" t="b">
        <f>RAW_DATA!L233="No"</f>
        <v>1</v>
      </c>
      <c r="G233" s="4" t="b">
        <f t="shared" si="9"/>
        <v>1</v>
      </c>
      <c r="H233" s="4" t="str">
        <f t="shared" si="10"/>
        <v>ELIGIBLE</v>
      </c>
      <c r="I233" s="4" t="str">
        <f t="shared" si="11"/>
        <v/>
      </c>
    </row>
    <row r="234" spans="1:9" x14ac:dyDescent="0.25">
      <c r="A234" s="4" t="str">
        <f>RAW_DATA!A234</f>
        <v>APP233</v>
      </c>
      <c r="B234" s="4" t="b">
        <f>AND(RAW_DATA!B234&gt;=21,RAW_DATA!B234&lt;=60)</f>
        <v>1</v>
      </c>
      <c r="C234" s="4" t="b">
        <f>RAW_DATA!C234&gt;=300000</f>
        <v>1</v>
      </c>
      <c r="D234" s="4" t="b">
        <f>RAW_DATA!F234&gt;=650</f>
        <v>0</v>
      </c>
      <c r="E234" s="4" t="b">
        <f>RAW_DATA!E234&gt;=1</f>
        <v>1</v>
      </c>
      <c r="F234" s="4" t="b">
        <f>RAW_DATA!L234="No"</f>
        <v>0</v>
      </c>
      <c r="G234" s="4" t="b">
        <f t="shared" si="9"/>
        <v>0</v>
      </c>
      <c r="H234" s="4" t="str">
        <f t="shared" si="10"/>
        <v>INELIGIBLE</v>
      </c>
      <c r="I234" s="4" t="str">
        <f t="shared" si="11"/>
        <v>Credit Score, Defaulter History</v>
      </c>
    </row>
    <row r="235" spans="1:9" x14ac:dyDescent="0.25">
      <c r="A235" s="4" t="str">
        <f>RAW_DATA!A235</f>
        <v>APP234</v>
      </c>
      <c r="B235" s="4" t="b">
        <f>AND(RAW_DATA!B235&gt;=21,RAW_DATA!B235&lt;=60)</f>
        <v>1</v>
      </c>
      <c r="C235" s="4" t="b">
        <f>RAW_DATA!C235&gt;=300000</f>
        <v>1</v>
      </c>
      <c r="D235" s="4" t="b">
        <f>RAW_DATA!F235&gt;=650</f>
        <v>1</v>
      </c>
      <c r="E235" s="4" t="b">
        <f>RAW_DATA!E235&gt;=1</f>
        <v>1</v>
      </c>
      <c r="F235" s="4" t="b">
        <f>RAW_DATA!L235="No"</f>
        <v>1</v>
      </c>
      <c r="G235" s="4" t="b">
        <f t="shared" si="9"/>
        <v>1</v>
      </c>
      <c r="H235" s="4" t="str">
        <f t="shared" si="10"/>
        <v>ELIGIBLE</v>
      </c>
      <c r="I235" s="4" t="str">
        <f t="shared" si="11"/>
        <v/>
      </c>
    </row>
    <row r="236" spans="1:9" x14ac:dyDescent="0.25">
      <c r="A236" s="4" t="str">
        <f>RAW_DATA!A236</f>
        <v>APP235</v>
      </c>
      <c r="B236" s="4" t="b">
        <f>AND(RAW_DATA!B236&gt;=21,RAW_DATA!B236&lt;=60)</f>
        <v>0</v>
      </c>
      <c r="C236" s="4" t="b">
        <f>RAW_DATA!C236&gt;=300000</f>
        <v>1</v>
      </c>
      <c r="D236" s="4" t="b">
        <f>RAW_DATA!F236&gt;=650</f>
        <v>0</v>
      </c>
      <c r="E236" s="4" t="b">
        <f>RAW_DATA!E236&gt;=1</f>
        <v>1</v>
      </c>
      <c r="F236" s="4" t="b">
        <f>RAW_DATA!L236="No"</f>
        <v>1</v>
      </c>
      <c r="G236" s="4" t="b">
        <f t="shared" si="9"/>
        <v>0</v>
      </c>
      <c r="H236" s="4" t="str">
        <f t="shared" si="10"/>
        <v>INELIGIBLE</v>
      </c>
      <c r="I236" s="4" t="str">
        <f t="shared" si="11"/>
        <v>Age, Credit Score</v>
      </c>
    </row>
    <row r="237" spans="1:9" x14ac:dyDescent="0.25">
      <c r="A237" s="4" t="str">
        <f>RAW_DATA!A237</f>
        <v>APP236</v>
      </c>
      <c r="B237" s="4" t="b">
        <f>AND(RAW_DATA!B237&gt;=21,RAW_DATA!B237&lt;=60)</f>
        <v>1</v>
      </c>
      <c r="C237" s="4" t="b">
        <f>RAW_DATA!C237&gt;=300000</f>
        <v>1</v>
      </c>
      <c r="D237" s="4" t="b">
        <f>RAW_DATA!F237&gt;=650</f>
        <v>0</v>
      </c>
      <c r="E237" s="4" t="b">
        <f>RAW_DATA!E237&gt;=1</f>
        <v>1</v>
      </c>
      <c r="F237" s="4" t="b">
        <f>RAW_DATA!L237="No"</f>
        <v>0</v>
      </c>
      <c r="G237" s="4" t="b">
        <f t="shared" si="9"/>
        <v>0</v>
      </c>
      <c r="H237" s="4" t="str">
        <f t="shared" si="10"/>
        <v>INELIGIBLE</v>
      </c>
      <c r="I237" s="4" t="str">
        <f t="shared" si="11"/>
        <v>Credit Score, Defaulter History</v>
      </c>
    </row>
    <row r="238" spans="1:9" x14ac:dyDescent="0.25">
      <c r="A238" s="4" t="str">
        <f>RAW_DATA!A238</f>
        <v>APP237</v>
      </c>
      <c r="B238" s="4" t="b">
        <f>AND(RAW_DATA!B238&gt;=21,RAW_DATA!B238&lt;=60)</f>
        <v>1</v>
      </c>
      <c r="C238" s="4" t="b">
        <f>RAW_DATA!C238&gt;=300000</f>
        <v>1</v>
      </c>
      <c r="D238" s="4" t="b">
        <f>RAW_DATA!F238&gt;=650</f>
        <v>0</v>
      </c>
      <c r="E238" s="4" t="b">
        <f>RAW_DATA!E238&gt;=1</f>
        <v>1</v>
      </c>
      <c r="F238" s="4" t="b">
        <f>RAW_DATA!L238="No"</f>
        <v>1</v>
      </c>
      <c r="G238" s="4" t="b">
        <f t="shared" si="9"/>
        <v>0</v>
      </c>
      <c r="H238" s="4" t="str">
        <f t="shared" si="10"/>
        <v>INELIGIBLE</v>
      </c>
      <c r="I238" s="4" t="str">
        <f t="shared" si="11"/>
        <v>Credit Score</v>
      </c>
    </row>
    <row r="239" spans="1:9" x14ac:dyDescent="0.25">
      <c r="A239" s="4" t="str">
        <f>RAW_DATA!A239</f>
        <v>APP238</v>
      </c>
      <c r="B239" s="4" t="b">
        <f>AND(RAW_DATA!B239&gt;=21,RAW_DATA!B239&lt;=60)</f>
        <v>1</v>
      </c>
      <c r="C239" s="4" t="b">
        <f>RAW_DATA!C239&gt;=300000</f>
        <v>1</v>
      </c>
      <c r="D239" s="4" t="b">
        <f>RAW_DATA!F239&gt;=650</f>
        <v>0</v>
      </c>
      <c r="E239" s="4" t="b">
        <f>RAW_DATA!E239&gt;=1</f>
        <v>1</v>
      </c>
      <c r="F239" s="4" t="b">
        <f>RAW_DATA!L239="No"</f>
        <v>0</v>
      </c>
      <c r="G239" s="4" t="b">
        <f t="shared" si="9"/>
        <v>0</v>
      </c>
      <c r="H239" s="4" t="str">
        <f t="shared" si="10"/>
        <v>INELIGIBLE</v>
      </c>
      <c r="I239" s="4" t="str">
        <f t="shared" si="11"/>
        <v>Credit Score, Defaulter History</v>
      </c>
    </row>
    <row r="240" spans="1:9" x14ac:dyDescent="0.25">
      <c r="A240" s="4" t="str">
        <f>RAW_DATA!A240</f>
        <v>APP239</v>
      </c>
      <c r="B240" s="4" t="b">
        <f>AND(RAW_DATA!B240&gt;=21,RAW_DATA!B240&lt;=60)</f>
        <v>1</v>
      </c>
      <c r="C240" s="4" t="b">
        <f>RAW_DATA!C240&gt;=300000</f>
        <v>1</v>
      </c>
      <c r="D240" s="4" t="b">
        <f>RAW_DATA!F240&gt;=650</f>
        <v>0</v>
      </c>
      <c r="E240" s="4" t="b">
        <f>RAW_DATA!E240&gt;=1</f>
        <v>1</v>
      </c>
      <c r="F240" s="4" t="b">
        <f>RAW_DATA!L240="No"</f>
        <v>1</v>
      </c>
      <c r="G240" s="4" t="b">
        <f t="shared" si="9"/>
        <v>0</v>
      </c>
      <c r="H240" s="4" t="str">
        <f t="shared" si="10"/>
        <v>INELIGIBLE</v>
      </c>
      <c r="I240" s="4" t="str">
        <f t="shared" si="11"/>
        <v>Credit Score</v>
      </c>
    </row>
    <row r="241" spans="1:9" x14ac:dyDescent="0.25">
      <c r="A241" s="4" t="str">
        <f>RAW_DATA!A241</f>
        <v>APP240</v>
      </c>
      <c r="B241" s="4" t="b">
        <f>AND(RAW_DATA!B241&gt;=21,RAW_DATA!B241&lt;=60)</f>
        <v>1</v>
      </c>
      <c r="C241" s="4" t="b">
        <f>RAW_DATA!C241&gt;=300000</f>
        <v>0</v>
      </c>
      <c r="D241" s="4" t="b">
        <f>RAW_DATA!F241&gt;=650</f>
        <v>1</v>
      </c>
      <c r="E241" s="4" t="b">
        <f>RAW_DATA!E241&gt;=1</f>
        <v>1</v>
      </c>
      <c r="F241" s="4" t="b">
        <f>RAW_DATA!L241="No"</f>
        <v>1</v>
      </c>
      <c r="G241" s="4" t="b">
        <f t="shared" si="9"/>
        <v>0</v>
      </c>
      <c r="H241" s="4" t="str">
        <f t="shared" si="10"/>
        <v>INELIGIBLE</v>
      </c>
      <c r="I241" s="4" t="str">
        <f t="shared" si="11"/>
        <v>Income</v>
      </c>
    </row>
    <row r="242" spans="1:9" x14ac:dyDescent="0.25">
      <c r="A242" s="4" t="str">
        <f>RAW_DATA!A242</f>
        <v>APP241</v>
      </c>
      <c r="B242" s="4" t="b">
        <f>AND(RAW_DATA!B242&gt;=21,RAW_DATA!B242&lt;=60)</f>
        <v>1</v>
      </c>
      <c r="C242" s="4" t="b">
        <f>RAW_DATA!C242&gt;=300000</f>
        <v>1</v>
      </c>
      <c r="D242" s="4" t="b">
        <f>RAW_DATA!F242&gt;=650</f>
        <v>1</v>
      </c>
      <c r="E242" s="4" t="b">
        <f>RAW_DATA!E242&gt;=1</f>
        <v>0</v>
      </c>
      <c r="F242" s="4" t="b">
        <f>RAW_DATA!L242="No"</f>
        <v>1</v>
      </c>
      <c r="G242" s="4" t="b">
        <f t="shared" si="9"/>
        <v>0</v>
      </c>
      <c r="H242" s="4" t="str">
        <f t="shared" si="10"/>
        <v>INELIGIBLE</v>
      </c>
      <c r="I242" s="4" t="str">
        <f t="shared" si="11"/>
        <v>Employment</v>
      </c>
    </row>
    <row r="243" spans="1:9" x14ac:dyDescent="0.25">
      <c r="A243" s="4" t="str">
        <f>RAW_DATA!A243</f>
        <v>APP242</v>
      </c>
      <c r="B243" s="4" t="b">
        <f>AND(RAW_DATA!B243&gt;=21,RAW_DATA!B243&lt;=60)</f>
        <v>1</v>
      </c>
      <c r="C243" s="4" t="b">
        <f>RAW_DATA!C243&gt;=300000</f>
        <v>1</v>
      </c>
      <c r="D243" s="4" t="b">
        <f>RAW_DATA!F243&gt;=650</f>
        <v>0</v>
      </c>
      <c r="E243" s="4" t="b">
        <f>RAW_DATA!E243&gt;=1</f>
        <v>1</v>
      </c>
      <c r="F243" s="4" t="b">
        <f>RAW_DATA!L243="No"</f>
        <v>1</v>
      </c>
      <c r="G243" s="4" t="b">
        <f t="shared" si="9"/>
        <v>0</v>
      </c>
      <c r="H243" s="4" t="str">
        <f t="shared" si="10"/>
        <v>INELIGIBLE</v>
      </c>
      <c r="I243" s="4" t="str">
        <f t="shared" si="11"/>
        <v>Credit Score</v>
      </c>
    </row>
    <row r="244" spans="1:9" x14ac:dyDescent="0.25">
      <c r="A244" s="4" t="str">
        <f>RAW_DATA!A244</f>
        <v>APP243</v>
      </c>
      <c r="B244" s="4" t="b">
        <f>AND(RAW_DATA!B244&gt;=21,RAW_DATA!B244&lt;=60)</f>
        <v>0</v>
      </c>
      <c r="C244" s="4" t="b">
        <f>RAW_DATA!C244&gt;=300000</f>
        <v>1</v>
      </c>
      <c r="D244" s="4" t="b">
        <f>RAW_DATA!F244&gt;=650</f>
        <v>1</v>
      </c>
      <c r="E244" s="4" t="b">
        <f>RAW_DATA!E244&gt;=1</f>
        <v>1</v>
      </c>
      <c r="F244" s="4" t="b">
        <f>RAW_DATA!L244="No"</f>
        <v>1</v>
      </c>
      <c r="G244" s="4" t="b">
        <f t="shared" si="9"/>
        <v>0</v>
      </c>
      <c r="H244" s="4" t="str">
        <f t="shared" si="10"/>
        <v>INELIGIBLE</v>
      </c>
      <c r="I244" s="4" t="str">
        <f t="shared" si="11"/>
        <v>Age</v>
      </c>
    </row>
    <row r="245" spans="1:9" x14ac:dyDescent="0.25">
      <c r="A245" s="4" t="str">
        <f>RAW_DATA!A245</f>
        <v>APP244</v>
      </c>
      <c r="B245" s="4" t="b">
        <f>AND(RAW_DATA!B245&gt;=21,RAW_DATA!B245&lt;=60)</f>
        <v>1</v>
      </c>
      <c r="C245" s="4" t="b">
        <f>RAW_DATA!C245&gt;=300000</f>
        <v>1</v>
      </c>
      <c r="D245" s="4" t="b">
        <f>RAW_DATA!F245&gt;=650</f>
        <v>1</v>
      </c>
      <c r="E245" s="4" t="b">
        <f>RAW_DATA!E245&gt;=1</f>
        <v>1</v>
      </c>
      <c r="F245" s="4" t="b">
        <f>RAW_DATA!L245="No"</f>
        <v>0</v>
      </c>
      <c r="G245" s="4" t="b">
        <f t="shared" si="9"/>
        <v>0</v>
      </c>
      <c r="H245" s="4" t="str">
        <f t="shared" si="10"/>
        <v>INELIGIBLE</v>
      </c>
      <c r="I245" s="4" t="str">
        <f t="shared" si="11"/>
        <v>Defaulter History</v>
      </c>
    </row>
    <row r="246" spans="1:9" x14ac:dyDescent="0.25">
      <c r="A246" s="4" t="str">
        <f>RAW_DATA!A246</f>
        <v>APP245</v>
      </c>
      <c r="B246" s="4" t="b">
        <f>AND(RAW_DATA!B246&gt;=21,RAW_DATA!B246&lt;=60)</f>
        <v>1</v>
      </c>
      <c r="C246" s="4" t="b">
        <f>RAW_DATA!C246&gt;=300000</f>
        <v>1</v>
      </c>
      <c r="D246" s="4" t="b">
        <f>RAW_DATA!F246&gt;=650</f>
        <v>0</v>
      </c>
      <c r="E246" s="4" t="b">
        <f>RAW_DATA!E246&gt;=1</f>
        <v>1</v>
      </c>
      <c r="F246" s="4" t="b">
        <f>RAW_DATA!L246="No"</f>
        <v>1</v>
      </c>
      <c r="G246" s="4" t="b">
        <f t="shared" si="9"/>
        <v>0</v>
      </c>
      <c r="H246" s="4" t="str">
        <f t="shared" si="10"/>
        <v>INELIGIBLE</v>
      </c>
      <c r="I246" s="4" t="str">
        <f t="shared" si="11"/>
        <v>Credit Score</v>
      </c>
    </row>
    <row r="247" spans="1:9" x14ac:dyDescent="0.25">
      <c r="A247" s="4" t="str">
        <f>RAW_DATA!A247</f>
        <v>APP246</v>
      </c>
      <c r="B247" s="4" t="b">
        <f>AND(RAW_DATA!B247&gt;=21,RAW_DATA!B247&lt;=60)</f>
        <v>0</v>
      </c>
      <c r="C247" s="4" t="b">
        <f>RAW_DATA!C247&gt;=300000</f>
        <v>1</v>
      </c>
      <c r="D247" s="4" t="b">
        <f>RAW_DATA!F247&gt;=650</f>
        <v>1</v>
      </c>
      <c r="E247" s="4" t="b">
        <f>RAW_DATA!E247&gt;=1</f>
        <v>1</v>
      </c>
      <c r="F247" s="4" t="b">
        <f>RAW_DATA!L247="No"</f>
        <v>1</v>
      </c>
      <c r="G247" s="4" t="b">
        <f t="shared" si="9"/>
        <v>0</v>
      </c>
      <c r="H247" s="4" t="str">
        <f t="shared" si="10"/>
        <v>INELIGIBLE</v>
      </c>
      <c r="I247" s="4" t="str">
        <f t="shared" si="11"/>
        <v>Age</v>
      </c>
    </row>
    <row r="248" spans="1:9" x14ac:dyDescent="0.25">
      <c r="A248" s="4" t="str">
        <f>RAW_DATA!A248</f>
        <v>APP247</v>
      </c>
      <c r="B248" s="4" t="b">
        <f>AND(RAW_DATA!B248&gt;=21,RAW_DATA!B248&lt;=60)</f>
        <v>1</v>
      </c>
      <c r="C248" s="4" t="b">
        <f>RAW_DATA!C248&gt;=300000</f>
        <v>1</v>
      </c>
      <c r="D248" s="4" t="b">
        <f>RAW_DATA!F248&gt;=650</f>
        <v>0</v>
      </c>
      <c r="E248" s="4" t="b">
        <f>RAW_DATA!E248&gt;=1</f>
        <v>1</v>
      </c>
      <c r="F248" s="4" t="b">
        <f>RAW_DATA!L248="No"</f>
        <v>1</v>
      </c>
      <c r="G248" s="4" t="b">
        <f t="shared" si="9"/>
        <v>0</v>
      </c>
      <c r="H248" s="4" t="str">
        <f t="shared" si="10"/>
        <v>INELIGIBLE</v>
      </c>
      <c r="I248" s="4" t="str">
        <f t="shared" si="11"/>
        <v>Credit Score</v>
      </c>
    </row>
    <row r="249" spans="1:9" x14ac:dyDescent="0.25">
      <c r="A249" s="4" t="str">
        <f>RAW_DATA!A249</f>
        <v>APP248</v>
      </c>
      <c r="B249" s="4" t="b">
        <f>AND(RAW_DATA!B249&gt;=21,RAW_DATA!B249&lt;=60)</f>
        <v>1</v>
      </c>
      <c r="C249" s="4" t="b">
        <f>RAW_DATA!C249&gt;=300000</f>
        <v>0</v>
      </c>
      <c r="D249" s="4" t="b">
        <f>RAW_DATA!F249&gt;=650</f>
        <v>0</v>
      </c>
      <c r="E249" s="4" t="b">
        <f>RAW_DATA!E249&gt;=1</f>
        <v>1</v>
      </c>
      <c r="F249" s="4" t="b">
        <f>RAW_DATA!L249="No"</f>
        <v>1</v>
      </c>
      <c r="G249" s="4" t="b">
        <f t="shared" si="9"/>
        <v>0</v>
      </c>
      <c r="H249" s="4" t="str">
        <f t="shared" si="10"/>
        <v>INELIGIBLE</v>
      </c>
      <c r="I249" s="4" t="str">
        <f t="shared" si="11"/>
        <v>Income, Credit Score</v>
      </c>
    </row>
    <row r="250" spans="1:9" x14ac:dyDescent="0.25">
      <c r="A250" s="4" t="str">
        <f>RAW_DATA!A250</f>
        <v>APP249</v>
      </c>
      <c r="B250" s="4" t="b">
        <f>AND(RAW_DATA!B250&gt;=21,RAW_DATA!B250&lt;=60)</f>
        <v>1</v>
      </c>
      <c r="C250" s="4" t="b">
        <f>RAW_DATA!C250&gt;=300000</f>
        <v>1</v>
      </c>
      <c r="D250" s="4" t="b">
        <f>RAW_DATA!F250&gt;=650</f>
        <v>1</v>
      </c>
      <c r="E250" s="4" t="b">
        <f>RAW_DATA!E250&gt;=1</f>
        <v>1</v>
      </c>
      <c r="F250" s="4" t="b">
        <f>RAW_DATA!L250="No"</f>
        <v>1</v>
      </c>
      <c r="G250" s="4" t="b">
        <f t="shared" si="9"/>
        <v>1</v>
      </c>
      <c r="H250" s="4" t="str">
        <f t="shared" si="10"/>
        <v>ELIGIBLE</v>
      </c>
      <c r="I250" s="4" t="str">
        <f t="shared" si="11"/>
        <v/>
      </c>
    </row>
    <row r="251" spans="1:9" x14ac:dyDescent="0.25">
      <c r="A251" s="4" t="str">
        <f>RAW_DATA!A251</f>
        <v>APP250</v>
      </c>
      <c r="B251" s="4" t="b">
        <f>AND(RAW_DATA!B251&gt;=21,RAW_DATA!B251&lt;=60)</f>
        <v>1</v>
      </c>
      <c r="C251" s="4" t="b">
        <f>RAW_DATA!C251&gt;=300000</f>
        <v>1</v>
      </c>
      <c r="D251" s="4" t="b">
        <f>RAW_DATA!F251&gt;=650</f>
        <v>0</v>
      </c>
      <c r="E251" s="4" t="b">
        <f>RAW_DATA!E251&gt;=1</f>
        <v>1</v>
      </c>
      <c r="F251" s="4" t="b">
        <f>RAW_DATA!L251="No"</f>
        <v>1</v>
      </c>
      <c r="G251" s="4" t="b">
        <f t="shared" si="9"/>
        <v>0</v>
      </c>
      <c r="H251" s="4" t="str">
        <f t="shared" si="10"/>
        <v>INELIGIBLE</v>
      </c>
      <c r="I251" s="4" t="str">
        <f t="shared" si="11"/>
        <v>Credit Score</v>
      </c>
    </row>
    <row r="252" spans="1:9" x14ac:dyDescent="0.25">
      <c r="A252" s="4" t="str">
        <f>RAW_DATA!A252</f>
        <v>APP251</v>
      </c>
      <c r="B252" s="4" t="b">
        <f>AND(RAW_DATA!B252&gt;=21,RAW_DATA!B252&lt;=60)</f>
        <v>1</v>
      </c>
      <c r="C252" s="4" t="b">
        <f>RAW_DATA!C252&gt;=300000</f>
        <v>1</v>
      </c>
      <c r="D252" s="4" t="b">
        <f>RAW_DATA!F252&gt;=650</f>
        <v>0</v>
      </c>
      <c r="E252" s="4" t="b">
        <f>RAW_DATA!E252&gt;=1</f>
        <v>1</v>
      </c>
      <c r="F252" s="4" t="b">
        <f>RAW_DATA!L252="No"</f>
        <v>1</v>
      </c>
      <c r="G252" s="4" t="b">
        <f t="shared" si="9"/>
        <v>0</v>
      </c>
      <c r="H252" s="4" t="str">
        <f t="shared" si="10"/>
        <v>INELIGIBLE</v>
      </c>
      <c r="I252" s="4" t="str">
        <f t="shared" si="11"/>
        <v>Credit Score</v>
      </c>
    </row>
    <row r="253" spans="1:9" x14ac:dyDescent="0.25">
      <c r="A253" s="4" t="str">
        <f>RAW_DATA!A253</f>
        <v>APP252</v>
      </c>
      <c r="B253" s="4" t="b">
        <f>AND(RAW_DATA!B253&gt;=21,RAW_DATA!B253&lt;=60)</f>
        <v>1</v>
      </c>
      <c r="C253" s="4" t="b">
        <f>RAW_DATA!C253&gt;=300000</f>
        <v>1</v>
      </c>
      <c r="D253" s="4" t="b">
        <f>RAW_DATA!F253&gt;=650</f>
        <v>0</v>
      </c>
      <c r="E253" s="4" t="b">
        <f>RAW_DATA!E253&gt;=1</f>
        <v>1</v>
      </c>
      <c r="F253" s="4" t="b">
        <f>RAW_DATA!L253="No"</f>
        <v>0</v>
      </c>
      <c r="G253" s="4" t="b">
        <f t="shared" si="9"/>
        <v>0</v>
      </c>
      <c r="H253" s="4" t="str">
        <f t="shared" si="10"/>
        <v>INELIGIBLE</v>
      </c>
      <c r="I253" s="4" t="str">
        <f t="shared" si="11"/>
        <v>Credit Score, Defaulter History</v>
      </c>
    </row>
    <row r="254" spans="1:9" x14ac:dyDescent="0.25">
      <c r="A254" s="4" t="str">
        <f>RAW_DATA!A254</f>
        <v>APP253</v>
      </c>
      <c r="B254" s="4" t="b">
        <f>AND(RAW_DATA!B254&gt;=21,RAW_DATA!B254&lt;=60)</f>
        <v>1</v>
      </c>
      <c r="C254" s="4" t="b">
        <f>RAW_DATA!C254&gt;=300000</f>
        <v>1</v>
      </c>
      <c r="D254" s="4" t="b">
        <f>RAW_DATA!F254&gt;=650</f>
        <v>0</v>
      </c>
      <c r="E254" s="4" t="b">
        <f>RAW_DATA!E254&gt;=1</f>
        <v>1</v>
      </c>
      <c r="F254" s="4" t="b">
        <f>RAW_DATA!L254="No"</f>
        <v>1</v>
      </c>
      <c r="G254" s="4" t="b">
        <f t="shared" si="9"/>
        <v>0</v>
      </c>
      <c r="H254" s="4" t="str">
        <f t="shared" si="10"/>
        <v>INELIGIBLE</v>
      </c>
      <c r="I254" s="4" t="str">
        <f t="shared" si="11"/>
        <v>Credit Score</v>
      </c>
    </row>
    <row r="255" spans="1:9" x14ac:dyDescent="0.25">
      <c r="A255" s="4" t="str">
        <f>RAW_DATA!A255</f>
        <v>APP254</v>
      </c>
      <c r="B255" s="4" t="b">
        <f>AND(RAW_DATA!B255&gt;=21,RAW_DATA!B255&lt;=60)</f>
        <v>1</v>
      </c>
      <c r="C255" s="4" t="b">
        <f>RAW_DATA!C255&gt;=300000</f>
        <v>0</v>
      </c>
      <c r="D255" s="4" t="b">
        <f>RAW_DATA!F255&gt;=650</f>
        <v>0</v>
      </c>
      <c r="E255" s="4" t="b">
        <f>RAW_DATA!E255&gt;=1</f>
        <v>1</v>
      </c>
      <c r="F255" s="4" t="b">
        <f>RAW_DATA!L255="No"</f>
        <v>1</v>
      </c>
      <c r="G255" s="4" t="b">
        <f t="shared" si="9"/>
        <v>0</v>
      </c>
      <c r="H255" s="4" t="str">
        <f t="shared" si="10"/>
        <v>INELIGIBLE</v>
      </c>
      <c r="I255" s="4" t="str">
        <f t="shared" si="11"/>
        <v>Income, Credit Score</v>
      </c>
    </row>
    <row r="256" spans="1:9" x14ac:dyDescent="0.25">
      <c r="A256" s="4" t="str">
        <f>RAW_DATA!A256</f>
        <v>APP255</v>
      </c>
      <c r="B256" s="4" t="b">
        <f>AND(RAW_DATA!B256&gt;=21,RAW_DATA!B256&lt;=60)</f>
        <v>0</v>
      </c>
      <c r="C256" s="4" t="b">
        <f>RAW_DATA!C256&gt;=300000</f>
        <v>1</v>
      </c>
      <c r="D256" s="4" t="b">
        <f>RAW_DATA!F256&gt;=650</f>
        <v>1</v>
      </c>
      <c r="E256" s="4" t="b">
        <f>RAW_DATA!E256&gt;=1</f>
        <v>1</v>
      </c>
      <c r="F256" s="4" t="b">
        <f>RAW_DATA!L256="No"</f>
        <v>0</v>
      </c>
      <c r="G256" s="4" t="b">
        <f t="shared" si="9"/>
        <v>0</v>
      </c>
      <c r="H256" s="4" t="str">
        <f t="shared" si="10"/>
        <v>INELIGIBLE</v>
      </c>
      <c r="I256" s="4" t="str">
        <f t="shared" si="11"/>
        <v>Age, Defaulter History</v>
      </c>
    </row>
    <row r="257" spans="1:9" x14ac:dyDescent="0.25">
      <c r="A257" s="4" t="str">
        <f>RAW_DATA!A257</f>
        <v>APP256</v>
      </c>
      <c r="B257" s="4" t="b">
        <f>AND(RAW_DATA!B257&gt;=21,RAW_DATA!B257&lt;=60)</f>
        <v>1</v>
      </c>
      <c r="C257" s="4" t="b">
        <f>RAW_DATA!C257&gt;=300000</f>
        <v>1</v>
      </c>
      <c r="D257" s="4" t="b">
        <f>RAW_DATA!F257&gt;=650</f>
        <v>1</v>
      </c>
      <c r="E257" s="4" t="b">
        <f>RAW_DATA!E257&gt;=1</f>
        <v>1</v>
      </c>
      <c r="F257" s="4" t="b">
        <f>RAW_DATA!L257="No"</f>
        <v>1</v>
      </c>
      <c r="G257" s="4" t="b">
        <f t="shared" si="9"/>
        <v>1</v>
      </c>
      <c r="H257" s="4" t="str">
        <f t="shared" si="10"/>
        <v>ELIGIBLE</v>
      </c>
      <c r="I257" s="4" t="str">
        <f t="shared" si="11"/>
        <v/>
      </c>
    </row>
    <row r="258" spans="1:9" x14ac:dyDescent="0.25">
      <c r="A258" s="4" t="str">
        <f>RAW_DATA!A258</f>
        <v>APP257</v>
      </c>
      <c r="B258" s="4" t="b">
        <f>AND(RAW_DATA!B258&gt;=21,RAW_DATA!B258&lt;=60)</f>
        <v>1</v>
      </c>
      <c r="C258" s="4" t="b">
        <f>RAW_DATA!C258&gt;=300000</f>
        <v>0</v>
      </c>
      <c r="D258" s="4" t="b">
        <f>RAW_DATA!F258&gt;=650</f>
        <v>0</v>
      </c>
      <c r="E258" s="4" t="b">
        <f>RAW_DATA!E258&gt;=1</f>
        <v>1</v>
      </c>
      <c r="F258" s="4" t="b">
        <f>RAW_DATA!L258="No"</f>
        <v>0</v>
      </c>
      <c r="G258" s="4" t="b">
        <f t="shared" si="9"/>
        <v>0</v>
      </c>
      <c r="H258" s="4" t="str">
        <f t="shared" si="10"/>
        <v>INELIGIBLE</v>
      </c>
      <c r="I258" s="4" t="str">
        <f t="shared" si="11"/>
        <v>Income, Credit Score, Defaulter History</v>
      </c>
    </row>
    <row r="259" spans="1:9" x14ac:dyDescent="0.25">
      <c r="A259" s="4" t="str">
        <f>RAW_DATA!A259</f>
        <v>APP258</v>
      </c>
      <c r="B259" s="4" t="b">
        <f>AND(RAW_DATA!B259&gt;=21,RAW_DATA!B259&lt;=60)</f>
        <v>1</v>
      </c>
      <c r="C259" s="4" t="b">
        <f>RAW_DATA!C259&gt;=300000</f>
        <v>1</v>
      </c>
      <c r="D259" s="4" t="b">
        <f>RAW_DATA!F259&gt;=650</f>
        <v>0</v>
      </c>
      <c r="E259" s="4" t="b">
        <f>RAW_DATA!E259&gt;=1</f>
        <v>1</v>
      </c>
      <c r="F259" s="4" t="b">
        <f>RAW_DATA!L259="No"</f>
        <v>0</v>
      </c>
      <c r="G259" s="4" t="b">
        <f t="shared" ref="G259:G322" si="12">AND(B259:F259)</f>
        <v>0</v>
      </c>
      <c r="H259" s="4" t="str">
        <f t="shared" ref="H259:H322" si="13">IF(G259,"ELIGIBLE","INELIGIBLE")</f>
        <v>INELIGIBLE</v>
      </c>
      <c r="I259" s="4" t="str">
        <f t="shared" ref="I259:I322" si="14">IF(G259,"",_xlfn.TEXTJOIN(", ",TRUE,IF(B259,"","Age"),IF(C259,"","Income"),IF(D259,"","Credit Score"),IF(E259,"","Employment"),IF(F259,"","Defaulter History")))</f>
        <v>Credit Score, Defaulter History</v>
      </c>
    </row>
    <row r="260" spans="1:9" x14ac:dyDescent="0.25">
      <c r="A260" s="4" t="str">
        <f>RAW_DATA!A260</f>
        <v>APP259</v>
      </c>
      <c r="B260" s="4" t="b">
        <f>AND(RAW_DATA!B260&gt;=21,RAW_DATA!B260&lt;=60)</f>
        <v>1</v>
      </c>
      <c r="C260" s="4" t="b">
        <f>RAW_DATA!C260&gt;=300000</f>
        <v>1</v>
      </c>
      <c r="D260" s="4" t="b">
        <f>RAW_DATA!F260&gt;=650</f>
        <v>1</v>
      </c>
      <c r="E260" s="4" t="b">
        <f>RAW_DATA!E260&gt;=1</f>
        <v>1</v>
      </c>
      <c r="F260" s="4" t="b">
        <f>RAW_DATA!L260="No"</f>
        <v>1</v>
      </c>
      <c r="G260" s="4" t="b">
        <f t="shared" si="12"/>
        <v>1</v>
      </c>
      <c r="H260" s="4" t="str">
        <f t="shared" si="13"/>
        <v>ELIGIBLE</v>
      </c>
      <c r="I260" s="4" t="str">
        <f t="shared" si="14"/>
        <v/>
      </c>
    </row>
    <row r="261" spans="1:9" x14ac:dyDescent="0.25">
      <c r="A261" s="4" t="str">
        <f>RAW_DATA!A261</f>
        <v>APP260</v>
      </c>
      <c r="B261" s="4" t="b">
        <f>AND(RAW_DATA!B261&gt;=21,RAW_DATA!B261&lt;=60)</f>
        <v>1</v>
      </c>
      <c r="C261" s="4" t="b">
        <f>RAW_DATA!C261&gt;=300000</f>
        <v>1</v>
      </c>
      <c r="D261" s="4" t="b">
        <f>RAW_DATA!F261&gt;=650</f>
        <v>1</v>
      </c>
      <c r="E261" s="4" t="b">
        <f>RAW_DATA!E261&gt;=1</f>
        <v>1</v>
      </c>
      <c r="F261" s="4" t="b">
        <f>RAW_DATA!L261="No"</f>
        <v>1</v>
      </c>
      <c r="G261" s="4" t="b">
        <f t="shared" si="12"/>
        <v>1</v>
      </c>
      <c r="H261" s="4" t="str">
        <f t="shared" si="13"/>
        <v>ELIGIBLE</v>
      </c>
      <c r="I261" s="4" t="str">
        <f t="shared" si="14"/>
        <v/>
      </c>
    </row>
    <row r="262" spans="1:9" x14ac:dyDescent="0.25">
      <c r="A262" s="4" t="str">
        <f>RAW_DATA!A262</f>
        <v>APP261</v>
      </c>
      <c r="B262" s="4" t="b">
        <f>AND(RAW_DATA!B262&gt;=21,RAW_DATA!B262&lt;=60)</f>
        <v>1</v>
      </c>
      <c r="C262" s="4" t="b">
        <f>RAW_DATA!C262&gt;=300000</f>
        <v>1</v>
      </c>
      <c r="D262" s="4" t="b">
        <f>RAW_DATA!F262&gt;=650</f>
        <v>1</v>
      </c>
      <c r="E262" s="4" t="b">
        <f>RAW_DATA!E262&gt;=1</f>
        <v>1</v>
      </c>
      <c r="F262" s="4" t="b">
        <f>RAW_DATA!L262="No"</f>
        <v>1</v>
      </c>
      <c r="G262" s="4" t="b">
        <f t="shared" si="12"/>
        <v>1</v>
      </c>
      <c r="H262" s="4" t="str">
        <f t="shared" si="13"/>
        <v>ELIGIBLE</v>
      </c>
      <c r="I262" s="4" t="str">
        <f t="shared" si="14"/>
        <v/>
      </c>
    </row>
    <row r="263" spans="1:9" x14ac:dyDescent="0.25">
      <c r="A263" s="4" t="str">
        <f>RAW_DATA!A263</f>
        <v>APP262</v>
      </c>
      <c r="B263" s="4" t="b">
        <f>AND(RAW_DATA!B263&gt;=21,RAW_DATA!B263&lt;=60)</f>
        <v>1</v>
      </c>
      <c r="C263" s="4" t="b">
        <f>RAW_DATA!C263&gt;=300000</f>
        <v>1</v>
      </c>
      <c r="D263" s="4" t="b">
        <f>RAW_DATA!F263&gt;=650</f>
        <v>0</v>
      </c>
      <c r="E263" s="4" t="b">
        <f>RAW_DATA!E263&gt;=1</f>
        <v>1</v>
      </c>
      <c r="F263" s="4" t="b">
        <f>RAW_DATA!L263="No"</f>
        <v>1</v>
      </c>
      <c r="G263" s="4" t="b">
        <f t="shared" si="12"/>
        <v>0</v>
      </c>
      <c r="H263" s="4" t="str">
        <f t="shared" si="13"/>
        <v>INELIGIBLE</v>
      </c>
      <c r="I263" s="4" t="str">
        <f t="shared" si="14"/>
        <v>Credit Score</v>
      </c>
    </row>
    <row r="264" spans="1:9" x14ac:dyDescent="0.25">
      <c r="A264" s="4" t="str">
        <f>RAW_DATA!A264</f>
        <v>APP263</v>
      </c>
      <c r="B264" s="4" t="b">
        <f>AND(RAW_DATA!B264&gt;=21,RAW_DATA!B264&lt;=60)</f>
        <v>1</v>
      </c>
      <c r="C264" s="4" t="b">
        <f>RAW_DATA!C264&gt;=300000</f>
        <v>1</v>
      </c>
      <c r="D264" s="4" t="b">
        <f>RAW_DATA!F264&gt;=650</f>
        <v>0</v>
      </c>
      <c r="E264" s="4" t="b">
        <f>RAW_DATA!E264&gt;=1</f>
        <v>1</v>
      </c>
      <c r="F264" s="4" t="b">
        <f>RAW_DATA!L264="No"</f>
        <v>1</v>
      </c>
      <c r="G264" s="4" t="b">
        <f t="shared" si="12"/>
        <v>0</v>
      </c>
      <c r="H264" s="4" t="str">
        <f t="shared" si="13"/>
        <v>INELIGIBLE</v>
      </c>
      <c r="I264" s="4" t="str">
        <f t="shared" si="14"/>
        <v>Credit Score</v>
      </c>
    </row>
    <row r="265" spans="1:9" x14ac:dyDescent="0.25">
      <c r="A265" s="4" t="str">
        <f>RAW_DATA!A265</f>
        <v>APP264</v>
      </c>
      <c r="B265" s="4" t="b">
        <f>AND(RAW_DATA!B265&gt;=21,RAW_DATA!B265&lt;=60)</f>
        <v>1</v>
      </c>
      <c r="C265" s="4" t="b">
        <f>RAW_DATA!C265&gt;=300000</f>
        <v>1</v>
      </c>
      <c r="D265" s="4" t="b">
        <f>RAW_DATA!F265&gt;=650</f>
        <v>0</v>
      </c>
      <c r="E265" s="4" t="b">
        <f>RAW_DATA!E265&gt;=1</f>
        <v>1</v>
      </c>
      <c r="F265" s="4" t="b">
        <f>RAW_DATA!L265="No"</f>
        <v>1</v>
      </c>
      <c r="G265" s="4" t="b">
        <f t="shared" si="12"/>
        <v>0</v>
      </c>
      <c r="H265" s="4" t="str">
        <f t="shared" si="13"/>
        <v>INELIGIBLE</v>
      </c>
      <c r="I265" s="4" t="str">
        <f t="shared" si="14"/>
        <v>Credit Score</v>
      </c>
    </row>
    <row r="266" spans="1:9" x14ac:dyDescent="0.25">
      <c r="A266" s="4" t="str">
        <f>RAW_DATA!A266</f>
        <v>APP265</v>
      </c>
      <c r="B266" s="4" t="b">
        <f>AND(RAW_DATA!B266&gt;=21,RAW_DATA!B266&lt;=60)</f>
        <v>1</v>
      </c>
      <c r="C266" s="4" t="b">
        <f>RAW_DATA!C266&gt;=300000</f>
        <v>1</v>
      </c>
      <c r="D266" s="4" t="b">
        <f>RAW_DATA!F266&gt;=650</f>
        <v>0</v>
      </c>
      <c r="E266" s="4" t="b">
        <f>RAW_DATA!E266&gt;=1</f>
        <v>0</v>
      </c>
      <c r="F266" s="4" t="b">
        <f>RAW_DATA!L266="No"</f>
        <v>1</v>
      </c>
      <c r="G266" s="4" t="b">
        <f t="shared" si="12"/>
        <v>0</v>
      </c>
      <c r="H266" s="4" t="str">
        <f t="shared" si="13"/>
        <v>INELIGIBLE</v>
      </c>
      <c r="I266" s="4" t="str">
        <f t="shared" si="14"/>
        <v>Credit Score, Employment</v>
      </c>
    </row>
    <row r="267" spans="1:9" x14ac:dyDescent="0.25">
      <c r="A267" s="4" t="str">
        <f>RAW_DATA!A267</f>
        <v>APP266</v>
      </c>
      <c r="B267" s="4" t="b">
        <f>AND(RAW_DATA!B267&gt;=21,RAW_DATA!B267&lt;=60)</f>
        <v>1</v>
      </c>
      <c r="C267" s="4" t="b">
        <f>RAW_DATA!C267&gt;=300000</f>
        <v>0</v>
      </c>
      <c r="D267" s="4" t="b">
        <f>RAW_DATA!F267&gt;=650</f>
        <v>1</v>
      </c>
      <c r="E267" s="4" t="b">
        <f>RAW_DATA!E267&gt;=1</f>
        <v>1</v>
      </c>
      <c r="F267" s="4" t="b">
        <f>RAW_DATA!L267="No"</f>
        <v>0</v>
      </c>
      <c r="G267" s="4" t="b">
        <f t="shared" si="12"/>
        <v>0</v>
      </c>
      <c r="H267" s="4" t="str">
        <f t="shared" si="13"/>
        <v>INELIGIBLE</v>
      </c>
      <c r="I267" s="4" t="str">
        <f t="shared" si="14"/>
        <v>Income, Defaulter History</v>
      </c>
    </row>
    <row r="268" spans="1:9" x14ac:dyDescent="0.25">
      <c r="A268" s="4" t="str">
        <f>RAW_DATA!A268</f>
        <v>APP267</v>
      </c>
      <c r="B268" s="4" t="b">
        <f>AND(RAW_DATA!B268&gt;=21,RAW_DATA!B268&lt;=60)</f>
        <v>1</v>
      </c>
      <c r="C268" s="4" t="b">
        <f>RAW_DATA!C268&gt;=300000</f>
        <v>1</v>
      </c>
      <c r="D268" s="4" t="b">
        <f>RAW_DATA!F268&gt;=650</f>
        <v>0</v>
      </c>
      <c r="E268" s="4" t="b">
        <f>RAW_DATA!E268&gt;=1</f>
        <v>1</v>
      </c>
      <c r="F268" s="4" t="b">
        <f>RAW_DATA!L268="No"</f>
        <v>1</v>
      </c>
      <c r="G268" s="4" t="b">
        <f t="shared" si="12"/>
        <v>0</v>
      </c>
      <c r="H268" s="4" t="str">
        <f t="shared" si="13"/>
        <v>INELIGIBLE</v>
      </c>
      <c r="I268" s="4" t="str">
        <f t="shared" si="14"/>
        <v>Credit Score</v>
      </c>
    </row>
    <row r="269" spans="1:9" x14ac:dyDescent="0.25">
      <c r="A269" s="4" t="str">
        <f>RAW_DATA!A269</f>
        <v>APP268</v>
      </c>
      <c r="B269" s="4" t="b">
        <f>AND(RAW_DATA!B269&gt;=21,RAW_DATA!B269&lt;=60)</f>
        <v>1</v>
      </c>
      <c r="C269" s="4" t="b">
        <f>RAW_DATA!C269&gt;=300000</f>
        <v>1</v>
      </c>
      <c r="D269" s="4" t="b">
        <f>RAW_DATA!F269&gt;=650</f>
        <v>1</v>
      </c>
      <c r="E269" s="4" t="b">
        <f>RAW_DATA!E269&gt;=1</f>
        <v>1</v>
      </c>
      <c r="F269" s="4" t="b">
        <f>RAW_DATA!L269="No"</f>
        <v>1</v>
      </c>
      <c r="G269" s="4" t="b">
        <f t="shared" si="12"/>
        <v>1</v>
      </c>
      <c r="H269" s="4" t="str">
        <f t="shared" si="13"/>
        <v>ELIGIBLE</v>
      </c>
      <c r="I269" s="4" t="str">
        <f t="shared" si="14"/>
        <v/>
      </c>
    </row>
    <row r="270" spans="1:9" x14ac:dyDescent="0.25">
      <c r="A270" s="4" t="str">
        <f>RAW_DATA!A270</f>
        <v>APP269</v>
      </c>
      <c r="B270" s="4" t="b">
        <f>AND(RAW_DATA!B270&gt;=21,RAW_DATA!B270&lt;=60)</f>
        <v>1</v>
      </c>
      <c r="C270" s="4" t="b">
        <f>RAW_DATA!C270&gt;=300000</f>
        <v>0</v>
      </c>
      <c r="D270" s="4" t="b">
        <f>RAW_DATA!F270&gt;=650</f>
        <v>1</v>
      </c>
      <c r="E270" s="4" t="b">
        <f>RAW_DATA!E270&gt;=1</f>
        <v>1</v>
      </c>
      <c r="F270" s="4" t="b">
        <f>RAW_DATA!L270="No"</f>
        <v>0</v>
      </c>
      <c r="G270" s="4" t="b">
        <f t="shared" si="12"/>
        <v>0</v>
      </c>
      <c r="H270" s="4" t="str">
        <f t="shared" si="13"/>
        <v>INELIGIBLE</v>
      </c>
      <c r="I270" s="4" t="str">
        <f t="shared" si="14"/>
        <v>Income, Defaulter History</v>
      </c>
    </row>
    <row r="271" spans="1:9" x14ac:dyDescent="0.25">
      <c r="A271" s="4" t="str">
        <f>RAW_DATA!A271</f>
        <v>APP270</v>
      </c>
      <c r="B271" s="4" t="b">
        <f>AND(RAW_DATA!B271&gt;=21,RAW_DATA!B271&lt;=60)</f>
        <v>0</v>
      </c>
      <c r="C271" s="4" t="b">
        <f>RAW_DATA!C271&gt;=300000</f>
        <v>1</v>
      </c>
      <c r="D271" s="4" t="b">
        <f>RAW_DATA!F271&gt;=650</f>
        <v>1</v>
      </c>
      <c r="E271" s="4" t="b">
        <f>RAW_DATA!E271&gt;=1</f>
        <v>1</v>
      </c>
      <c r="F271" s="4" t="b">
        <f>RAW_DATA!L271="No"</f>
        <v>0</v>
      </c>
      <c r="G271" s="4" t="b">
        <f t="shared" si="12"/>
        <v>0</v>
      </c>
      <c r="H271" s="4" t="str">
        <f t="shared" si="13"/>
        <v>INELIGIBLE</v>
      </c>
      <c r="I271" s="4" t="str">
        <f t="shared" si="14"/>
        <v>Age, Defaulter History</v>
      </c>
    </row>
    <row r="272" spans="1:9" x14ac:dyDescent="0.25">
      <c r="A272" s="4" t="str">
        <f>RAW_DATA!A272</f>
        <v>APP271</v>
      </c>
      <c r="B272" s="4" t="b">
        <f>AND(RAW_DATA!B272&gt;=21,RAW_DATA!B272&lt;=60)</f>
        <v>1</v>
      </c>
      <c r="C272" s="4" t="b">
        <f>RAW_DATA!C272&gt;=300000</f>
        <v>1</v>
      </c>
      <c r="D272" s="4" t="b">
        <f>RAW_DATA!F272&gt;=650</f>
        <v>1</v>
      </c>
      <c r="E272" s="4" t="b">
        <f>RAW_DATA!E272&gt;=1</f>
        <v>1</v>
      </c>
      <c r="F272" s="4" t="b">
        <f>RAW_DATA!L272="No"</f>
        <v>0</v>
      </c>
      <c r="G272" s="4" t="b">
        <f t="shared" si="12"/>
        <v>0</v>
      </c>
      <c r="H272" s="4" t="str">
        <f t="shared" si="13"/>
        <v>INELIGIBLE</v>
      </c>
      <c r="I272" s="4" t="str">
        <f t="shared" si="14"/>
        <v>Defaulter History</v>
      </c>
    </row>
    <row r="273" spans="1:9" x14ac:dyDescent="0.25">
      <c r="A273" s="4" t="str">
        <f>RAW_DATA!A273</f>
        <v>APP272</v>
      </c>
      <c r="B273" s="4" t="b">
        <f>AND(RAW_DATA!B273&gt;=21,RAW_DATA!B273&lt;=60)</f>
        <v>1</v>
      </c>
      <c r="C273" s="4" t="b">
        <f>RAW_DATA!C273&gt;=300000</f>
        <v>1</v>
      </c>
      <c r="D273" s="4" t="b">
        <f>RAW_DATA!F273&gt;=650</f>
        <v>0</v>
      </c>
      <c r="E273" s="4" t="b">
        <f>RAW_DATA!E273&gt;=1</f>
        <v>1</v>
      </c>
      <c r="F273" s="4" t="b">
        <f>RAW_DATA!L273="No"</f>
        <v>1</v>
      </c>
      <c r="G273" s="4" t="b">
        <f t="shared" si="12"/>
        <v>0</v>
      </c>
      <c r="H273" s="4" t="str">
        <f t="shared" si="13"/>
        <v>INELIGIBLE</v>
      </c>
      <c r="I273" s="4" t="str">
        <f t="shared" si="14"/>
        <v>Credit Score</v>
      </c>
    </row>
    <row r="274" spans="1:9" x14ac:dyDescent="0.25">
      <c r="A274" s="4" t="str">
        <f>RAW_DATA!A274</f>
        <v>APP273</v>
      </c>
      <c r="B274" s="4" t="b">
        <f>AND(RAW_DATA!B274&gt;=21,RAW_DATA!B274&lt;=60)</f>
        <v>1</v>
      </c>
      <c r="C274" s="4" t="b">
        <f>RAW_DATA!C274&gt;=300000</f>
        <v>1</v>
      </c>
      <c r="D274" s="4" t="b">
        <f>RAW_DATA!F274&gt;=650</f>
        <v>1</v>
      </c>
      <c r="E274" s="4" t="b">
        <f>RAW_DATA!E274&gt;=1</f>
        <v>1</v>
      </c>
      <c r="F274" s="4" t="b">
        <f>RAW_DATA!L274="No"</f>
        <v>1</v>
      </c>
      <c r="G274" s="4" t="b">
        <f t="shared" si="12"/>
        <v>1</v>
      </c>
      <c r="H274" s="4" t="str">
        <f t="shared" si="13"/>
        <v>ELIGIBLE</v>
      </c>
      <c r="I274" s="4" t="str">
        <f t="shared" si="14"/>
        <v/>
      </c>
    </row>
    <row r="275" spans="1:9" x14ac:dyDescent="0.25">
      <c r="A275" s="4" t="str">
        <f>RAW_DATA!A275</f>
        <v>APP274</v>
      </c>
      <c r="B275" s="4" t="b">
        <f>AND(RAW_DATA!B275&gt;=21,RAW_DATA!B275&lt;=60)</f>
        <v>1</v>
      </c>
      <c r="C275" s="4" t="b">
        <f>RAW_DATA!C275&gt;=300000</f>
        <v>1</v>
      </c>
      <c r="D275" s="4" t="b">
        <f>RAW_DATA!F275&gt;=650</f>
        <v>0</v>
      </c>
      <c r="E275" s="4" t="b">
        <f>RAW_DATA!E275&gt;=1</f>
        <v>1</v>
      </c>
      <c r="F275" s="4" t="b">
        <f>RAW_DATA!L275="No"</f>
        <v>1</v>
      </c>
      <c r="G275" s="4" t="b">
        <f t="shared" si="12"/>
        <v>0</v>
      </c>
      <c r="H275" s="4" t="str">
        <f t="shared" si="13"/>
        <v>INELIGIBLE</v>
      </c>
      <c r="I275" s="4" t="str">
        <f t="shared" si="14"/>
        <v>Credit Score</v>
      </c>
    </row>
    <row r="276" spans="1:9" x14ac:dyDescent="0.25">
      <c r="A276" s="4" t="str">
        <f>RAW_DATA!A276</f>
        <v>APP275</v>
      </c>
      <c r="B276" s="4" t="b">
        <f>AND(RAW_DATA!B276&gt;=21,RAW_DATA!B276&lt;=60)</f>
        <v>1</v>
      </c>
      <c r="C276" s="4" t="b">
        <f>RAW_DATA!C276&gt;=300000</f>
        <v>1</v>
      </c>
      <c r="D276" s="4" t="b">
        <f>RAW_DATA!F276&gt;=650</f>
        <v>0</v>
      </c>
      <c r="E276" s="4" t="b">
        <f>RAW_DATA!E276&gt;=1</f>
        <v>1</v>
      </c>
      <c r="F276" s="4" t="b">
        <f>RAW_DATA!L276="No"</f>
        <v>1</v>
      </c>
      <c r="G276" s="4" t="b">
        <f t="shared" si="12"/>
        <v>0</v>
      </c>
      <c r="H276" s="4" t="str">
        <f t="shared" si="13"/>
        <v>INELIGIBLE</v>
      </c>
      <c r="I276" s="4" t="str">
        <f t="shared" si="14"/>
        <v>Credit Score</v>
      </c>
    </row>
    <row r="277" spans="1:9" x14ac:dyDescent="0.25">
      <c r="A277" s="4" t="str">
        <f>RAW_DATA!A277</f>
        <v>APP276</v>
      </c>
      <c r="B277" s="4" t="b">
        <f>AND(RAW_DATA!B277&gt;=21,RAW_DATA!B277&lt;=60)</f>
        <v>1</v>
      </c>
      <c r="C277" s="4" t="b">
        <f>RAW_DATA!C277&gt;=300000</f>
        <v>1</v>
      </c>
      <c r="D277" s="4" t="b">
        <f>RAW_DATA!F277&gt;=650</f>
        <v>1</v>
      </c>
      <c r="E277" s="4" t="b">
        <f>RAW_DATA!E277&gt;=1</f>
        <v>1</v>
      </c>
      <c r="F277" s="4" t="b">
        <f>RAW_DATA!L277="No"</f>
        <v>1</v>
      </c>
      <c r="G277" s="4" t="b">
        <f t="shared" si="12"/>
        <v>1</v>
      </c>
      <c r="H277" s="4" t="str">
        <f t="shared" si="13"/>
        <v>ELIGIBLE</v>
      </c>
      <c r="I277" s="4" t="str">
        <f t="shared" si="14"/>
        <v/>
      </c>
    </row>
    <row r="278" spans="1:9" x14ac:dyDescent="0.25">
      <c r="A278" s="4" t="str">
        <f>RAW_DATA!A278</f>
        <v>APP277</v>
      </c>
      <c r="B278" s="4" t="b">
        <f>AND(RAW_DATA!B278&gt;=21,RAW_DATA!B278&lt;=60)</f>
        <v>1</v>
      </c>
      <c r="C278" s="4" t="b">
        <f>RAW_DATA!C278&gt;=300000</f>
        <v>1</v>
      </c>
      <c r="D278" s="4" t="b">
        <f>RAW_DATA!F278&gt;=650</f>
        <v>0</v>
      </c>
      <c r="E278" s="4" t="b">
        <f>RAW_DATA!E278&gt;=1</f>
        <v>1</v>
      </c>
      <c r="F278" s="4" t="b">
        <f>RAW_DATA!L278="No"</f>
        <v>1</v>
      </c>
      <c r="G278" s="4" t="b">
        <f t="shared" si="12"/>
        <v>0</v>
      </c>
      <c r="H278" s="4" t="str">
        <f t="shared" si="13"/>
        <v>INELIGIBLE</v>
      </c>
      <c r="I278" s="4" t="str">
        <f t="shared" si="14"/>
        <v>Credit Score</v>
      </c>
    </row>
    <row r="279" spans="1:9" x14ac:dyDescent="0.25">
      <c r="A279" s="4" t="str">
        <f>RAW_DATA!A279</f>
        <v>APP278</v>
      </c>
      <c r="B279" s="4" t="b">
        <f>AND(RAW_DATA!B279&gt;=21,RAW_DATA!B279&lt;=60)</f>
        <v>1</v>
      </c>
      <c r="C279" s="4" t="b">
        <f>RAW_DATA!C279&gt;=300000</f>
        <v>1</v>
      </c>
      <c r="D279" s="4" t="b">
        <f>RAW_DATA!F279&gt;=650</f>
        <v>0</v>
      </c>
      <c r="E279" s="4" t="b">
        <f>RAW_DATA!E279&gt;=1</f>
        <v>1</v>
      </c>
      <c r="F279" s="4" t="b">
        <f>RAW_DATA!L279="No"</f>
        <v>1</v>
      </c>
      <c r="G279" s="4" t="b">
        <f t="shared" si="12"/>
        <v>0</v>
      </c>
      <c r="H279" s="4" t="str">
        <f t="shared" si="13"/>
        <v>INELIGIBLE</v>
      </c>
      <c r="I279" s="4" t="str">
        <f t="shared" si="14"/>
        <v>Credit Score</v>
      </c>
    </row>
    <row r="280" spans="1:9" x14ac:dyDescent="0.25">
      <c r="A280" s="4" t="str">
        <f>RAW_DATA!A280</f>
        <v>APP279</v>
      </c>
      <c r="B280" s="4" t="b">
        <f>AND(RAW_DATA!B280&gt;=21,RAW_DATA!B280&lt;=60)</f>
        <v>1</v>
      </c>
      <c r="C280" s="4" t="b">
        <f>RAW_DATA!C280&gt;=300000</f>
        <v>1</v>
      </c>
      <c r="D280" s="4" t="b">
        <f>RAW_DATA!F280&gt;=650</f>
        <v>1</v>
      </c>
      <c r="E280" s="4" t="b">
        <f>RAW_DATA!E280&gt;=1</f>
        <v>1</v>
      </c>
      <c r="F280" s="4" t="b">
        <f>RAW_DATA!L280="No"</f>
        <v>1</v>
      </c>
      <c r="G280" s="4" t="b">
        <f t="shared" si="12"/>
        <v>1</v>
      </c>
      <c r="H280" s="4" t="str">
        <f t="shared" si="13"/>
        <v>ELIGIBLE</v>
      </c>
      <c r="I280" s="4" t="str">
        <f t="shared" si="14"/>
        <v/>
      </c>
    </row>
    <row r="281" spans="1:9" x14ac:dyDescent="0.25">
      <c r="A281" s="4" t="str">
        <f>RAW_DATA!A281</f>
        <v>APP280</v>
      </c>
      <c r="B281" s="4" t="b">
        <f>AND(RAW_DATA!B281&gt;=21,RAW_DATA!B281&lt;=60)</f>
        <v>1</v>
      </c>
      <c r="C281" s="4" t="b">
        <f>RAW_DATA!C281&gt;=300000</f>
        <v>1</v>
      </c>
      <c r="D281" s="4" t="b">
        <f>RAW_DATA!F281&gt;=650</f>
        <v>1</v>
      </c>
      <c r="E281" s="4" t="b">
        <f>RAW_DATA!E281&gt;=1</f>
        <v>1</v>
      </c>
      <c r="F281" s="4" t="b">
        <f>RAW_DATA!L281="No"</f>
        <v>1</v>
      </c>
      <c r="G281" s="4" t="b">
        <f t="shared" si="12"/>
        <v>1</v>
      </c>
      <c r="H281" s="4" t="str">
        <f t="shared" si="13"/>
        <v>ELIGIBLE</v>
      </c>
      <c r="I281" s="4" t="str">
        <f t="shared" si="14"/>
        <v/>
      </c>
    </row>
    <row r="282" spans="1:9" x14ac:dyDescent="0.25">
      <c r="A282" s="4" t="str">
        <f>RAW_DATA!A282</f>
        <v>APP281</v>
      </c>
      <c r="B282" s="4" t="b">
        <f>AND(RAW_DATA!B282&gt;=21,RAW_DATA!B282&lt;=60)</f>
        <v>1</v>
      </c>
      <c r="C282" s="4" t="b">
        <f>RAW_DATA!C282&gt;=300000</f>
        <v>1</v>
      </c>
      <c r="D282" s="4" t="b">
        <f>RAW_DATA!F282&gt;=650</f>
        <v>0</v>
      </c>
      <c r="E282" s="4" t="b">
        <f>RAW_DATA!E282&gt;=1</f>
        <v>1</v>
      </c>
      <c r="F282" s="4" t="b">
        <f>RAW_DATA!L282="No"</f>
        <v>1</v>
      </c>
      <c r="G282" s="4" t="b">
        <f t="shared" si="12"/>
        <v>0</v>
      </c>
      <c r="H282" s="4" t="str">
        <f t="shared" si="13"/>
        <v>INELIGIBLE</v>
      </c>
      <c r="I282" s="4" t="str">
        <f t="shared" si="14"/>
        <v>Credit Score</v>
      </c>
    </row>
    <row r="283" spans="1:9" x14ac:dyDescent="0.25">
      <c r="A283" s="4" t="str">
        <f>RAW_DATA!A283</f>
        <v>APP282</v>
      </c>
      <c r="B283" s="4" t="b">
        <f>AND(RAW_DATA!B283&gt;=21,RAW_DATA!B283&lt;=60)</f>
        <v>1</v>
      </c>
      <c r="C283" s="4" t="b">
        <f>RAW_DATA!C283&gt;=300000</f>
        <v>1</v>
      </c>
      <c r="D283" s="4" t="b">
        <f>RAW_DATA!F283&gt;=650</f>
        <v>0</v>
      </c>
      <c r="E283" s="4" t="b">
        <f>RAW_DATA!E283&gt;=1</f>
        <v>1</v>
      </c>
      <c r="F283" s="4" t="b">
        <f>RAW_DATA!L283="No"</f>
        <v>1</v>
      </c>
      <c r="G283" s="4" t="b">
        <f t="shared" si="12"/>
        <v>0</v>
      </c>
      <c r="H283" s="4" t="str">
        <f t="shared" si="13"/>
        <v>INELIGIBLE</v>
      </c>
      <c r="I283" s="4" t="str">
        <f t="shared" si="14"/>
        <v>Credit Score</v>
      </c>
    </row>
    <row r="284" spans="1:9" x14ac:dyDescent="0.25">
      <c r="A284" s="4" t="str">
        <f>RAW_DATA!A284</f>
        <v>APP283</v>
      </c>
      <c r="B284" s="4" t="b">
        <f>AND(RAW_DATA!B284&gt;=21,RAW_DATA!B284&lt;=60)</f>
        <v>0</v>
      </c>
      <c r="C284" s="4" t="b">
        <f>RAW_DATA!C284&gt;=300000</f>
        <v>1</v>
      </c>
      <c r="D284" s="4" t="b">
        <f>RAW_DATA!F284&gt;=650</f>
        <v>1</v>
      </c>
      <c r="E284" s="4" t="b">
        <f>RAW_DATA!E284&gt;=1</f>
        <v>1</v>
      </c>
      <c r="F284" s="4" t="b">
        <f>RAW_DATA!L284="No"</f>
        <v>1</v>
      </c>
      <c r="G284" s="4" t="b">
        <f t="shared" si="12"/>
        <v>0</v>
      </c>
      <c r="H284" s="4" t="str">
        <f t="shared" si="13"/>
        <v>INELIGIBLE</v>
      </c>
      <c r="I284" s="4" t="str">
        <f t="shared" si="14"/>
        <v>Age</v>
      </c>
    </row>
    <row r="285" spans="1:9" x14ac:dyDescent="0.25">
      <c r="A285" s="4" t="str">
        <f>RAW_DATA!A285</f>
        <v>APP284</v>
      </c>
      <c r="B285" s="4" t="b">
        <f>AND(RAW_DATA!B285&gt;=21,RAW_DATA!B285&lt;=60)</f>
        <v>1</v>
      </c>
      <c r="C285" s="4" t="b">
        <f>RAW_DATA!C285&gt;=300000</f>
        <v>1</v>
      </c>
      <c r="D285" s="4" t="b">
        <f>RAW_DATA!F285&gt;=650</f>
        <v>0</v>
      </c>
      <c r="E285" s="4" t="b">
        <f>RAW_DATA!E285&gt;=1</f>
        <v>1</v>
      </c>
      <c r="F285" s="4" t="b">
        <f>RAW_DATA!L285="No"</f>
        <v>1</v>
      </c>
      <c r="G285" s="4" t="b">
        <f t="shared" si="12"/>
        <v>0</v>
      </c>
      <c r="H285" s="4" t="str">
        <f t="shared" si="13"/>
        <v>INELIGIBLE</v>
      </c>
      <c r="I285" s="4" t="str">
        <f t="shared" si="14"/>
        <v>Credit Score</v>
      </c>
    </row>
    <row r="286" spans="1:9" x14ac:dyDescent="0.25">
      <c r="A286" s="4" t="str">
        <f>RAW_DATA!A286</f>
        <v>APP285</v>
      </c>
      <c r="B286" s="4" t="b">
        <f>AND(RAW_DATA!B286&gt;=21,RAW_DATA!B286&lt;=60)</f>
        <v>1</v>
      </c>
      <c r="C286" s="4" t="b">
        <f>RAW_DATA!C286&gt;=300000</f>
        <v>1</v>
      </c>
      <c r="D286" s="4" t="b">
        <f>RAW_DATA!F286&gt;=650</f>
        <v>0</v>
      </c>
      <c r="E286" s="4" t="b">
        <f>RAW_DATA!E286&gt;=1</f>
        <v>1</v>
      </c>
      <c r="F286" s="4" t="b">
        <f>RAW_DATA!L286="No"</f>
        <v>1</v>
      </c>
      <c r="G286" s="4" t="b">
        <f t="shared" si="12"/>
        <v>0</v>
      </c>
      <c r="H286" s="4" t="str">
        <f t="shared" si="13"/>
        <v>INELIGIBLE</v>
      </c>
      <c r="I286" s="4" t="str">
        <f t="shared" si="14"/>
        <v>Credit Score</v>
      </c>
    </row>
    <row r="287" spans="1:9" x14ac:dyDescent="0.25">
      <c r="A287" s="4" t="str">
        <f>RAW_DATA!A287</f>
        <v>APP286</v>
      </c>
      <c r="B287" s="4" t="b">
        <f>AND(RAW_DATA!B287&gt;=21,RAW_DATA!B287&lt;=60)</f>
        <v>1</v>
      </c>
      <c r="C287" s="4" t="b">
        <f>RAW_DATA!C287&gt;=300000</f>
        <v>1</v>
      </c>
      <c r="D287" s="4" t="b">
        <f>RAW_DATA!F287&gt;=650</f>
        <v>1</v>
      </c>
      <c r="E287" s="4" t="b">
        <f>RAW_DATA!E287&gt;=1</f>
        <v>1</v>
      </c>
      <c r="F287" s="4" t="b">
        <f>RAW_DATA!L287="No"</f>
        <v>1</v>
      </c>
      <c r="G287" s="4" t="b">
        <f t="shared" si="12"/>
        <v>1</v>
      </c>
      <c r="H287" s="4" t="str">
        <f t="shared" si="13"/>
        <v>ELIGIBLE</v>
      </c>
      <c r="I287" s="4" t="str">
        <f t="shared" si="14"/>
        <v/>
      </c>
    </row>
    <row r="288" spans="1:9" x14ac:dyDescent="0.25">
      <c r="A288" s="4" t="str">
        <f>RAW_DATA!A288</f>
        <v>APP287</v>
      </c>
      <c r="B288" s="4" t="b">
        <f>AND(RAW_DATA!B288&gt;=21,RAW_DATA!B288&lt;=60)</f>
        <v>1</v>
      </c>
      <c r="C288" s="4" t="b">
        <f>RAW_DATA!C288&gt;=300000</f>
        <v>1</v>
      </c>
      <c r="D288" s="4" t="b">
        <f>RAW_DATA!F288&gt;=650</f>
        <v>1</v>
      </c>
      <c r="E288" s="4" t="b">
        <f>RAW_DATA!E288&gt;=1</f>
        <v>1</v>
      </c>
      <c r="F288" s="4" t="b">
        <f>RAW_DATA!L288="No"</f>
        <v>1</v>
      </c>
      <c r="G288" s="4" t="b">
        <f t="shared" si="12"/>
        <v>1</v>
      </c>
      <c r="H288" s="4" t="str">
        <f t="shared" si="13"/>
        <v>ELIGIBLE</v>
      </c>
      <c r="I288" s="4" t="str">
        <f t="shared" si="14"/>
        <v/>
      </c>
    </row>
    <row r="289" spans="1:9" x14ac:dyDescent="0.25">
      <c r="A289" s="4" t="str">
        <f>RAW_DATA!A289</f>
        <v>APP288</v>
      </c>
      <c r="B289" s="4" t="b">
        <f>AND(RAW_DATA!B289&gt;=21,RAW_DATA!B289&lt;=60)</f>
        <v>1</v>
      </c>
      <c r="C289" s="4" t="b">
        <f>RAW_DATA!C289&gt;=300000</f>
        <v>1</v>
      </c>
      <c r="D289" s="4" t="b">
        <f>RAW_DATA!F289&gt;=650</f>
        <v>0</v>
      </c>
      <c r="E289" s="4" t="b">
        <f>RAW_DATA!E289&gt;=1</f>
        <v>1</v>
      </c>
      <c r="F289" s="4" t="b">
        <f>RAW_DATA!L289="No"</f>
        <v>0</v>
      </c>
      <c r="G289" s="4" t="b">
        <f t="shared" si="12"/>
        <v>0</v>
      </c>
      <c r="H289" s="4" t="str">
        <f t="shared" si="13"/>
        <v>INELIGIBLE</v>
      </c>
      <c r="I289" s="4" t="str">
        <f t="shared" si="14"/>
        <v>Credit Score, Defaulter History</v>
      </c>
    </row>
    <row r="290" spans="1:9" x14ac:dyDescent="0.25">
      <c r="A290" s="4" t="str">
        <f>RAW_DATA!A290</f>
        <v>APP289</v>
      </c>
      <c r="B290" s="4" t="b">
        <f>AND(RAW_DATA!B290&gt;=21,RAW_DATA!B290&lt;=60)</f>
        <v>0</v>
      </c>
      <c r="C290" s="4" t="b">
        <f>RAW_DATA!C290&gt;=300000</f>
        <v>1</v>
      </c>
      <c r="D290" s="4" t="b">
        <f>RAW_DATA!F290&gt;=650</f>
        <v>0</v>
      </c>
      <c r="E290" s="4" t="b">
        <f>RAW_DATA!E290&gt;=1</f>
        <v>0</v>
      </c>
      <c r="F290" s="4" t="b">
        <f>RAW_DATA!L290="No"</f>
        <v>1</v>
      </c>
      <c r="G290" s="4" t="b">
        <f t="shared" si="12"/>
        <v>0</v>
      </c>
      <c r="H290" s="4" t="str">
        <f t="shared" si="13"/>
        <v>INELIGIBLE</v>
      </c>
      <c r="I290" s="4" t="str">
        <f t="shared" si="14"/>
        <v>Age, Credit Score, Employment</v>
      </c>
    </row>
    <row r="291" spans="1:9" x14ac:dyDescent="0.25">
      <c r="A291" s="4" t="str">
        <f>RAW_DATA!A291</f>
        <v>APP290</v>
      </c>
      <c r="B291" s="4" t="b">
        <f>AND(RAW_DATA!B291&gt;=21,RAW_DATA!B291&lt;=60)</f>
        <v>1</v>
      </c>
      <c r="C291" s="4" t="b">
        <f>RAW_DATA!C291&gt;=300000</f>
        <v>0</v>
      </c>
      <c r="D291" s="4" t="b">
        <f>RAW_DATA!F291&gt;=650</f>
        <v>0</v>
      </c>
      <c r="E291" s="4" t="b">
        <f>RAW_DATA!E291&gt;=1</f>
        <v>1</v>
      </c>
      <c r="F291" s="4" t="b">
        <f>RAW_DATA!L291="No"</f>
        <v>1</v>
      </c>
      <c r="G291" s="4" t="b">
        <f t="shared" si="12"/>
        <v>0</v>
      </c>
      <c r="H291" s="4" t="str">
        <f t="shared" si="13"/>
        <v>INELIGIBLE</v>
      </c>
      <c r="I291" s="4" t="str">
        <f t="shared" si="14"/>
        <v>Income, Credit Score</v>
      </c>
    </row>
    <row r="292" spans="1:9" x14ac:dyDescent="0.25">
      <c r="A292" s="4" t="str">
        <f>RAW_DATA!A292</f>
        <v>APP291</v>
      </c>
      <c r="B292" s="4" t="b">
        <f>AND(RAW_DATA!B292&gt;=21,RAW_DATA!B292&lt;=60)</f>
        <v>1</v>
      </c>
      <c r="C292" s="4" t="b">
        <f>RAW_DATA!C292&gt;=300000</f>
        <v>1</v>
      </c>
      <c r="D292" s="4" t="b">
        <f>RAW_DATA!F292&gt;=650</f>
        <v>0</v>
      </c>
      <c r="E292" s="4" t="b">
        <f>RAW_DATA!E292&gt;=1</f>
        <v>0</v>
      </c>
      <c r="F292" s="4" t="b">
        <f>RAW_DATA!L292="No"</f>
        <v>1</v>
      </c>
      <c r="G292" s="4" t="b">
        <f t="shared" si="12"/>
        <v>0</v>
      </c>
      <c r="H292" s="4" t="str">
        <f t="shared" si="13"/>
        <v>INELIGIBLE</v>
      </c>
      <c r="I292" s="4" t="str">
        <f t="shared" si="14"/>
        <v>Credit Score, Employment</v>
      </c>
    </row>
    <row r="293" spans="1:9" x14ac:dyDescent="0.25">
      <c r="A293" s="4" t="str">
        <f>RAW_DATA!A293</f>
        <v>APP292</v>
      </c>
      <c r="B293" s="4" t="b">
        <f>AND(RAW_DATA!B293&gt;=21,RAW_DATA!B293&lt;=60)</f>
        <v>1</v>
      </c>
      <c r="C293" s="4" t="b">
        <f>RAW_DATA!C293&gt;=300000</f>
        <v>1</v>
      </c>
      <c r="D293" s="4" t="b">
        <f>RAW_DATA!F293&gt;=650</f>
        <v>0</v>
      </c>
      <c r="E293" s="4" t="b">
        <f>RAW_DATA!E293&gt;=1</f>
        <v>1</v>
      </c>
      <c r="F293" s="4" t="b">
        <f>RAW_DATA!L293="No"</f>
        <v>0</v>
      </c>
      <c r="G293" s="4" t="b">
        <f t="shared" si="12"/>
        <v>0</v>
      </c>
      <c r="H293" s="4" t="str">
        <f t="shared" si="13"/>
        <v>INELIGIBLE</v>
      </c>
      <c r="I293" s="4" t="str">
        <f t="shared" si="14"/>
        <v>Credit Score, Defaulter History</v>
      </c>
    </row>
    <row r="294" spans="1:9" x14ac:dyDescent="0.25">
      <c r="A294" s="4" t="str">
        <f>RAW_DATA!A294</f>
        <v>APP293</v>
      </c>
      <c r="B294" s="4" t="b">
        <f>AND(RAW_DATA!B294&gt;=21,RAW_DATA!B294&lt;=60)</f>
        <v>0</v>
      </c>
      <c r="C294" s="4" t="b">
        <f>RAW_DATA!C294&gt;=300000</f>
        <v>1</v>
      </c>
      <c r="D294" s="4" t="b">
        <f>RAW_DATA!F294&gt;=650</f>
        <v>1</v>
      </c>
      <c r="E294" s="4" t="b">
        <f>RAW_DATA!E294&gt;=1</f>
        <v>1</v>
      </c>
      <c r="F294" s="4" t="b">
        <f>RAW_DATA!L294="No"</f>
        <v>1</v>
      </c>
      <c r="G294" s="4" t="b">
        <f t="shared" si="12"/>
        <v>0</v>
      </c>
      <c r="H294" s="4" t="str">
        <f t="shared" si="13"/>
        <v>INELIGIBLE</v>
      </c>
      <c r="I294" s="4" t="str">
        <f t="shared" si="14"/>
        <v>Age</v>
      </c>
    </row>
    <row r="295" spans="1:9" x14ac:dyDescent="0.25">
      <c r="A295" s="4" t="str">
        <f>RAW_DATA!A295</f>
        <v>APP294</v>
      </c>
      <c r="B295" s="4" t="b">
        <f>AND(RAW_DATA!B295&gt;=21,RAW_DATA!B295&lt;=60)</f>
        <v>1</v>
      </c>
      <c r="C295" s="4" t="b">
        <f>RAW_DATA!C295&gt;=300000</f>
        <v>1</v>
      </c>
      <c r="D295" s="4" t="b">
        <f>RAW_DATA!F295&gt;=650</f>
        <v>0</v>
      </c>
      <c r="E295" s="4" t="b">
        <f>RAW_DATA!E295&gt;=1</f>
        <v>1</v>
      </c>
      <c r="F295" s="4" t="b">
        <f>RAW_DATA!L295="No"</f>
        <v>1</v>
      </c>
      <c r="G295" s="4" t="b">
        <f t="shared" si="12"/>
        <v>0</v>
      </c>
      <c r="H295" s="4" t="str">
        <f t="shared" si="13"/>
        <v>INELIGIBLE</v>
      </c>
      <c r="I295" s="4" t="str">
        <f t="shared" si="14"/>
        <v>Credit Score</v>
      </c>
    </row>
    <row r="296" spans="1:9" x14ac:dyDescent="0.25">
      <c r="A296" s="4" t="str">
        <f>RAW_DATA!A296</f>
        <v>APP295</v>
      </c>
      <c r="B296" s="4" t="b">
        <f>AND(RAW_DATA!B296&gt;=21,RAW_DATA!B296&lt;=60)</f>
        <v>1</v>
      </c>
      <c r="C296" s="4" t="b">
        <f>RAW_DATA!C296&gt;=300000</f>
        <v>1</v>
      </c>
      <c r="D296" s="4" t="b">
        <f>RAW_DATA!F296&gt;=650</f>
        <v>1</v>
      </c>
      <c r="E296" s="4" t="b">
        <f>RAW_DATA!E296&gt;=1</f>
        <v>1</v>
      </c>
      <c r="F296" s="4" t="b">
        <f>RAW_DATA!L296="No"</f>
        <v>1</v>
      </c>
      <c r="G296" s="4" t="b">
        <f t="shared" si="12"/>
        <v>1</v>
      </c>
      <c r="H296" s="4" t="str">
        <f t="shared" si="13"/>
        <v>ELIGIBLE</v>
      </c>
      <c r="I296" s="4" t="str">
        <f t="shared" si="14"/>
        <v/>
      </c>
    </row>
    <row r="297" spans="1:9" x14ac:dyDescent="0.25">
      <c r="A297" s="4" t="str">
        <f>RAW_DATA!A297</f>
        <v>APP296</v>
      </c>
      <c r="B297" s="4" t="b">
        <f>AND(RAW_DATA!B297&gt;=21,RAW_DATA!B297&lt;=60)</f>
        <v>1</v>
      </c>
      <c r="C297" s="4" t="b">
        <f>RAW_DATA!C297&gt;=300000</f>
        <v>1</v>
      </c>
      <c r="D297" s="4" t="b">
        <f>RAW_DATA!F297&gt;=650</f>
        <v>1</v>
      </c>
      <c r="E297" s="4" t="b">
        <f>RAW_DATA!E297&gt;=1</f>
        <v>1</v>
      </c>
      <c r="F297" s="4" t="b">
        <f>RAW_DATA!L297="No"</f>
        <v>1</v>
      </c>
      <c r="G297" s="4" t="b">
        <f t="shared" si="12"/>
        <v>1</v>
      </c>
      <c r="H297" s="4" t="str">
        <f t="shared" si="13"/>
        <v>ELIGIBLE</v>
      </c>
      <c r="I297" s="4" t="str">
        <f t="shared" si="14"/>
        <v/>
      </c>
    </row>
    <row r="298" spans="1:9" x14ac:dyDescent="0.25">
      <c r="A298" s="4" t="str">
        <f>RAW_DATA!A298</f>
        <v>APP297</v>
      </c>
      <c r="B298" s="4" t="b">
        <f>AND(RAW_DATA!B298&gt;=21,RAW_DATA!B298&lt;=60)</f>
        <v>1</v>
      </c>
      <c r="C298" s="4" t="b">
        <f>RAW_DATA!C298&gt;=300000</f>
        <v>1</v>
      </c>
      <c r="D298" s="4" t="b">
        <f>RAW_DATA!F298&gt;=650</f>
        <v>0</v>
      </c>
      <c r="E298" s="4" t="b">
        <f>RAW_DATA!E298&gt;=1</f>
        <v>1</v>
      </c>
      <c r="F298" s="4" t="b">
        <f>RAW_DATA!L298="No"</f>
        <v>1</v>
      </c>
      <c r="G298" s="4" t="b">
        <f t="shared" si="12"/>
        <v>0</v>
      </c>
      <c r="H298" s="4" t="str">
        <f t="shared" si="13"/>
        <v>INELIGIBLE</v>
      </c>
      <c r="I298" s="4" t="str">
        <f t="shared" si="14"/>
        <v>Credit Score</v>
      </c>
    </row>
    <row r="299" spans="1:9" x14ac:dyDescent="0.25">
      <c r="A299" s="4" t="str">
        <f>RAW_DATA!A299</f>
        <v>APP298</v>
      </c>
      <c r="B299" s="4" t="b">
        <f>AND(RAW_DATA!B299&gt;=21,RAW_DATA!B299&lt;=60)</f>
        <v>0</v>
      </c>
      <c r="C299" s="4" t="b">
        <f>RAW_DATA!C299&gt;=300000</f>
        <v>1</v>
      </c>
      <c r="D299" s="4" t="b">
        <f>RAW_DATA!F299&gt;=650</f>
        <v>0</v>
      </c>
      <c r="E299" s="4" t="b">
        <f>RAW_DATA!E299&gt;=1</f>
        <v>1</v>
      </c>
      <c r="F299" s="4" t="b">
        <f>RAW_DATA!L299="No"</f>
        <v>1</v>
      </c>
      <c r="G299" s="4" t="b">
        <f t="shared" si="12"/>
        <v>0</v>
      </c>
      <c r="H299" s="4" t="str">
        <f t="shared" si="13"/>
        <v>INELIGIBLE</v>
      </c>
      <c r="I299" s="4" t="str">
        <f t="shared" si="14"/>
        <v>Age, Credit Score</v>
      </c>
    </row>
    <row r="300" spans="1:9" x14ac:dyDescent="0.25">
      <c r="A300" s="4" t="str">
        <f>RAW_DATA!A300</f>
        <v>APP299</v>
      </c>
      <c r="B300" s="4" t="b">
        <f>AND(RAW_DATA!B300&gt;=21,RAW_DATA!B300&lt;=60)</f>
        <v>1</v>
      </c>
      <c r="C300" s="4" t="b">
        <f>RAW_DATA!C300&gt;=300000</f>
        <v>0</v>
      </c>
      <c r="D300" s="4" t="b">
        <f>RAW_DATA!F300&gt;=650</f>
        <v>0</v>
      </c>
      <c r="E300" s="4" t="b">
        <f>RAW_DATA!E300&gt;=1</f>
        <v>0</v>
      </c>
      <c r="F300" s="4" t="b">
        <f>RAW_DATA!L300="No"</f>
        <v>1</v>
      </c>
      <c r="G300" s="4" t="b">
        <f t="shared" si="12"/>
        <v>0</v>
      </c>
      <c r="H300" s="4" t="str">
        <f t="shared" si="13"/>
        <v>INELIGIBLE</v>
      </c>
      <c r="I300" s="4" t="str">
        <f t="shared" si="14"/>
        <v>Income, Credit Score, Employment</v>
      </c>
    </row>
    <row r="301" spans="1:9" x14ac:dyDescent="0.25">
      <c r="A301" s="4" t="str">
        <f>RAW_DATA!A301</f>
        <v>APP300</v>
      </c>
      <c r="B301" s="4" t="b">
        <f>AND(RAW_DATA!B301&gt;=21,RAW_DATA!B301&lt;=60)</f>
        <v>1</v>
      </c>
      <c r="C301" s="4" t="b">
        <f>RAW_DATA!C301&gt;=300000</f>
        <v>1</v>
      </c>
      <c r="D301" s="4" t="b">
        <f>RAW_DATA!F301&gt;=650</f>
        <v>1</v>
      </c>
      <c r="E301" s="4" t="b">
        <f>RAW_DATA!E301&gt;=1</f>
        <v>1</v>
      </c>
      <c r="F301" s="4" t="b">
        <f>RAW_DATA!L301="No"</f>
        <v>1</v>
      </c>
      <c r="G301" s="4" t="b">
        <f t="shared" si="12"/>
        <v>1</v>
      </c>
      <c r="H301" s="4" t="str">
        <f t="shared" si="13"/>
        <v>ELIGIBLE</v>
      </c>
      <c r="I301" s="4" t="str">
        <f t="shared" si="14"/>
        <v/>
      </c>
    </row>
    <row r="302" spans="1:9" x14ac:dyDescent="0.25">
      <c r="A302" s="4" t="str">
        <f>RAW_DATA!A302</f>
        <v>APP301</v>
      </c>
      <c r="B302" s="4" t="b">
        <f>AND(RAW_DATA!B302&gt;=21,RAW_DATA!B302&lt;=60)</f>
        <v>1</v>
      </c>
      <c r="C302" s="4" t="b">
        <f>RAW_DATA!C302&gt;=300000</f>
        <v>1</v>
      </c>
      <c r="D302" s="4" t="b">
        <f>RAW_DATA!F302&gt;=650</f>
        <v>0</v>
      </c>
      <c r="E302" s="4" t="b">
        <f>RAW_DATA!E302&gt;=1</f>
        <v>1</v>
      </c>
      <c r="F302" s="4" t="b">
        <f>RAW_DATA!L302="No"</f>
        <v>0</v>
      </c>
      <c r="G302" s="4" t="b">
        <f t="shared" si="12"/>
        <v>0</v>
      </c>
      <c r="H302" s="4" t="str">
        <f t="shared" si="13"/>
        <v>INELIGIBLE</v>
      </c>
      <c r="I302" s="4" t="str">
        <f t="shared" si="14"/>
        <v>Credit Score, Defaulter History</v>
      </c>
    </row>
    <row r="303" spans="1:9" x14ac:dyDescent="0.25">
      <c r="A303" s="4" t="str">
        <f>RAW_DATA!A303</f>
        <v>APP302</v>
      </c>
      <c r="B303" s="4" t="b">
        <f>AND(RAW_DATA!B303&gt;=21,RAW_DATA!B303&lt;=60)</f>
        <v>1</v>
      </c>
      <c r="C303" s="4" t="b">
        <f>RAW_DATA!C303&gt;=300000</f>
        <v>1</v>
      </c>
      <c r="D303" s="4" t="b">
        <f>RAW_DATA!F303&gt;=650</f>
        <v>0</v>
      </c>
      <c r="E303" s="4" t="b">
        <f>RAW_DATA!E303&gt;=1</f>
        <v>1</v>
      </c>
      <c r="F303" s="4" t="b">
        <f>RAW_DATA!L303="No"</f>
        <v>0</v>
      </c>
      <c r="G303" s="4" t="b">
        <f t="shared" si="12"/>
        <v>0</v>
      </c>
      <c r="H303" s="4" t="str">
        <f t="shared" si="13"/>
        <v>INELIGIBLE</v>
      </c>
      <c r="I303" s="4" t="str">
        <f t="shared" si="14"/>
        <v>Credit Score, Defaulter History</v>
      </c>
    </row>
    <row r="304" spans="1:9" x14ac:dyDescent="0.25">
      <c r="A304" s="4" t="str">
        <f>RAW_DATA!A304</f>
        <v>APP303</v>
      </c>
      <c r="B304" s="4" t="b">
        <f>AND(RAW_DATA!B304&gt;=21,RAW_DATA!B304&lt;=60)</f>
        <v>1</v>
      </c>
      <c r="C304" s="4" t="b">
        <f>RAW_DATA!C304&gt;=300000</f>
        <v>1</v>
      </c>
      <c r="D304" s="4" t="b">
        <f>RAW_DATA!F304&gt;=650</f>
        <v>0</v>
      </c>
      <c r="E304" s="4" t="b">
        <f>RAW_DATA!E304&gt;=1</f>
        <v>0</v>
      </c>
      <c r="F304" s="4" t="b">
        <f>RAW_DATA!L304="No"</f>
        <v>1</v>
      </c>
      <c r="G304" s="4" t="b">
        <f t="shared" si="12"/>
        <v>0</v>
      </c>
      <c r="H304" s="4" t="str">
        <f t="shared" si="13"/>
        <v>INELIGIBLE</v>
      </c>
      <c r="I304" s="4" t="str">
        <f t="shared" si="14"/>
        <v>Credit Score, Employment</v>
      </c>
    </row>
    <row r="305" spans="1:9" x14ac:dyDescent="0.25">
      <c r="A305" s="4" t="str">
        <f>RAW_DATA!A305</f>
        <v>APP304</v>
      </c>
      <c r="B305" s="4" t="b">
        <f>AND(RAW_DATA!B305&gt;=21,RAW_DATA!B305&lt;=60)</f>
        <v>1</v>
      </c>
      <c r="C305" s="4" t="b">
        <f>RAW_DATA!C305&gt;=300000</f>
        <v>1</v>
      </c>
      <c r="D305" s="4" t="b">
        <f>RAW_DATA!F305&gt;=650</f>
        <v>0</v>
      </c>
      <c r="E305" s="4" t="b">
        <f>RAW_DATA!E305&gt;=1</f>
        <v>1</v>
      </c>
      <c r="F305" s="4" t="b">
        <f>RAW_DATA!L305="No"</f>
        <v>1</v>
      </c>
      <c r="G305" s="4" t="b">
        <f t="shared" si="12"/>
        <v>0</v>
      </c>
      <c r="H305" s="4" t="str">
        <f t="shared" si="13"/>
        <v>INELIGIBLE</v>
      </c>
      <c r="I305" s="4" t="str">
        <f t="shared" si="14"/>
        <v>Credit Score</v>
      </c>
    </row>
    <row r="306" spans="1:9" x14ac:dyDescent="0.25">
      <c r="A306" s="4" t="str">
        <f>RAW_DATA!A306</f>
        <v>APP305</v>
      </c>
      <c r="B306" s="4" t="b">
        <f>AND(RAW_DATA!B306&gt;=21,RAW_DATA!B306&lt;=60)</f>
        <v>1</v>
      </c>
      <c r="C306" s="4" t="b">
        <f>RAW_DATA!C306&gt;=300000</f>
        <v>1</v>
      </c>
      <c r="D306" s="4" t="b">
        <f>RAW_DATA!F306&gt;=650</f>
        <v>0</v>
      </c>
      <c r="E306" s="4" t="b">
        <f>RAW_DATA!E306&gt;=1</f>
        <v>1</v>
      </c>
      <c r="F306" s="4" t="b">
        <f>RAW_DATA!L306="No"</f>
        <v>1</v>
      </c>
      <c r="G306" s="4" t="b">
        <f t="shared" si="12"/>
        <v>0</v>
      </c>
      <c r="H306" s="4" t="str">
        <f t="shared" si="13"/>
        <v>INELIGIBLE</v>
      </c>
      <c r="I306" s="4" t="str">
        <f t="shared" si="14"/>
        <v>Credit Score</v>
      </c>
    </row>
    <row r="307" spans="1:9" x14ac:dyDescent="0.25">
      <c r="A307" s="4" t="str">
        <f>RAW_DATA!A307</f>
        <v>APP306</v>
      </c>
      <c r="B307" s="4" t="b">
        <f>AND(RAW_DATA!B307&gt;=21,RAW_DATA!B307&lt;=60)</f>
        <v>1</v>
      </c>
      <c r="C307" s="4" t="b">
        <f>RAW_DATA!C307&gt;=300000</f>
        <v>1</v>
      </c>
      <c r="D307" s="4" t="b">
        <f>RAW_DATA!F307&gt;=650</f>
        <v>1</v>
      </c>
      <c r="E307" s="4" t="b">
        <f>RAW_DATA!E307&gt;=1</f>
        <v>1</v>
      </c>
      <c r="F307" s="4" t="b">
        <f>RAW_DATA!L307="No"</f>
        <v>1</v>
      </c>
      <c r="G307" s="4" t="b">
        <f t="shared" si="12"/>
        <v>1</v>
      </c>
      <c r="H307" s="4" t="str">
        <f t="shared" si="13"/>
        <v>ELIGIBLE</v>
      </c>
      <c r="I307" s="4" t="str">
        <f t="shared" si="14"/>
        <v/>
      </c>
    </row>
    <row r="308" spans="1:9" x14ac:dyDescent="0.25">
      <c r="A308" s="4" t="str">
        <f>RAW_DATA!A308</f>
        <v>APP307</v>
      </c>
      <c r="B308" s="4" t="b">
        <f>AND(RAW_DATA!B308&gt;=21,RAW_DATA!B308&lt;=60)</f>
        <v>1</v>
      </c>
      <c r="C308" s="4" t="b">
        <f>RAW_DATA!C308&gt;=300000</f>
        <v>1</v>
      </c>
      <c r="D308" s="4" t="b">
        <f>RAW_DATA!F308&gt;=650</f>
        <v>0</v>
      </c>
      <c r="E308" s="4" t="b">
        <f>RAW_DATA!E308&gt;=1</f>
        <v>1</v>
      </c>
      <c r="F308" s="4" t="b">
        <f>RAW_DATA!L308="No"</f>
        <v>1</v>
      </c>
      <c r="G308" s="4" t="b">
        <f t="shared" si="12"/>
        <v>0</v>
      </c>
      <c r="H308" s="4" t="str">
        <f t="shared" si="13"/>
        <v>INELIGIBLE</v>
      </c>
      <c r="I308" s="4" t="str">
        <f t="shared" si="14"/>
        <v>Credit Score</v>
      </c>
    </row>
    <row r="309" spans="1:9" x14ac:dyDescent="0.25">
      <c r="A309" s="4" t="str">
        <f>RAW_DATA!A309</f>
        <v>APP308</v>
      </c>
      <c r="B309" s="4" t="b">
        <f>AND(RAW_DATA!B309&gt;=21,RAW_DATA!B309&lt;=60)</f>
        <v>1</v>
      </c>
      <c r="C309" s="4" t="b">
        <f>RAW_DATA!C309&gt;=300000</f>
        <v>1</v>
      </c>
      <c r="D309" s="4" t="b">
        <f>RAW_DATA!F309&gt;=650</f>
        <v>1</v>
      </c>
      <c r="E309" s="4" t="b">
        <f>RAW_DATA!E309&gt;=1</f>
        <v>1</v>
      </c>
      <c r="F309" s="4" t="b">
        <f>RAW_DATA!L309="No"</f>
        <v>0</v>
      </c>
      <c r="G309" s="4" t="b">
        <f t="shared" si="12"/>
        <v>0</v>
      </c>
      <c r="H309" s="4" t="str">
        <f t="shared" si="13"/>
        <v>INELIGIBLE</v>
      </c>
      <c r="I309" s="4" t="str">
        <f t="shared" si="14"/>
        <v>Defaulter History</v>
      </c>
    </row>
    <row r="310" spans="1:9" x14ac:dyDescent="0.25">
      <c r="A310" s="4" t="str">
        <f>RAW_DATA!A310</f>
        <v>APP309</v>
      </c>
      <c r="B310" s="4" t="b">
        <f>AND(RAW_DATA!B310&gt;=21,RAW_DATA!B310&lt;=60)</f>
        <v>0</v>
      </c>
      <c r="C310" s="4" t="b">
        <f>RAW_DATA!C310&gt;=300000</f>
        <v>1</v>
      </c>
      <c r="D310" s="4" t="b">
        <f>RAW_DATA!F310&gt;=650</f>
        <v>1</v>
      </c>
      <c r="E310" s="4" t="b">
        <f>RAW_DATA!E310&gt;=1</f>
        <v>1</v>
      </c>
      <c r="F310" s="4" t="b">
        <f>RAW_DATA!L310="No"</f>
        <v>1</v>
      </c>
      <c r="G310" s="4" t="b">
        <f t="shared" si="12"/>
        <v>0</v>
      </c>
      <c r="H310" s="4" t="str">
        <f t="shared" si="13"/>
        <v>INELIGIBLE</v>
      </c>
      <c r="I310" s="4" t="str">
        <f t="shared" si="14"/>
        <v>Age</v>
      </c>
    </row>
    <row r="311" spans="1:9" x14ac:dyDescent="0.25">
      <c r="A311" s="4" t="str">
        <f>RAW_DATA!A311</f>
        <v>APP310</v>
      </c>
      <c r="B311" s="4" t="b">
        <f>AND(RAW_DATA!B311&gt;=21,RAW_DATA!B311&lt;=60)</f>
        <v>1</v>
      </c>
      <c r="C311" s="4" t="b">
        <f>RAW_DATA!C311&gt;=300000</f>
        <v>1</v>
      </c>
      <c r="D311" s="4" t="b">
        <f>RAW_DATA!F311&gt;=650</f>
        <v>0</v>
      </c>
      <c r="E311" s="4" t="b">
        <f>RAW_DATA!E311&gt;=1</f>
        <v>1</v>
      </c>
      <c r="F311" s="4" t="b">
        <f>RAW_DATA!L311="No"</f>
        <v>1</v>
      </c>
      <c r="G311" s="4" t="b">
        <f t="shared" si="12"/>
        <v>0</v>
      </c>
      <c r="H311" s="4" t="str">
        <f t="shared" si="13"/>
        <v>INELIGIBLE</v>
      </c>
      <c r="I311" s="4" t="str">
        <f t="shared" si="14"/>
        <v>Credit Score</v>
      </c>
    </row>
    <row r="312" spans="1:9" x14ac:dyDescent="0.25">
      <c r="A312" s="4" t="str">
        <f>RAW_DATA!A312</f>
        <v>APP311</v>
      </c>
      <c r="B312" s="4" t="b">
        <f>AND(RAW_DATA!B312&gt;=21,RAW_DATA!B312&lt;=60)</f>
        <v>0</v>
      </c>
      <c r="C312" s="4" t="b">
        <f>RAW_DATA!C312&gt;=300000</f>
        <v>1</v>
      </c>
      <c r="D312" s="4" t="b">
        <f>RAW_DATA!F312&gt;=650</f>
        <v>1</v>
      </c>
      <c r="E312" s="4" t="b">
        <f>RAW_DATA!E312&gt;=1</f>
        <v>1</v>
      </c>
      <c r="F312" s="4" t="b">
        <f>RAW_DATA!L312="No"</f>
        <v>1</v>
      </c>
      <c r="G312" s="4" t="b">
        <f t="shared" si="12"/>
        <v>0</v>
      </c>
      <c r="H312" s="4" t="str">
        <f t="shared" si="13"/>
        <v>INELIGIBLE</v>
      </c>
      <c r="I312" s="4" t="str">
        <f t="shared" si="14"/>
        <v>Age</v>
      </c>
    </row>
    <row r="313" spans="1:9" x14ac:dyDescent="0.25">
      <c r="A313" s="4" t="str">
        <f>RAW_DATA!A313</f>
        <v>APP312</v>
      </c>
      <c r="B313" s="4" t="b">
        <f>AND(RAW_DATA!B313&gt;=21,RAW_DATA!B313&lt;=60)</f>
        <v>1</v>
      </c>
      <c r="C313" s="4" t="b">
        <f>RAW_DATA!C313&gt;=300000</f>
        <v>1</v>
      </c>
      <c r="D313" s="4" t="b">
        <f>RAW_DATA!F313&gt;=650</f>
        <v>0</v>
      </c>
      <c r="E313" s="4" t="b">
        <f>RAW_DATA!E313&gt;=1</f>
        <v>1</v>
      </c>
      <c r="F313" s="4" t="b">
        <f>RAW_DATA!L313="No"</f>
        <v>0</v>
      </c>
      <c r="G313" s="4" t="b">
        <f t="shared" si="12"/>
        <v>0</v>
      </c>
      <c r="H313" s="4" t="str">
        <f t="shared" si="13"/>
        <v>INELIGIBLE</v>
      </c>
      <c r="I313" s="4" t="str">
        <f t="shared" si="14"/>
        <v>Credit Score, Defaulter History</v>
      </c>
    </row>
    <row r="314" spans="1:9" x14ac:dyDescent="0.25">
      <c r="A314" s="4" t="str">
        <f>RAW_DATA!A314</f>
        <v>APP313</v>
      </c>
      <c r="B314" s="4" t="b">
        <f>AND(RAW_DATA!B314&gt;=21,RAW_DATA!B314&lt;=60)</f>
        <v>1</v>
      </c>
      <c r="C314" s="4" t="b">
        <f>RAW_DATA!C314&gt;=300000</f>
        <v>1</v>
      </c>
      <c r="D314" s="4" t="b">
        <f>RAW_DATA!F314&gt;=650</f>
        <v>0</v>
      </c>
      <c r="E314" s="4" t="b">
        <f>RAW_DATA!E314&gt;=1</f>
        <v>1</v>
      </c>
      <c r="F314" s="4" t="b">
        <f>RAW_DATA!L314="No"</f>
        <v>1</v>
      </c>
      <c r="G314" s="4" t="b">
        <f t="shared" si="12"/>
        <v>0</v>
      </c>
      <c r="H314" s="4" t="str">
        <f t="shared" si="13"/>
        <v>INELIGIBLE</v>
      </c>
      <c r="I314" s="4" t="str">
        <f t="shared" si="14"/>
        <v>Credit Score</v>
      </c>
    </row>
    <row r="315" spans="1:9" x14ac:dyDescent="0.25">
      <c r="A315" s="4" t="str">
        <f>RAW_DATA!A315</f>
        <v>APP314</v>
      </c>
      <c r="B315" s="4" t="b">
        <f>AND(RAW_DATA!B315&gt;=21,RAW_DATA!B315&lt;=60)</f>
        <v>1</v>
      </c>
      <c r="C315" s="4" t="b">
        <f>RAW_DATA!C315&gt;=300000</f>
        <v>1</v>
      </c>
      <c r="D315" s="4" t="b">
        <f>RAW_DATA!F315&gt;=650</f>
        <v>0</v>
      </c>
      <c r="E315" s="4" t="b">
        <f>RAW_DATA!E315&gt;=1</f>
        <v>0</v>
      </c>
      <c r="F315" s="4" t="b">
        <f>RAW_DATA!L315="No"</f>
        <v>1</v>
      </c>
      <c r="G315" s="4" t="b">
        <f t="shared" si="12"/>
        <v>0</v>
      </c>
      <c r="H315" s="4" t="str">
        <f t="shared" si="13"/>
        <v>INELIGIBLE</v>
      </c>
      <c r="I315" s="4" t="str">
        <f t="shared" si="14"/>
        <v>Credit Score, Employment</v>
      </c>
    </row>
    <row r="316" spans="1:9" x14ac:dyDescent="0.25">
      <c r="A316" s="4" t="str">
        <f>RAW_DATA!A316</f>
        <v>APP315</v>
      </c>
      <c r="B316" s="4" t="b">
        <f>AND(RAW_DATA!B316&gt;=21,RAW_DATA!B316&lt;=60)</f>
        <v>1</v>
      </c>
      <c r="C316" s="4" t="b">
        <f>RAW_DATA!C316&gt;=300000</f>
        <v>1</v>
      </c>
      <c r="D316" s="4" t="b">
        <f>RAW_DATA!F316&gt;=650</f>
        <v>0</v>
      </c>
      <c r="E316" s="4" t="b">
        <f>RAW_DATA!E316&gt;=1</f>
        <v>1</v>
      </c>
      <c r="F316" s="4" t="b">
        <f>RAW_DATA!L316="No"</f>
        <v>1</v>
      </c>
      <c r="G316" s="4" t="b">
        <f t="shared" si="12"/>
        <v>0</v>
      </c>
      <c r="H316" s="4" t="str">
        <f t="shared" si="13"/>
        <v>INELIGIBLE</v>
      </c>
      <c r="I316" s="4" t="str">
        <f t="shared" si="14"/>
        <v>Credit Score</v>
      </c>
    </row>
    <row r="317" spans="1:9" x14ac:dyDescent="0.25">
      <c r="A317" s="4" t="str">
        <f>RAW_DATA!A317</f>
        <v>APP316</v>
      </c>
      <c r="B317" s="4" t="b">
        <f>AND(RAW_DATA!B317&gt;=21,RAW_DATA!B317&lt;=60)</f>
        <v>1</v>
      </c>
      <c r="C317" s="4" t="b">
        <f>RAW_DATA!C317&gt;=300000</f>
        <v>1</v>
      </c>
      <c r="D317" s="4" t="b">
        <f>RAW_DATA!F317&gt;=650</f>
        <v>0</v>
      </c>
      <c r="E317" s="4" t="b">
        <f>RAW_DATA!E317&gt;=1</f>
        <v>1</v>
      </c>
      <c r="F317" s="4" t="b">
        <f>RAW_DATA!L317="No"</f>
        <v>1</v>
      </c>
      <c r="G317" s="4" t="b">
        <f t="shared" si="12"/>
        <v>0</v>
      </c>
      <c r="H317" s="4" t="str">
        <f t="shared" si="13"/>
        <v>INELIGIBLE</v>
      </c>
      <c r="I317" s="4" t="str">
        <f t="shared" si="14"/>
        <v>Credit Score</v>
      </c>
    </row>
    <row r="318" spans="1:9" x14ac:dyDescent="0.25">
      <c r="A318" s="4" t="str">
        <f>RAW_DATA!A318</f>
        <v>APP317</v>
      </c>
      <c r="B318" s="4" t="b">
        <f>AND(RAW_DATA!B318&gt;=21,RAW_DATA!B318&lt;=60)</f>
        <v>1</v>
      </c>
      <c r="C318" s="4" t="b">
        <f>RAW_DATA!C318&gt;=300000</f>
        <v>1</v>
      </c>
      <c r="D318" s="4" t="b">
        <f>RAW_DATA!F318&gt;=650</f>
        <v>0</v>
      </c>
      <c r="E318" s="4" t="b">
        <f>RAW_DATA!E318&gt;=1</f>
        <v>1</v>
      </c>
      <c r="F318" s="4" t="b">
        <f>RAW_DATA!L318="No"</f>
        <v>1</v>
      </c>
      <c r="G318" s="4" t="b">
        <f t="shared" si="12"/>
        <v>0</v>
      </c>
      <c r="H318" s="4" t="str">
        <f t="shared" si="13"/>
        <v>INELIGIBLE</v>
      </c>
      <c r="I318" s="4" t="str">
        <f t="shared" si="14"/>
        <v>Credit Score</v>
      </c>
    </row>
    <row r="319" spans="1:9" x14ac:dyDescent="0.25">
      <c r="A319" s="4" t="str">
        <f>RAW_DATA!A319</f>
        <v>APP318</v>
      </c>
      <c r="B319" s="4" t="b">
        <f>AND(RAW_DATA!B319&gt;=21,RAW_DATA!B319&lt;=60)</f>
        <v>1</v>
      </c>
      <c r="C319" s="4" t="b">
        <f>RAW_DATA!C319&gt;=300000</f>
        <v>1</v>
      </c>
      <c r="D319" s="4" t="b">
        <f>RAW_DATA!F319&gt;=650</f>
        <v>1</v>
      </c>
      <c r="E319" s="4" t="b">
        <f>RAW_DATA!E319&gt;=1</f>
        <v>1</v>
      </c>
      <c r="F319" s="4" t="b">
        <f>RAW_DATA!L319="No"</f>
        <v>1</v>
      </c>
      <c r="G319" s="4" t="b">
        <f t="shared" si="12"/>
        <v>1</v>
      </c>
      <c r="H319" s="4" t="str">
        <f t="shared" si="13"/>
        <v>ELIGIBLE</v>
      </c>
      <c r="I319" s="4" t="str">
        <f t="shared" si="14"/>
        <v/>
      </c>
    </row>
    <row r="320" spans="1:9" x14ac:dyDescent="0.25">
      <c r="A320" s="4" t="str">
        <f>RAW_DATA!A320</f>
        <v>APP319</v>
      </c>
      <c r="B320" s="4" t="b">
        <f>AND(RAW_DATA!B320&gt;=21,RAW_DATA!B320&lt;=60)</f>
        <v>0</v>
      </c>
      <c r="C320" s="4" t="b">
        <f>RAW_DATA!C320&gt;=300000</f>
        <v>0</v>
      </c>
      <c r="D320" s="4" t="b">
        <f>RAW_DATA!F320&gt;=650</f>
        <v>0</v>
      </c>
      <c r="E320" s="4" t="b">
        <f>RAW_DATA!E320&gt;=1</f>
        <v>1</v>
      </c>
      <c r="F320" s="4" t="b">
        <f>RAW_DATA!L320="No"</f>
        <v>1</v>
      </c>
      <c r="G320" s="4" t="b">
        <f t="shared" si="12"/>
        <v>0</v>
      </c>
      <c r="H320" s="4" t="str">
        <f t="shared" si="13"/>
        <v>INELIGIBLE</v>
      </c>
      <c r="I320" s="4" t="str">
        <f t="shared" si="14"/>
        <v>Age, Income, Credit Score</v>
      </c>
    </row>
    <row r="321" spans="1:9" x14ac:dyDescent="0.25">
      <c r="A321" s="4" t="str">
        <f>RAW_DATA!A321</f>
        <v>APP320</v>
      </c>
      <c r="B321" s="4" t="b">
        <f>AND(RAW_DATA!B321&gt;=21,RAW_DATA!B321&lt;=60)</f>
        <v>1</v>
      </c>
      <c r="C321" s="4" t="b">
        <f>RAW_DATA!C321&gt;=300000</f>
        <v>1</v>
      </c>
      <c r="D321" s="4" t="b">
        <f>RAW_DATA!F321&gt;=650</f>
        <v>1</v>
      </c>
      <c r="E321" s="4" t="b">
        <f>RAW_DATA!E321&gt;=1</f>
        <v>1</v>
      </c>
      <c r="F321" s="4" t="b">
        <f>RAW_DATA!L321="No"</f>
        <v>1</v>
      </c>
      <c r="G321" s="4" t="b">
        <f t="shared" si="12"/>
        <v>1</v>
      </c>
      <c r="H321" s="4" t="str">
        <f t="shared" si="13"/>
        <v>ELIGIBLE</v>
      </c>
      <c r="I321" s="4" t="str">
        <f t="shared" si="14"/>
        <v/>
      </c>
    </row>
    <row r="322" spans="1:9" x14ac:dyDescent="0.25">
      <c r="A322" s="4" t="str">
        <f>RAW_DATA!A322</f>
        <v>APP321</v>
      </c>
      <c r="B322" s="4" t="b">
        <f>AND(RAW_DATA!B322&gt;=21,RAW_DATA!B322&lt;=60)</f>
        <v>1</v>
      </c>
      <c r="C322" s="4" t="b">
        <f>RAW_DATA!C322&gt;=300000</f>
        <v>1</v>
      </c>
      <c r="D322" s="4" t="b">
        <f>RAW_DATA!F322&gt;=650</f>
        <v>0</v>
      </c>
      <c r="E322" s="4" t="b">
        <f>RAW_DATA!E322&gt;=1</f>
        <v>1</v>
      </c>
      <c r="F322" s="4" t="b">
        <f>RAW_DATA!L322="No"</f>
        <v>1</v>
      </c>
      <c r="G322" s="4" t="b">
        <f t="shared" si="12"/>
        <v>0</v>
      </c>
      <c r="H322" s="4" t="str">
        <f t="shared" si="13"/>
        <v>INELIGIBLE</v>
      </c>
      <c r="I322" s="4" t="str">
        <f t="shared" si="14"/>
        <v>Credit Score</v>
      </c>
    </row>
    <row r="323" spans="1:9" x14ac:dyDescent="0.25">
      <c r="A323" s="4" t="str">
        <f>RAW_DATA!A323</f>
        <v>APP322</v>
      </c>
      <c r="B323" s="4" t="b">
        <f>AND(RAW_DATA!B323&gt;=21,RAW_DATA!B323&lt;=60)</f>
        <v>1</v>
      </c>
      <c r="C323" s="4" t="b">
        <f>RAW_DATA!C323&gt;=300000</f>
        <v>1</v>
      </c>
      <c r="D323" s="4" t="b">
        <f>RAW_DATA!F323&gt;=650</f>
        <v>0</v>
      </c>
      <c r="E323" s="4" t="b">
        <f>RAW_DATA!E323&gt;=1</f>
        <v>1</v>
      </c>
      <c r="F323" s="4" t="b">
        <f>RAW_DATA!L323="No"</f>
        <v>1</v>
      </c>
      <c r="G323" s="4" t="b">
        <f t="shared" ref="G323:G386" si="15">AND(B323:F323)</f>
        <v>0</v>
      </c>
      <c r="H323" s="4" t="str">
        <f t="shared" ref="H323:H386" si="16">IF(G323,"ELIGIBLE","INELIGIBLE")</f>
        <v>INELIGIBLE</v>
      </c>
      <c r="I323" s="4" t="str">
        <f t="shared" ref="I323:I386" si="17">IF(G323,"",_xlfn.TEXTJOIN(", ",TRUE,IF(B323,"","Age"),IF(C323,"","Income"),IF(D323,"","Credit Score"),IF(E323,"","Employment"),IF(F323,"","Defaulter History")))</f>
        <v>Credit Score</v>
      </c>
    </row>
    <row r="324" spans="1:9" x14ac:dyDescent="0.25">
      <c r="A324" s="4" t="str">
        <f>RAW_DATA!A324</f>
        <v>APP323</v>
      </c>
      <c r="B324" s="4" t="b">
        <f>AND(RAW_DATA!B324&gt;=21,RAW_DATA!B324&lt;=60)</f>
        <v>1</v>
      </c>
      <c r="C324" s="4" t="b">
        <f>RAW_DATA!C324&gt;=300000</f>
        <v>1</v>
      </c>
      <c r="D324" s="4" t="b">
        <f>RAW_DATA!F324&gt;=650</f>
        <v>1</v>
      </c>
      <c r="E324" s="4" t="b">
        <f>RAW_DATA!E324&gt;=1</f>
        <v>1</v>
      </c>
      <c r="F324" s="4" t="b">
        <f>RAW_DATA!L324="No"</f>
        <v>1</v>
      </c>
      <c r="G324" s="4" t="b">
        <f t="shared" si="15"/>
        <v>1</v>
      </c>
      <c r="H324" s="4" t="str">
        <f t="shared" si="16"/>
        <v>ELIGIBLE</v>
      </c>
      <c r="I324" s="4" t="str">
        <f t="shared" si="17"/>
        <v/>
      </c>
    </row>
    <row r="325" spans="1:9" x14ac:dyDescent="0.25">
      <c r="A325" s="4" t="str">
        <f>RAW_DATA!A325</f>
        <v>APP324</v>
      </c>
      <c r="B325" s="4" t="b">
        <f>AND(RAW_DATA!B325&gt;=21,RAW_DATA!B325&lt;=60)</f>
        <v>1</v>
      </c>
      <c r="C325" s="4" t="b">
        <f>RAW_DATA!C325&gt;=300000</f>
        <v>1</v>
      </c>
      <c r="D325" s="4" t="b">
        <f>RAW_DATA!F325&gt;=650</f>
        <v>0</v>
      </c>
      <c r="E325" s="4" t="b">
        <f>RAW_DATA!E325&gt;=1</f>
        <v>1</v>
      </c>
      <c r="F325" s="4" t="b">
        <f>RAW_DATA!L325="No"</f>
        <v>1</v>
      </c>
      <c r="G325" s="4" t="b">
        <f t="shared" si="15"/>
        <v>0</v>
      </c>
      <c r="H325" s="4" t="str">
        <f t="shared" si="16"/>
        <v>INELIGIBLE</v>
      </c>
      <c r="I325" s="4" t="str">
        <f t="shared" si="17"/>
        <v>Credit Score</v>
      </c>
    </row>
    <row r="326" spans="1:9" x14ac:dyDescent="0.25">
      <c r="A326" s="4" t="str">
        <f>RAW_DATA!A326</f>
        <v>APP325</v>
      </c>
      <c r="B326" s="4" t="b">
        <f>AND(RAW_DATA!B326&gt;=21,RAW_DATA!B326&lt;=60)</f>
        <v>1</v>
      </c>
      <c r="C326" s="4" t="b">
        <f>RAW_DATA!C326&gt;=300000</f>
        <v>1</v>
      </c>
      <c r="D326" s="4" t="b">
        <f>RAW_DATA!F326&gt;=650</f>
        <v>0</v>
      </c>
      <c r="E326" s="4" t="b">
        <f>RAW_DATA!E326&gt;=1</f>
        <v>1</v>
      </c>
      <c r="F326" s="4" t="b">
        <f>RAW_DATA!L326="No"</f>
        <v>1</v>
      </c>
      <c r="G326" s="4" t="b">
        <f t="shared" si="15"/>
        <v>0</v>
      </c>
      <c r="H326" s="4" t="str">
        <f t="shared" si="16"/>
        <v>INELIGIBLE</v>
      </c>
      <c r="I326" s="4" t="str">
        <f t="shared" si="17"/>
        <v>Credit Score</v>
      </c>
    </row>
    <row r="327" spans="1:9" x14ac:dyDescent="0.25">
      <c r="A327" s="4" t="str">
        <f>RAW_DATA!A327</f>
        <v>APP326</v>
      </c>
      <c r="B327" s="4" t="b">
        <f>AND(RAW_DATA!B327&gt;=21,RAW_DATA!B327&lt;=60)</f>
        <v>1</v>
      </c>
      <c r="C327" s="4" t="b">
        <f>RAW_DATA!C327&gt;=300000</f>
        <v>1</v>
      </c>
      <c r="D327" s="4" t="b">
        <f>RAW_DATA!F327&gt;=650</f>
        <v>0</v>
      </c>
      <c r="E327" s="4" t="b">
        <f>RAW_DATA!E327&gt;=1</f>
        <v>1</v>
      </c>
      <c r="F327" s="4" t="b">
        <f>RAW_DATA!L327="No"</f>
        <v>1</v>
      </c>
      <c r="G327" s="4" t="b">
        <f t="shared" si="15"/>
        <v>0</v>
      </c>
      <c r="H327" s="4" t="str">
        <f t="shared" si="16"/>
        <v>INELIGIBLE</v>
      </c>
      <c r="I327" s="4" t="str">
        <f t="shared" si="17"/>
        <v>Credit Score</v>
      </c>
    </row>
    <row r="328" spans="1:9" x14ac:dyDescent="0.25">
      <c r="A328" s="4" t="str">
        <f>RAW_DATA!A328</f>
        <v>APP327</v>
      </c>
      <c r="B328" s="4" t="b">
        <f>AND(RAW_DATA!B328&gt;=21,RAW_DATA!B328&lt;=60)</f>
        <v>1</v>
      </c>
      <c r="C328" s="4" t="b">
        <f>RAW_DATA!C328&gt;=300000</f>
        <v>1</v>
      </c>
      <c r="D328" s="4" t="b">
        <f>RAW_DATA!F328&gt;=650</f>
        <v>0</v>
      </c>
      <c r="E328" s="4" t="b">
        <f>RAW_DATA!E328&gt;=1</f>
        <v>1</v>
      </c>
      <c r="F328" s="4" t="b">
        <f>RAW_DATA!L328="No"</f>
        <v>1</v>
      </c>
      <c r="G328" s="4" t="b">
        <f t="shared" si="15"/>
        <v>0</v>
      </c>
      <c r="H328" s="4" t="str">
        <f t="shared" si="16"/>
        <v>INELIGIBLE</v>
      </c>
      <c r="I328" s="4" t="str">
        <f t="shared" si="17"/>
        <v>Credit Score</v>
      </c>
    </row>
    <row r="329" spans="1:9" x14ac:dyDescent="0.25">
      <c r="A329" s="4" t="str">
        <f>RAW_DATA!A329</f>
        <v>APP328</v>
      </c>
      <c r="B329" s="4" t="b">
        <f>AND(RAW_DATA!B329&gt;=21,RAW_DATA!B329&lt;=60)</f>
        <v>1</v>
      </c>
      <c r="C329" s="4" t="b">
        <f>RAW_DATA!C329&gt;=300000</f>
        <v>1</v>
      </c>
      <c r="D329" s="4" t="b">
        <f>RAW_DATA!F329&gt;=650</f>
        <v>0</v>
      </c>
      <c r="E329" s="4" t="b">
        <f>RAW_DATA!E329&gt;=1</f>
        <v>1</v>
      </c>
      <c r="F329" s="4" t="b">
        <f>RAW_DATA!L329="No"</f>
        <v>1</v>
      </c>
      <c r="G329" s="4" t="b">
        <f t="shared" si="15"/>
        <v>0</v>
      </c>
      <c r="H329" s="4" t="str">
        <f t="shared" si="16"/>
        <v>INELIGIBLE</v>
      </c>
      <c r="I329" s="4" t="str">
        <f t="shared" si="17"/>
        <v>Credit Score</v>
      </c>
    </row>
    <row r="330" spans="1:9" x14ac:dyDescent="0.25">
      <c r="A330" s="4" t="str">
        <f>RAW_DATA!A330</f>
        <v>APP329</v>
      </c>
      <c r="B330" s="4" t="b">
        <f>AND(RAW_DATA!B330&gt;=21,RAW_DATA!B330&lt;=60)</f>
        <v>1</v>
      </c>
      <c r="C330" s="4" t="b">
        <f>RAW_DATA!C330&gt;=300000</f>
        <v>1</v>
      </c>
      <c r="D330" s="4" t="b">
        <f>RAW_DATA!F330&gt;=650</f>
        <v>0</v>
      </c>
      <c r="E330" s="4" t="b">
        <f>RAW_DATA!E330&gt;=1</f>
        <v>1</v>
      </c>
      <c r="F330" s="4" t="b">
        <f>RAW_DATA!L330="No"</f>
        <v>1</v>
      </c>
      <c r="G330" s="4" t="b">
        <f t="shared" si="15"/>
        <v>0</v>
      </c>
      <c r="H330" s="4" t="str">
        <f t="shared" si="16"/>
        <v>INELIGIBLE</v>
      </c>
      <c r="I330" s="4" t="str">
        <f t="shared" si="17"/>
        <v>Credit Score</v>
      </c>
    </row>
    <row r="331" spans="1:9" x14ac:dyDescent="0.25">
      <c r="A331" s="4" t="str">
        <f>RAW_DATA!A331</f>
        <v>APP330</v>
      </c>
      <c r="B331" s="4" t="b">
        <f>AND(RAW_DATA!B331&gt;=21,RAW_DATA!B331&lt;=60)</f>
        <v>1</v>
      </c>
      <c r="C331" s="4" t="b">
        <f>RAW_DATA!C331&gt;=300000</f>
        <v>1</v>
      </c>
      <c r="D331" s="4" t="b">
        <f>RAW_DATA!F331&gt;=650</f>
        <v>1</v>
      </c>
      <c r="E331" s="4" t="b">
        <f>RAW_DATA!E331&gt;=1</f>
        <v>1</v>
      </c>
      <c r="F331" s="4" t="b">
        <f>RAW_DATA!L331="No"</f>
        <v>0</v>
      </c>
      <c r="G331" s="4" t="b">
        <f t="shared" si="15"/>
        <v>0</v>
      </c>
      <c r="H331" s="4" t="str">
        <f t="shared" si="16"/>
        <v>INELIGIBLE</v>
      </c>
      <c r="I331" s="4" t="str">
        <f t="shared" si="17"/>
        <v>Defaulter History</v>
      </c>
    </row>
    <row r="332" spans="1:9" x14ac:dyDescent="0.25">
      <c r="A332" s="4" t="str">
        <f>RAW_DATA!A332</f>
        <v>APP331</v>
      </c>
      <c r="B332" s="4" t="b">
        <f>AND(RAW_DATA!B332&gt;=21,RAW_DATA!B332&lt;=60)</f>
        <v>1</v>
      </c>
      <c r="C332" s="4" t="b">
        <f>RAW_DATA!C332&gt;=300000</f>
        <v>1</v>
      </c>
      <c r="D332" s="4" t="b">
        <f>RAW_DATA!F332&gt;=650</f>
        <v>0</v>
      </c>
      <c r="E332" s="4" t="b">
        <f>RAW_DATA!E332&gt;=1</f>
        <v>1</v>
      </c>
      <c r="F332" s="4" t="b">
        <f>RAW_DATA!L332="No"</f>
        <v>1</v>
      </c>
      <c r="G332" s="4" t="b">
        <f t="shared" si="15"/>
        <v>0</v>
      </c>
      <c r="H332" s="4" t="str">
        <f t="shared" si="16"/>
        <v>INELIGIBLE</v>
      </c>
      <c r="I332" s="4" t="str">
        <f t="shared" si="17"/>
        <v>Credit Score</v>
      </c>
    </row>
    <row r="333" spans="1:9" x14ac:dyDescent="0.25">
      <c r="A333" s="4" t="str">
        <f>RAW_DATA!A333</f>
        <v>APP332</v>
      </c>
      <c r="B333" s="4" t="b">
        <f>AND(RAW_DATA!B333&gt;=21,RAW_DATA!B333&lt;=60)</f>
        <v>1</v>
      </c>
      <c r="C333" s="4" t="b">
        <f>RAW_DATA!C333&gt;=300000</f>
        <v>1</v>
      </c>
      <c r="D333" s="4" t="b">
        <f>RAW_DATA!F333&gt;=650</f>
        <v>0</v>
      </c>
      <c r="E333" s="4" t="b">
        <f>RAW_DATA!E333&gt;=1</f>
        <v>1</v>
      </c>
      <c r="F333" s="4" t="b">
        <f>RAW_DATA!L333="No"</f>
        <v>1</v>
      </c>
      <c r="G333" s="4" t="b">
        <f t="shared" si="15"/>
        <v>0</v>
      </c>
      <c r="H333" s="4" t="str">
        <f t="shared" si="16"/>
        <v>INELIGIBLE</v>
      </c>
      <c r="I333" s="4" t="str">
        <f t="shared" si="17"/>
        <v>Credit Score</v>
      </c>
    </row>
    <row r="334" spans="1:9" x14ac:dyDescent="0.25">
      <c r="A334" s="4" t="str">
        <f>RAW_DATA!A334</f>
        <v>APP333</v>
      </c>
      <c r="B334" s="4" t="b">
        <f>AND(RAW_DATA!B334&gt;=21,RAW_DATA!B334&lt;=60)</f>
        <v>1</v>
      </c>
      <c r="C334" s="4" t="b">
        <f>RAW_DATA!C334&gt;=300000</f>
        <v>1</v>
      </c>
      <c r="D334" s="4" t="b">
        <f>RAW_DATA!F334&gt;=650</f>
        <v>1</v>
      </c>
      <c r="E334" s="4" t="b">
        <f>RAW_DATA!E334&gt;=1</f>
        <v>1</v>
      </c>
      <c r="F334" s="4" t="b">
        <f>RAW_DATA!L334="No"</f>
        <v>1</v>
      </c>
      <c r="G334" s="4" t="b">
        <f t="shared" si="15"/>
        <v>1</v>
      </c>
      <c r="H334" s="4" t="str">
        <f t="shared" si="16"/>
        <v>ELIGIBLE</v>
      </c>
      <c r="I334" s="4" t="str">
        <f t="shared" si="17"/>
        <v/>
      </c>
    </row>
    <row r="335" spans="1:9" x14ac:dyDescent="0.25">
      <c r="A335" s="4" t="str">
        <f>RAW_DATA!A335</f>
        <v>APP334</v>
      </c>
      <c r="B335" s="4" t="b">
        <f>AND(RAW_DATA!B335&gt;=21,RAW_DATA!B335&lt;=60)</f>
        <v>1</v>
      </c>
      <c r="C335" s="4" t="b">
        <f>RAW_DATA!C335&gt;=300000</f>
        <v>1</v>
      </c>
      <c r="D335" s="4" t="b">
        <f>RAW_DATA!F335&gt;=650</f>
        <v>0</v>
      </c>
      <c r="E335" s="4" t="b">
        <f>RAW_DATA!E335&gt;=1</f>
        <v>1</v>
      </c>
      <c r="F335" s="4" t="b">
        <f>RAW_DATA!L335="No"</f>
        <v>0</v>
      </c>
      <c r="G335" s="4" t="b">
        <f t="shared" si="15"/>
        <v>0</v>
      </c>
      <c r="H335" s="4" t="str">
        <f t="shared" si="16"/>
        <v>INELIGIBLE</v>
      </c>
      <c r="I335" s="4" t="str">
        <f t="shared" si="17"/>
        <v>Credit Score, Defaulter History</v>
      </c>
    </row>
    <row r="336" spans="1:9" x14ac:dyDescent="0.25">
      <c r="A336" s="4" t="str">
        <f>RAW_DATA!A336</f>
        <v>APP335</v>
      </c>
      <c r="B336" s="4" t="b">
        <f>AND(RAW_DATA!B336&gt;=21,RAW_DATA!B336&lt;=60)</f>
        <v>1</v>
      </c>
      <c r="C336" s="4" t="b">
        <f>RAW_DATA!C336&gt;=300000</f>
        <v>1</v>
      </c>
      <c r="D336" s="4" t="b">
        <f>RAW_DATA!F336&gt;=650</f>
        <v>1</v>
      </c>
      <c r="E336" s="4" t="b">
        <f>RAW_DATA!E336&gt;=1</f>
        <v>1</v>
      </c>
      <c r="F336" s="4" t="b">
        <f>RAW_DATA!L336="No"</f>
        <v>1</v>
      </c>
      <c r="G336" s="4" t="b">
        <f t="shared" si="15"/>
        <v>1</v>
      </c>
      <c r="H336" s="4" t="str">
        <f t="shared" si="16"/>
        <v>ELIGIBLE</v>
      </c>
      <c r="I336" s="4" t="str">
        <f t="shared" si="17"/>
        <v/>
      </c>
    </row>
    <row r="337" spans="1:9" x14ac:dyDescent="0.25">
      <c r="A337" s="4" t="str">
        <f>RAW_DATA!A337</f>
        <v>APP336</v>
      </c>
      <c r="B337" s="4" t="b">
        <f>AND(RAW_DATA!B337&gt;=21,RAW_DATA!B337&lt;=60)</f>
        <v>1</v>
      </c>
      <c r="C337" s="4" t="b">
        <f>RAW_DATA!C337&gt;=300000</f>
        <v>1</v>
      </c>
      <c r="D337" s="4" t="b">
        <f>RAW_DATA!F337&gt;=650</f>
        <v>1</v>
      </c>
      <c r="E337" s="4" t="b">
        <f>RAW_DATA!E337&gt;=1</f>
        <v>1</v>
      </c>
      <c r="F337" s="4" t="b">
        <f>RAW_DATA!L337="No"</f>
        <v>1</v>
      </c>
      <c r="G337" s="4" t="b">
        <f t="shared" si="15"/>
        <v>1</v>
      </c>
      <c r="H337" s="4" t="str">
        <f t="shared" si="16"/>
        <v>ELIGIBLE</v>
      </c>
      <c r="I337" s="4" t="str">
        <f t="shared" si="17"/>
        <v/>
      </c>
    </row>
    <row r="338" spans="1:9" x14ac:dyDescent="0.25">
      <c r="A338" s="4" t="str">
        <f>RAW_DATA!A338</f>
        <v>APP337</v>
      </c>
      <c r="B338" s="4" t="b">
        <f>AND(RAW_DATA!B338&gt;=21,RAW_DATA!B338&lt;=60)</f>
        <v>1</v>
      </c>
      <c r="C338" s="4" t="b">
        <f>RAW_DATA!C338&gt;=300000</f>
        <v>0</v>
      </c>
      <c r="D338" s="4" t="b">
        <f>RAW_DATA!F338&gt;=650</f>
        <v>1</v>
      </c>
      <c r="E338" s="4" t="b">
        <f>RAW_DATA!E338&gt;=1</f>
        <v>1</v>
      </c>
      <c r="F338" s="4" t="b">
        <f>RAW_DATA!L338="No"</f>
        <v>0</v>
      </c>
      <c r="G338" s="4" t="b">
        <f t="shared" si="15"/>
        <v>0</v>
      </c>
      <c r="H338" s="4" t="str">
        <f t="shared" si="16"/>
        <v>INELIGIBLE</v>
      </c>
      <c r="I338" s="4" t="str">
        <f t="shared" si="17"/>
        <v>Income, Defaulter History</v>
      </c>
    </row>
    <row r="339" spans="1:9" x14ac:dyDescent="0.25">
      <c r="A339" s="4" t="str">
        <f>RAW_DATA!A339</f>
        <v>APP338</v>
      </c>
      <c r="B339" s="4" t="b">
        <f>AND(RAW_DATA!B339&gt;=21,RAW_DATA!B339&lt;=60)</f>
        <v>1</v>
      </c>
      <c r="C339" s="4" t="b">
        <f>RAW_DATA!C339&gt;=300000</f>
        <v>1</v>
      </c>
      <c r="D339" s="4" t="b">
        <f>RAW_DATA!F339&gt;=650</f>
        <v>0</v>
      </c>
      <c r="E339" s="4" t="b">
        <f>RAW_DATA!E339&gt;=1</f>
        <v>1</v>
      </c>
      <c r="F339" s="4" t="b">
        <f>RAW_DATA!L339="No"</f>
        <v>1</v>
      </c>
      <c r="G339" s="4" t="b">
        <f t="shared" si="15"/>
        <v>0</v>
      </c>
      <c r="H339" s="4" t="str">
        <f t="shared" si="16"/>
        <v>INELIGIBLE</v>
      </c>
      <c r="I339" s="4" t="str">
        <f t="shared" si="17"/>
        <v>Credit Score</v>
      </c>
    </row>
    <row r="340" spans="1:9" x14ac:dyDescent="0.25">
      <c r="A340" s="4" t="str">
        <f>RAW_DATA!A340</f>
        <v>APP339</v>
      </c>
      <c r="B340" s="4" t="b">
        <f>AND(RAW_DATA!B340&gt;=21,RAW_DATA!B340&lt;=60)</f>
        <v>1</v>
      </c>
      <c r="C340" s="4" t="b">
        <f>RAW_DATA!C340&gt;=300000</f>
        <v>1</v>
      </c>
      <c r="D340" s="4" t="b">
        <f>RAW_DATA!F340&gt;=650</f>
        <v>0</v>
      </c>
      <c r="E340" s="4" t="b">
        <f>RAW_DATA!E340&gt;=1</f>
        <v>1</v>
      </c>
      <c r="F340" s="4" t="b">
        <f>RAW_DATA!L340="No"</f>
        <v>0</v>
      </c>
      <c r="G340" s="4" t="b">
        <f t="shared" si="15"/>
        <v>0</v>
      </c>
      <c r="H340" s="4" t="str">
        <f t="shared" si="16"/>
        <v>INELIGIBLE</v>
      </c>
      <c r="I340" s="4" t="str">
        <f t="shared" si="17"/>
        <v>Credit Score, Defaulter History</v>
      </c>
    </row>
    <row r="341" spans="1:9" x14ac:dyDescent="0.25">
      <c r="A341" s="4" t="str">
        <f>RAW_DATA!A341</f>
        <v>APP340</v>
      </c>
      <c r="B341" s="4" t="b">
        <f>AND(RAW_DATA!B341&gt;=21,RAW_DATA!B341&lt;=60)</f>
        <v>1</v>
      </c>
      <c r="C341" s="4" t="b">
        <f>RAW_DATA!C341&gt;=300000</f>
        <v>1</v>
      </c>
      <c r="D341" s="4" t="b">
        <f>RAW_DATA!F341&gt;=650</f>
        <v>0</v>
      </c>
      <c r="E341" s="4" t="b">
        <f>RAW_DATA!E341&gt;=1</f>
        <v>1</v>
      </c>
      <c r="F341" s="4" t="b">
        <f>RAW_DATA!L341="No"</f>
        <v>1</v>
      </c>
      <c r="G341" s="4" t="b">
        <f t="shared" si="15"/>
        <v>0</v>
      </c>
      <c r="H341" s="4" t="str">
        <f t="shared" si="16"/>
        <v>INELIGIBLE</v>
      </c>
      <c r="I341" s="4" t="str">
        <f t="shared" si="17"/>
        <v>Credit Score</v>
      </c>
    </row>
    <row r="342" spans="1:9" x14ac:dyDescent="0.25">
      <c r="A342" s="4" t="str">
        <f>RAW_DATA!A342</f>
        <v>APP341</v>
      </c>
      <c r="B342" s="4" t="b">
        <f>AND(RAW_DATA!B342&gt;=21,RAW_DATA!B342&lt;=60)</f>
        <v>1</v>
      </c>
      <c r="C342" s="4" t="b">
        <f>RAW_DATA!C342&gt;=300000</f>
        <v>1</v>
      </c>
      <c r="D342" s="4" t="b">
        <f>RAW_DATA!F342&gt;=650</f>
        <v>0</v>
      </c>
      <c r="E342" s="4" t="b">
        <f>RAW_DATA!E342&gt;=1</f>
        <v>1</v>
      </c>
      <c r="F342" s="4" t="b">
        <f>RAW_DATA!L342="No"</f>
        <v>1</v>
      </c>
      <c r="G342" s="4" t="b">
        <f t="shared" si="15"/>
        <v>0</v>
      </c>
      <c r="H342" s="4" t="str">
        <f t="shared" si="16"/>
        <v>INELIGIBLE</v>
      </c>
      <c r="I342" s="4" t="str">
        <f t="shared" si="17"/>
        <v>Credit Score</v>
      </c>
    </row>
    <row r="343" spans="1:9" x14ac:dyDescent="0.25">
      <c r="A343" s="4" t="str">
        <f>RAW_DATA!A343</f>
        <v>APP342</v>
      </c>
      <c r="B343" s="4" t="b">
        <f>AND(RAW_DATA!B343&gt;=21,RAW_DATA!B343&lt;=60)</f>
        <v>1</v>
      </c>
      <c r="C343" s="4" t="b">
        <f>RAW_DATA!C343&gt;=300000</f>
        <v>1</v>
      </c>
      <c r="D343" s="4" t="b">
        <f>RAW_DATA!F343&gt;=650</f>
        <v>0</v>
      </c>
      <c r="E343" s="4" t="b">
        <f>RAW_DATA!E343&gt;=1</f>
        <v>1</v>
      </c>
      <c r="F343" s="4" t="b">
        <f>RAW_DATA!L343="No"</f>
        <v>1</v>
      </c>
      <c r="G343" s="4" t="b">
        <f t="shared" si="15"/>
        <v>0</v>
      </c>
      <c r="H343" s="4" t="str">
        <f t="shared" si="16"/>
        <v>INELIGIBLE</v>
      </c>
      <c r="I343" s="4" t="str">
        <f t="shared" si="17"/>
        <v>Credit Score</v>
      </c>
    </row>
    <row r="344" spans="1:9" x14ac:dyDescent="0.25">
      <c r="A344" s="4" t="str">
        <f>RAW_DATA!A344</f>
        <v>APP343</v>
      </c>
      <c r="B344" s="4" t="b">
        <f>AND(RAW_DATA!B344&gt;=21,RAW_DATA!B344&lt;=60)</f>
        <v>1</v>
      </c>
      <c r="C344" s="4" t="b">
        <f>RAW_DATA!C344&gt;=300000</f>
        <v>1</v>
      </c>
      <c r="D344" s="4" t="b">
        <f>RAW_DATA!F344&gt;=650</f>
        <v>0</v>
      </c>
      <c r="E344" s="4" t="b">
        <f>RAW_DATA!E344&gt;=1</f>
        <v>1</v>
      </c>
      <c r="F344" s="4" t="b">
        <f>RAW_DATA!L344="No"</f>
        <v>1</v>
      </c>
      <c r="G344" s="4" t="b">
        <f t="shared" si="15"/>
        <v>0</v>
      </c>
      <c r="H344" s="4" t="str">
        <f t="shared" si="16"/>
        <v>INELIGIBLE</v>
      </c>
      <c r="I344" s="4" t="str">
        <f t="shared" si="17"/>
        <v>Credit Score</v>
      </c>
    </row>
    <row r="345" spans="1:9" x14ac:dyDescent="0.25">
      <c r="A345" s="4" t="str">
        <f>RAW_DATA!A345</f>
        <v>APP344</v>
      </c>
      <c r="B345" s="4" t="b">
        <f>AND(RAW_DATA!B345&gt;=21,RAW_DATA!B345&lt;=60)</f>
        <v>1</v>
      </c>
      <c r="C345" s="4" t="b">
        <f>RAW_DATA!C345&gt;=300000</f>
        <v>1</v>
      </c>
      <c r="D345" s="4" t="b">
        <f>RAW_DATA!F345&gt;=650</f>
        <v>1</v>
      </c>
      <c r="E345" s="4" t="b">
        <f>RAW_DATA!E345&gt;=1</f>
        <v>1</v>
      </c>
      <c r="F345" s="4" t="b">
        <f>RAW_DATA!L345="No"</f>
        <v>1</v>
      </c>
      <c r="G345" s="4" t="b">
        <f t="shared" si="15"/>
        <v>1</v>
      </c>
      <c r="H345" s="4" t="str">
        <f t="shared" si="16"/>
        <v>ELIGIBLE</v>
      </c>
      <c r="I345" s="4" t="str">
        <f t="shared" si="17"/>
        <v/>
      </c>
    </row>
    <row r="346" spans="1:9" x14ac:dyDescent="0.25">
      <c r="A346" s="4" t="str">
        <f>RAW_DATA!A346</f>
        <v>APP345</v>
      </c>
      <c r="B346" s="4" t="b">
        <f>AND(RAW_DATA!B346&gt;=21,RAW_DATA!B346&lt;=60)</f>
        <v>1</v>
      </c>
      <c r="C346" s="4" t="b">
        <f>RAW_DATA!C346&gt;=300000</f>
        <v>1</v>
      </c>
      <c r="D346" s="4" t="b">
        <f>RAW_DATA!F346&gt;=650</f>
        <v>1</v>
      </c>
      <c r="E346" s="4" t="b">
        <f>RAW_DATA!E346&gt;=1</f>
        <v>1</v>
      </c>
      <c r="F346" s="4" t="b">
        <f>RAW_DATA!L346="No"</f>
        <v>1</v>
      </c>
      <c r="G346" s="4" t="b">
        <f t="shared" si="15"/>
        <v>1</v>
      </c>
      <c r="H346" s="4" t="str">
        <f t="shared" si="16"/>
        <v>ELIGIBLE</v>
      </c>
      <c r="I346" s="4" t="str">
        <f t="shared" si="17"/>
        <v/>
      </c>
    </row>
    <row r="347" spans="1:9" x14ac:dyDescent="0.25">
      <c r="A347" s="4" t="str">
        <f>RAW_DATA!A347</f>
        <v>APP346</v>
      </c>
      <c r="B347" s="4" t="b">
        <f>AND(RAW_DATA!B347&gt;=21,RAW_DATA!B347&lt;=60)</f>
        <v>1</v>
      </c>
      <c r="C347" s="4" t="b">
        <f>RAW_DATA!C347&gt;=300000</f>
        <v>1</v>
      </c>
      <c r="D347" s="4" t="b">
        <f>RAW_DATA!F347&gt;=650</f>
        <v>0</v>
      </c>
      <c r="E347" s="4" t="b">
        <f>RAW_DATA!E347&gt;=1</f>
        <v>1</v>
      </c>
      <c r="F347" s="4" t="b">
        <f>RAW_DATA!L347="No"</f>
        <v>1</v>
      </c>
      <c r="G347" s="4" t="b">
        <f t="shared" si="15"/>
        <v>0</v>
      </c>
      <c r="H347" s="4" t="str">
        <f t="shared" si="16"/>
        <v>INELIGIBLE</v>
      </c>
      <c r="I347" s="4" t="str">
        <f t="shared" si="17"/>
        <v>Credit Score</v>
      </c>
    </row>
    <row r="348" spans="1:9" x14ac:dyDescent="0.25">
      <c r="A348" s="4" t="str">
        <f>RAW_DATA!A348</f>
        <v>APP347</v>
      </c>
      <c r="B348" s="4" t="b">
        <f>AND(RAW_DATA!B348&gt;=21,RAW_DATA!B348&lt;=60)</f>
        <v>0</v>
      </c>
      <c r="C348" s="4" t="b">
        <f>RAW_DATA!C348&gt;=300000</f>
        <v>1</v>
      </c>
      <c r="D348" s="4" t="b">
        <f>RAW_DATA!F348&gt;=650</f>
        <v>1</v>
      </c>
      <c r="E348" s="4" t="b">
        <f>RAW_DATA!E348&gt;=1</f>
        <v>1</v>
      </c>
      <c r="F348" s="4" t="b">
        <f>RAW_DATA!L348="No"</f>
        <v>0</v>
      </c>
      <c r="G348" s="4" t="b">
        <f t="shared" si="15"/>
        <v>0</v>
      </c>
      <c r="H348" s="4" t="str">
        <f t="shared" si="16"/>
        <v>INELIGIBLE</v>
      </c>
      <c r="I348" s="4" t="str">
        <f t="shared" si="17"/>
        <v>Age, Defaulter History</v>
      </c>
    </row>
    <row r="349" spans="1:9" x14ac:dyDescent="0.25">
      <c r="A349" s="4" t="str">
        <f>RAW_DATA!A349</f>
        <v>APP348</v>
      </c>
      <c r="B349" s="4" t="b">
        <f>AND(RAW_DATA!B349&gt;=21,RAW_DATA!B349&lt;=60)</f>
        <v>1</v>
      </c>
      <c r="C349" s="4" t="b">
        <f>RAW_DATA!C349&gt;=300000</f>
        <v>1</v>
      </c>
      <c r="D349" s="4" t="b">
        <f>RAW_DATA!F349&gt;=650</f>
        <v>0</v>
      </c>
      <c r="E349" s="4" t="b">
        <f>RAW_DATA!E349&gt;=1</f>
        <v>1</v>
      </c>
      <c r="F349" s="4" t="b">
        <f>RAW_DATA!L349="No"</f>
        <v>1</v>
      </c>
      <c r="G349" s="4" t="b">
        <f t="shared" si="15"/>
        <v>0</v>
      </c>
      <c r="H349" s="4" t="str">
        <f t="shared" si="16"/>
        <v>INELIGIBLE</v>
      </c>
      <c r="I349" s="4" t="str">
        <f t="shared" si="17"/>
        <v>Credit Score</v>
      </c>
    </row>
    <row r="350" spans="1:9" x14ac:dyDescent="0.25">
      <c r="A350" s="4" t="str">
        <f>RAW_DATA!A350</f>
        <v>APP349</v>
      </c>
      <c r="B350" s="4" t="b">
        <f>AND(RAW_DATA!B350&gt;=21,RAW_DATA!B350&lt;=60)</f>
        <v>1</v>
      </c>
      <c r="C350" s="4" t="b">
        <f>RAW_DATA!C350&gt;=300000</f>
        <v>1</v>
      </c>
      <c r="D350" s="4" t="b">
        <f>RAW_DATA!F350&gt;=650</f>
        <v>1</v>
      </c>
      <c r="E350" s="4" t="b">
        <f>RAW_DATA!E350&gt;=1</f>
        <v>1</v>
      </c>
      <c r="F350" s="4" t="b">
        <f>RAW_DATA!L350="No"</f>
        <v>1</v>
      </c>
      <c r="G350" s="4" t="b">
        <f t="shared" si="15"/>
        <v>1</v>
      </c>
      <c r="H350" s="4" t="str">
        <f t="shared" si="16"/>
        <v>ELIGIBLE</v>
      </c>
      <c r="I350" s="4" t="str">
        <f t="shared" si="17"/>
        <v/>
      </c>
    </row>
    <row r="351" spans="1:9" x14ac:dyDescent="0.25">
      <c r="A351" s="4" t="str">
        <f>RAW_DATA!A351</f>
        <v>APP350</v>
      </c>
      <c r="B351" s="4" t="b">
        <f>AND(RAW_DATA!B351&gt;=21,RAW_DATA!B351&lt;=60)</f>
        <v>1</v>
      </c>
      <c r="C351" s="4" t="b">
        <f>RAW_DATA!C351&gt;=300000</f>
        <v>1</v>
      </c>
      <c r="D351" s="4" t="b">
        <f>RAW_DATA!F351&gt;=650</f>
        <v>0</v>
      </c>
      <c r="E351" s="4" t="b">
        <f>RAW_DATA!E351&gt;=1</f>
        <v>1</v>
      </c>
      <c r="F351" s="4" t="b">
        <f>RAW_DATA!L351="No"</f>
        <v>1</v>
      </c>
      <c r="G351" s="4" t="b">
        <f t="shared" si="15"/>
        <v>0</v>
      </c>
      <c r="H351" s="4" t="str">
        <f t="shared" si="16"/>
        <v>INELIGIBLE</v>
      </c>
      <c r="I351" s="4" t="str">
        <f t="shared" si="17"/>
        <v>Credit Score</v>
      </c>
    </row>
    <row r="352" spans="1:9" x14ac:dyDescent="0.25">
      <c r="A352" s="4" t="str">
        <f>RAW_DATA!A352</f>
        <v>APP351</v>
      </c>
      <c r="B352" s="4" t="b">
        <f>AND(RAW_DATA!B352&gt;=21,RAW_DATA!B352&lt;=60)</f>
        <v>1</v>
      </c>
      <c r="C352" s="4" t="b">
        <f>RAW_DATA!C352&gt;=300000</f>
        <v>1</v>
      </c>
      <c r="D352" s="4" t="b">
        <f>RAW_DATA!F352&gt;=650</f>
        <v>0</v>
      </c>
      <c r="E352" s="4" t="b">
        <f>RAW_DATA!E352&gt;=1</f>
        <v>1</v>
      </c>
      <c r="F352" s="4" t="b">
        <f>RAW_DATA!L352="No"</f>
        <v>1</v>
      </c>
      <c r="G352" s="4" t="b">
        <f t="shared" si="15"/>
        <v>0</v>
      </c>
      <c r="H352" s="4" t="str">
        <f t="shared" si="16"/>
        <v>INELIGIBLE</v>
      </c>
      <c r="I352" s="4" t="str">
        <f t="shared" si="17"/>
        <v>Credit Score</v>
      </c>
    </row>
    <row r="353" spans="1:9" x14ac:dyDescent="0.25">
      <c r="A353" s="4" t="str">
        <f>RAW_DATA!A353</f>
        <v>APP352</v>
      </c>
      <c r="B353" s="4" t="b">
        <f>AND(RAW_DATA!B353&gt;=21,RAW_DATA!B353&lt;=60)</f>
        <v>1</v>
      </c>
      <c r="C353" s="4" t="b">
        <f>RAW_DATA!C353&gt;=300000</f>
        <v>1</v>
      </c>
      <c r="D353" s="4" t="b">
        <f>RAW_DATA!F353&gt;=650</f>
        <v>0</v>
      </c>
      <c r="E353" s="4" t="b">
        <f>RAW_DATA!E353&gt;=1</f>
        <v>1</v>
      </c>
      <c r="F353" s="4" t="b">
        <f>RAW_DATA!L353="No"</f>
        <v>1</v>
      </c>
      <c r="G353" s="4" t="b">
        <f t="shared" si="15"/>
        <v>0</v>
      </c>
      <c r="H353" s="4" t="str">
        <f t="shared" si="16"/>
        <v>INELIGIBLE</v>
      </c>
      <c r="I353" s="4" t="str">
        <f t="shared" si="17"/>
        <v>Credit Score</v>
      </c>
    </row>
    <row r="354" spans="1:9" x14ac:dyDescent="0.25">
      <c r="A354" s="4" t="str">
        <f>RAW_DATA!A354</f>
        <v>APP353</v>
      </c>
      <c r="B354" s="4" t="b">
        <f>AND(RAW_DATA!B354&gt;=21,RAW_DATA!B354&lt;=60)</f>
        <v>1</v>
      </c>
      <c r="C354" s="4" t="b">
        <f>RAW_DATA!C354&gt;=300000</f>
        <v>1</v>
      </c>
      <c r="D354" s="4" t="b">
        <f>RAW_DATA!F354&gt;=650</f>
        <v>0</v>
      </c>
      <c r="E354" s="4" t="b">
        <f>RAW_DATA!E354&gt;=1</f>
        <v>1</v>
      </c>
      <c r="F354" s="4" t="b">
        <f>RAW_DATA!L354="No"</f>
        <v>1</v>
      </c>
      <c r="G354" s="4" t="b">
        <f t="shared" si="15"/>
        <v>0</v>
      </c>
      <c r="H354" s="4" t="str">
        <f t="shared" si="16"/>
        <v>INELIGIBLE</v>
      </c>
      <c r="I354" s="4" t="str">
        <f t="shared" si="17"/>
        <v>Credit Score</v>
      </c>
    </row>
    <row r="355" spans="1:9" x14ac:dyDescent="0.25">
      <c r="A355" s="4" t="str">
        <f>RAW_DATA!A355</f>
        <v>APP354</v>
      </c>
      <c r="B355" s="4" t="b">
        <f>AND(RAW_DATA!B355&gt;=21,RAW_DATA!B355&lt;=60)</f>
        <v>1</v>
      </c>
      <c r="C355" s="4" t="b">
        <f>RAW_DATA!C355&gt;=300000</f>
        <v>1</v>
      </c>
      <c r="D355" s="4" t="b">
        <f>RAW_DATA!F355&gt;=650</f>
        <v>1</v>
      </c>
      <c r="E355" s="4" t="b">
        <f>RAW_DATA!E355&gt;=1</f>
        <v>1</v>
      </c>
      <c r="F355" s="4" t="b">
        <f>RAW_DATA!L355="No"</f>
        <v>1</v>
      </c>
      <c r="G355" s="4" t="b">
        <f t="shared" si="15"/>
        <v>1</v>
      </c>
      <c r="H355" s="4" t="str">
        <f t="shared" si="16"/>
        <v>ELIGIBLE</v>
      </c>
      <c r="I355" s="4" t="str">
        <f t="shared" si="17"/>
        <v/>
      </c>
    </row>
    <row r="356" spans="1:9" x14ac:dyDescent="0.25">
      <c r="A356" s="4" t="str">
        <f>RAW_DATA!A356</f>
        <v>APP355</v>
      </c>
      <c r="B356" s="4" t="b">
        <f>AND(RAW_DATA!B356&gt;=21,RAW_DATA!B356&lt;=60)</f>
        <v>1</v>
      </c>
      <c r="C356" s="4" t="b">
        <f>RAW_DATA!C356&gt;=300000</f>
        <v>1</v>
      </c>
      <c r="D356" s="4" t="b">
        <f>RAW_DATA!F356&gt;=650</f>
        <v>1</v>
      </c>
      <c r="E356" s="4" t="b">
        <f>RAW_DATA!E356&gt;=1</f>
        <v>1</v>
      </c>
      <c r="F356" s="4" t="b">
        <f>RAW_DATA!L356="No"</f>
        <v>1</v>
      </c>
      <c r="G356" s="4" t="b">
        <f t="shared" si="15"/>
        <v>1</v>
      </c>
      <c r="H356" s="4" t="str">
        <f t="shared" si="16"/>
        <v>ELIGIBLE</v>
      </c>
      <c r="I356" s="4" t="str">
        <f t="shared" si="17"/>
        <v/>
      </c>
    </row>
    <row r="357" spans="1:9" x14ac:dyDescent="0.25">
      <c r="A357" s="4" t="str">
        <f>RAW_DATA!A357</f>
        <v>APP356</v>
      </c>
      <c r="B357" s="4" t="b">
        <f>AND(RAW_DATA!B357&gt;=21,RAW_DATA!B357&lt;=60)</f>
        <v>1</v>
      </c>
      <c r="C357" s="4" t="b">
        <f>RAW_DATA!C357&gt;=300000</f>
        <v>1</v>
      </c>
      <c r="D357" s="4" t="b">
        <f>RAW_DATA!F357&gt;=650</f>
        <v>1</v>
      </c>
      <c r="E357" s="4" t="b">
        <f>RAW_DATA!E357&gt;=1</f>
        <v>1</v>
      </c>
      <c r="F357" s="4" t="b">
        <f>RAW_DATA!L357="No"</f>
        <v>1</v>
      </c>
      <c r="G357" s="4" t="b">
        <f t="shared" si="15"/>
        <v>1</v>
      </c>
      <c r="H357" s="4" t="str">
        <f t="shared" si="16"/>
        <v>ELIGIBLE</v>
      </c>
      <c r="I357" s="4" t="str">
        <f t="shared" si="17"/>
        <v/>
      </c>
    </row>
    <row r="358" spans="1:9" x14ac:dyDescent="0.25">
      <c r="A358" s="4" t="str">
        <f>RAW_DATA!A358</f>
        <v>APP357</v>
      </c>
      <c r="B358" s="4" t="b">
        <f>AND(RAW_DATA!B358&gt;=21,RAW_DATA!B358&lt;=60)</f>
        <v>1</v>
      </c>
      <c r="C358" s="4" t="b">
        <f>RAW_DATA!C358&gt;=300000</f>
        <v>1</v>
      </c>
      <c r="D358" s="4" t="b">
        <f>RAW_DATA!F358&gt;=650</f>
        <v>1</v>
      </c>
      <c r="E358" s="4" t="b">
        <f>RAW_DATA!E358&gt;=1</f>
        <v>1</v>
      </c>
      <c r="F358" s="4" t="b">
        <f>RAW_DATA!L358="No"</f>
        <v>1</v>
      </c>
      <c r="G358" s="4" t="b">
        <f t="shared" si="15"/>
        <v>1</v>
      </c>
      <c r="H358" s="4" t="str">
        <f t="shared" si="16"/>
        <v>ELIGIBLE</v>
      </c>
      <c r="I358" s="4" t="str">
        <f t="shared" si="17"/>
        <v/>
      </c>
    </row>
    <row r="359" spans="1:9" x14ac:dyDescent="0.25">
      <c r="A359" s="4" t="str">
        <f>RAW_DATA!A359</f>
        <v>APP358</v>
      </c>
      <c r="B359" s="4" t="b">
        <f>AND(RAW_DATA!B359&gt;=21,RAW_DATA!B359&lt;=60)</f>
        <v>1</v>
      </c>
      <c r="C359" s="4" t="b">
        <f>RAW_DATA!C359&gt;=300000</f>
        <v>1</v>
      </c>
      <c r="D359" s="4" t="b">
        <f>RAW_DATA!F359&gt;=650</f>
        <v>0</v>
      </c>
      <c r="E359" s="4" t="b">
        <f>RAW_DATA!E359&gt;=1</f>
        <v>0</v>
      </c>
      <c r="F359" s="4" t="b">
        <f>RAW_DATA!L359="No"</f>
        <v>1</v>
      </c>
      <c r="G359" s="4" t="b">
        <f t="shared" si="15"/>
        <v>0</v>
      </c>
      <c r="H359" s="4" t="str">
        <f t="shared" si="16"/>
        <v>INELIGIBLE</v>
      </c>
      <c r="I359" s="4" t="str">
        <f t="shared" si="17"/>
        <v>Credit Score, Employment</v>
      </c>
    </row>
    <row r="360" spans="1:9" x14ac:dyDescent="0.25">
      <c r="A360" s="4" t="str">
        <f>RAW_DATA!A360</f>
        <v>APP359</v>
      </c>
      <c r="B360" s="4" t="b">
        <f>AND(RAW_DATA!B360&gt;=21,RAW_DATA!B360&lt;=60)</f>
        <v>1</v>
      </c>
      <c r="C360" s="4" t="b">
        <f>RAW_DATA!C360&gt;=300000</f>
        <v>1</v>
      </c>
      <c r="D360" s="4" t="b">
        <f>RAW_DATA!F360&gt;=650</f>
        <v>0</v>
      </c>
      <c r="E360" s="4" t="b">
        <f>RAW_DATA!E360&gt;=1</f>
        <v>1</v>
      </c>
      <c r="F360" s="4" t="b">
        <f>RAW_DATA!L360="No"</f>
        <v>1</v>
      </c>
      <c r="G360" s="4" t="b">
        <f t="shared" si="15"/>
        <v>0</v>
      </c>
      <c r="H360" s="4" t="str">
        <f t="shared" si="16"/>
        <v>INELIGIBLE</v>
      </c>
      <c r="I360" s="4" t="str">
        <f t="shared" si="17"/>
        <v>Credit Score</v>
      </c>
    </row>
    <row r="361" spans="1:9" x14ac:dyDescent="0.25">
      <c r="A361" s="4" t="str">
        <f>RAW_DATA!A361</f>
        <v>APP360</v>
      </c>
      <c r="B361" s="4" t="b">
        <f>AND(RAW_DATA!B361&gt;=21,RAW_DATA!B361&lt;=60)</f>
        <v>1</v>
      </c>
      <c r="C361" s="4" t="b">
        <f>RAW_DATA!C361&gt;=300000</f>
        <v>1</v>
      </c>
      <c r="D361" s="4" t="b">
        <f>RAW_DATA!F361&gt;=650</f>
        <v>0</v>
      </c>
      <c r="E361" s="4" t="b">
        <f>RAW_DATA!E361&gt;=1</f>
        <v>1</v>
      </c>
      <c r="F361" s="4" t="b">
        <f>RAW_DATA!L361="No"</f>
        <v>1</v>
      </c>
      <c r="G361" s="4" t="b">
        <f t="shared" si="15"/>
        <v>0</v>
      </c>
      <c r="H361" s="4" t="str">
        <f t="shared" si="16"/>
        <v>INELIGIBLE</v>
      </c>
      <c r="I361" s="4" t="str">
        <f t="shared" si="17"/>
        <v>Credit Score</v>
      </c>
    </row>
    <row r="362" spans="1:9" x14ac:dyDescent="0.25">
      <c r="A362" s="4" t="str">
        <f>RAW_DATA!A362</f>
        <v>APP361</v>
      </c>
      <c r="B362" s="4" t="b">
        <f>AND(RAW_DATA!B362&gt;=21,RAW_DATA!B362&lt;=60)</f>
        <v>1</v>
      </c>
      <c r="C362" s="4" t="b">
        <f>RAW_DATA!C362&gt;=300000</f>
        <v>1</v>
      </c>
      <c r="D362" s="4" t="b">
        <f>RAW_DATA!F362&gt;=650</f>
        <v>1</v>
      </c>
      <c r="E362" s="4" t="b">
        <f>RAW_DATA!E362&gt;=1</f>
        <v>1</v>
      </c>
      <c r="F362" s="4" t="b">
        <f>RAW_DATA!L362="No"</f>
        <v>0</v>
      </c>
      <c r="G362" s="4" t="b">
        <f t="shared" si="15"/>
        <v>0</v>
      </c>
      <c r="H362" s="4" t="str">
        <f t="shared" si="16"/>
        <v>INELIGIBLE</v>
      </c>
      <c r="I362" s="4" t="str">
        <f t="shared" si="17"/>
        <v>Defaulter History</v>
      </c>
    </row>
    <row r="363" spans="1:9" x14ac:dyDescent="0.25">
      <c r="A363" s="4" t="str">
        <f>RAW_DATA!A363</f>
        <v>APP362</v>
      </c>
      <c r="B363" s="4" t="b">
        <f>AND(RAW_DATA!B363&gt;=21,RAW_DATA!B363&lt;=60)</f>
        <v>1</v>
      </c>
      <c r="C363" s="4" t="b">
        <f>RAW_DATA!C363&gt;=300000</f>
        <v>1</v>
      </c>
      <c r="D363" s="4" t="b">
        <f>RAW_DATA!F363&gt;=650</f>
        <v>0</v>
      </c>
      <c r="E363" s="4" t="b">
        <f>RAW_DATA!E363&gt;=1</f>
        <v>1</v>
      </c>
      <c r="F363" s="4" t="b">
        <f>RAW_DATA!L363="No"</f>
        <v>1</v>
      </c>
      <c r="G363" s="4" t="b">
        <f t="shared" si="15"/>
        <v>0</v>
      </c>
      <c r="H363" s="4" t="str">
        <f t="shared" si="16"/>
        <v>INELIGIBLE</v>
      </c>
      <c r="I363" s="4" t="str">
        <f t="shared" si="17"/>
        <v>Credit Score</v>
      </c>
    </row>
    <row r="364" spans="1:9" x14ac:dyDescent="0.25">
      <c r="A364" s="4" t="str">
        <f>RAW_DATA!A364</f>
        <v>APP363</v>
      </c>
      <c r="B364" s="4" t="b">
        <f>AND(RAW_DATA!B364&gt;=21,RAW_DATA!B364&lt;=60)</f>
        <v>1</v>
      </c>
      <c r="C364" s="4" t="b">
        <f>RAW_DATA!C364&gt;=300000</f>
        <v>1</v>
      </c>
      <c r="D364" s="4" t="b">
        <f>RAW_DATA!F364&gt;=650</f>
        <v>1</v>
      </c>
      <c r="E364" s="4" t="b">
        <f>RAW_DATA!E364&gt;=1</f>
        <v>1</v>
      </c>
      <c r="F364" s="4" t="b">
        <f>RAW_DATA!L364="No"</f>
        <v>1</v>
      </c>
      <c r="G364" s="4" t="b">
        <f t="shared" si="15"/>
        <v>1</v>
      </c>
      <c r="H364" s="4" t="str">
        <f t="shared" si="16"/>
        <v>ELIGIBLE</v>
      </c>
      <c r="I364" s="4" t="str">
        <f t="shared" si="17"/>
        <v/>
      </c>
    </row>
    <row r="365" spans="1:9" x14ac:dyDescent="0.25">
      <c r="A365" s="4" t="str">
        <f>RAW_DATA!A365</f>
        <v>APP364</v>
      </c>
      <c r="B365" s="4" t="b">
        <f>AND(RAW_DATA!B365&gt;=21,RAW_DATA!B365&lt;=60)</f>
        <v>1</v>
      </c>
      <c r="C365" s="4" t="b">
        <f>RAW_DATA!C365&gt;=300000</f>
        <v>1</v>
      </c>
      <c r="D365" s="4" t="b">
        <f>RAW_DATA!F365&gt;=650</f>
        <v>1</v>
      </c>
      <c r="E365" s="4" t="b">
        <f>RAW_DATA!E365&gt;=1</f>
        <v>1</v>
      </c>
      <c r="F365" s="4" t="b">
        <f>RAW_DATA!L365="No"</f>
        <v>0</v>
      </c>
      <c r="G365" s="4" t="b">
        <f t="shared" si="15"/>
        <v>0</v>
      </c>
      <c r="H365" s="4" t="str">
        <f t="shared" si="16"/>
        <v>INELIGIBLE</v>
      </c>
      <c r="I365" s="4" t="str">
        <f t="shared" si="17"/>
        <v>Defaulter History</v>
      </c>
    </row>
    <row r="366" spans="1:9" x14ac:dyDescent="0.25">
      <c r="A366" s="4" t="str">
        <f>RAW_DATA!A366</f>
        <v>APP365</v>
      </c>
      <c r="B366" s="4" t="b">
        <f>AND(RAW_DATA!B366&gt;=21,RAW_DATA!B366&lt;=60)</f>
        <v>0</v>
      </c>
      <c r="C366" s="4" t="b">
        <f>RAW_DATA!C366&gt;=300000</f>
        <v>1</v>
      </c>
      <c r="D366" s="4" t="b">
        <f>RAW_DATA!F366&gt;=650</f>
        <v>1</v>
      </c>
      <c r="E366" s="4" t="b">
        <f>RAW_DATA!E366&gt;=1</f>
        <v>1</v>
      </c>
      <c r="F366" s="4" t="b">
        <f>RAW_DATA!L366="No"</f>
        <v>1</v>
      </c>
      <c r="G366" s="4" t="b">
        <f t="shared" si="15"/>
        <v>0</v>
      </c>
      <c r="H366" s="4" t="str">
        <f t="shared" si="16"/>
        <v>INELIGIBLE</v>
      </c>
      <c r="I366" s="4" t="str">
        <f t="shared" si="17"/>
        <v>Age</v>
      </c>
    </row>
    <row r="367" spans="1:9" x14ac:dyDescent="0.25">
      <c r="A367" s="4" t="str">
        <f>RAW_DATA!A367</f>
        <v>APP366</v>
      </c>
      <c r="B367" s="4" t="b">
        <f>AND(RAW_DATA!B367&gt;=21,RAW_DATA!B367&lt;=60)</f>
        <v>1</v>
      </c>
      <c r="C367" s="4" t="b">
        <f>RAW_DATA!C367&gt;=300000</f>
        <v>1</v>
      </c>
      <c r="D367" s="4" t="b">
        <f>RAW_DATA!F367&gt;=650</f>
        <v>1</v>
      </c>
      <c r="E367" s="4" t="b">
        <f>RAW_DATA!E367&gt;=1</f>
        <v>1</v>
      </c>
      <c r="F367" s="4" t="b">
        <f>RAW_DATA!L367="No"</f>
        <v>1</v>
      </c>
      <c r="G367" s="4" t="b">
        <f t="shared" si="15"/>
        <v>1</v>
      </c>
      <c r="H367" s="4" t="str">
        <f t="shared" si="16"/>
        <v>ELIGIBLE</v>
      </c>
      <c r="I367" s="4" t="str">
        <f t="shared" si="17"/>
        <v/>
      </c>
    </row>
    <row r="368" spans="1:9" x14ac:dyDescent="0.25">
      <c r="A368" s="4" t="str">
        <f>RAW_DATA!A368</f>
        <v>APP367</v>
      </c>
      <c r="B368" s="4" t="b">
        <f>AND(RAW_DATA!B368&gt;=21,RAW_DATA!B368&lt;=60)</f>
        <v>1</v>
      </c>
      <c r="C368" s="4" t="b">
        <f>RAW_DATA!C368&gt;=300000</f>
        <v>1</v>
      </c>
      <c r="D368" s="4" t="b">
        <f>RAW_DATA!F368&gt;=650</f>
        <v>1</v>
      </c>
      <c r="E368" s="4" t="b">
        <f>RAW_DATA!E368&gt;=1</f>
        <v>1</v>
      </c>
      <c r="F368" s="4" t="b">
        <f>RAW_DATA!L368="No"</f>
        <v>1</v>
      </c>
      <c r="G368" s="4" t="b">
        <f t="shared" si="15"/>
        <v>1</v>
      </c>
      <c r="H368" s="4" t="str">
        <f t="shared" si="16"/>
        <v>ELIGIBLE</v>
      </c>
      <c r="I368" s="4" t="str">
        <f t="shared" si="17"/>
        <v/>
      </c>
    </row>
    <row r="369" spans="1:9" x14ac:dyDescent="0.25">
      <c r="A369" s="4" t="str">
        <f>RAW_DATA!A369</f>
        <v>APP368</v>
      </c>
      <c r="B369" s="4" t="b">
        <f>AND(RAW_DATA!B369&gt;=21,RAW_DATA!B369&lt;=60)</f>
        <v>1</v>
      </c>
      <c r="C369" s="4" t="b">
        <f>RAW_DATA!C369&gt;=300000</f>
        <v>1</v>
      </c>
      <c r="D369" s="4" t="b">
        <f>RAW_DATA!F369&gt;=650</f>
        <v>0</v>
      </c>
      <c r="E369" s="4" t="b">
        <f>RAW_DATA!E369&gt;=1</f>
        <v>1</v>
      </c>
      <c r="F369" s="4" t="b">
        <f>RAW_DATA!L369="No"</f>
        <v>1</v>
      </c>
      <c r="G369" s="4" t="b">
        <f t="shared" si="15"/>
        <v>0</v>
      </c>
      <c r="H369" s="4" t="str">
        <f t="shared" si="16"/>
        <v>INELIGIBLE</v>
      </c>
      <c r="I369" s="4" t="str">
        <f t="shared" si="17"/>
        <v>Credit Score</v>
      </c>
    </row>
    <row r="370" spans="1:9" x14ac:dyDescent="0.25">
      <c r="A370" s="4" t="str">
        <f>RAW_DATA!A370</f>
        <v>APP369</v>
      </c>
      <c r="B370" s="4" t="b">
        <f>AND(RAW_DATA!B370&gt;=21,RAW_DATA!B370&lt;=60)</f>
        <v>1</v>
      </c>
      <c r="C370" s="4" t="b">
        <f>RAW_DATA!C370&gt;=300000</f>
        <v>1</v>
      </c>
      <c r="D370" s="4" t="b">
        <f>RAW_DATA!F370&gt;=650</f>
        <v>0</v>
      </c>
      <c r="E370" s="4" t="b">
        <f>RAW_DATA!E370&gt;=1</f>
        <v>1</v>
      </c>
      <c r="F370" s="4" t="b">
        <f>RAW_DATA!L370="No"</f>
        <v>1</v>
      </c>
      <c r="G370" s="4" t="b">
        <f t="shared" si="15"/>
        <v>0</v>
      </c>
      <c r="H370" s="4" t="str">
        <f t="shared" si="16"/>
        <v>INELIGIBLE</v>
      </c>
      <c r="I370" s="4" t="str">
        <f t="shared" si="17"/>
        <v>Credit Score</v>
      </c>
    </row>
    <row r="371" spans="1:9" x14ac:dyDescent="0.25">
      <c r="A371" s="4" t="str">
        <f>RAW_DATA!A371</f>
        <v>APP370</v>
      </c>
      <c r="B371" s="4" t="b">
        <f>AND(RAW_DATA!B371&gt;=21,RAW_DATA!B371&lt;=60)</f>
        <v>1</v>
      </c>
      <c r="C371" s="4" t="b">
        <f>RAW_DATA!C371&gt;=300000</f>
        <v>1</v>
      </c>
      <c r="D371" s="4" t="b">
        <f>RAW_DATA!F371&gt;=650</f>
        <v>0</v>
      </c>
      <c r="E371" s="4" t="b">
        <f>RAW_DATA!E371&gt;=1</f>
        <v>1</v>
      </c>
      <c r="F371" s="4" t="b">
        <f>RAW_DATA!L371="No"</f>
        <v>1</v>
      </c>
      <c r="G371" s="4" t="b">
        <f t="shared" si="15"/>
        <v>0</v>
      </c>
      <c r="H371" s="4" t="str">
        <f t="shared" si="16"/>
        <v>INELIGIBLE</v>
      </c>
      <c r="I371" s="4" t="str">
        <f t="shared" si="17"/>
        <v>Credit Score</v>
      </c>
    </row>
    <row r="372" spans="1:9" x14ac:dyDescent="0.25">
      <c r="A372" s="4" t="str">
        <f>RAW_DATA!A372</f>
        <v>APP371</v>
      </c>
      <c r="B372" s="4" t="b">
        <f>AND(RAW_DATA!B372&gt;=21,RAW_DATA!B372&lt;=60)</f>
        <v>1</v>
      </c>
      <c r="C372" s="4" t="b">
        <f>RAW_DATA!C372&gt;=300000</f>
        <v>1</v>
      </c>
      <c r="D372" s="4" t="b">
        <f>RAW_DATA!F372&gt;=650</f>
        <v>1</v>
      </c>
      <c r="E372" s="4" t="b">
        <f>RAW_DATA!E372&gt;=1</f>
        <v>1</v>
      </c>
      <c r="F372" s="4" t="b">
        <f>RAW_DATA!L372="No"</f>
        <v>1</v>
      </c>
      <c r="G372" s="4" t="b">
        <f t="shared" si="15"/>
        <v>1</v>
      </c>
      <c r="H372" s="4" t="str">
        <f t="shared" si="16"/>
        <v>ELIGIBLE</v>
      </c>
      <c r="I372" s="4" t="str">
        <f t="shared" si="17"/>
        <v/>
      </c>
    </row>
    <row r="373" spans="1:9" x14ac:dyDescent="0.25">
      <c r="A373" s="4" t="str">
        <f>RAW_DATA!A373</f>
        <v>APP372</v>
      </c>
      <c r="B373" s="4" t="b">
        <f>AND(RAW_DATA!B373&gt;=21,RAW_DATA!B373&lt;=60)</f>
        <v>1</v>
      </c>
      <c r="C373" s="4" t="b">
        <f>RAW_DATA!C373&gt;=300000</f>
        <v>1</v>
      </c>
      <c r="D373" s="4" t="b">
        <f>RAW_DATA!F373&gt;=650</f>
        <v>1</v>
      </c>
      <c r="E373" s="4" t="b">
        <f>RAW_DATA!E373&gt;=1</f>
        <v>1</v>
      </c>
      <c r="F373" s="4" t="b">
        <f>RAW_DATA!L373="No"</f>
        <v>1</v>
      </c>
      <c r="G373" s="4" t="b">
        <f t="shared" si="15"/>
        <v>1</v>
      </c>
      <c r="H373" s="4" t="str">
        <f t="shared" si="16"/>
        <v>ELIGIBLE</v>
      </c>
      <c r="I373" s="4" t="str">
        <f t="shared" si="17"/>
        <v/>
      </c>
    </row>
    <row r="374" spans="1:9" x14ac:dyDescent="0.25">
      <c r="A374" s="4" t="str">
        <f>RAW_DATA!A374</f>
        <v>APP373</v>
      </c>
      <c r="B374" s="4" t="b">
        <f>AND(RAW_DATA!B374&gt;=21,RAW_DATA!B374&lt;=60)</f>
        <v>1</v>
      </c>
      <c r="C374" s="4" t="b">
        <f>RAW_DATA!C374&gt;=300000</f>
        <v>1</v>
      </c>
      <c r="D374" s="4" t="b">
        <f>RAW_DATA!F374&gt;=650</f>
        <v>0</v>
      </c>
      <c r="E374" s="4" t="b">
        <f>RAW_DATA!E374&gt;=1</f>
        <v>1</v>
      </c>
      <c r="F374" s="4" t="b">
        <f>RAW_DATA!L374="No"</f>
        <v>1</v>
      </c>
      <c r="G374" s="4" t="b">
        <f t="shared" si="15"/>
        <v>0</v>
      </c>
      <c r="H374" s="4" t="str">
        <f t="shared" si="16"/>
        <v>INELIGIBLE</v>
      </c>
      <c r="I374" s="4" t="str">
        <f t="shared" si="17"/>
        <v>Credit Score</v>
      </c>
    </row>
    <row r="375" spans="1:9" x14ac:dyDescent="0.25">
      <c r="A375" s="4" t="str">
        <f>RAW_DATA!A375</f>
        <v>APP374</v>
      </c>
      <c r="B375" s="4" t="b">
        <f>AND(RAW_DATA!B375&gt;=21,RAW_DATA!B375&lt;=60)</f>
        <v>0</v>
      </c>
      <c r="C375" s="4" t="b">
        <f>RAW_DATA!C375&gt;=300000</f>
        <v>1</v>
      </c>
      <c r="D375" s="4" t="b">
        <f>RAW_DATA!F375&gt;=650</f>
        <v>0</v>
      </c>
      <c r="E375" s="4" t="b">
        <f>RAW_DATA!E375&gt;=1</f>
        <v>1</v>
      </c>
      <c r="F375" s="4" t="b">
        <f>RAW_DATA!L375="No"</f>
        <v>1</v>
      </c>
      <c r="G375" s="4" t="b">
        <f t="shared" si="15"/>
        <v>0</v>
      </c>
      <c r="H375" s="4" t="str">
        <f t="shared" si="16"/>
        <v>INELIGIBLE</v>
      </c>
      <c r="I375" s="4" t="str">
        <f t="shared" si="17"/>
        <v>Age, Credit Score</v>
      </c>
    </row>
    <row r="376" spans="1:9" x14ac:dyDescent="0.25">
      <c r="A376" s="4" t="str">
        <f>RAW_DATA!A376</f>
        <v>APP375</v>
      </c>
      <c r="B376" s="4" t="b">
        <f>AND(RAW_DATA!B376&gt;=21,RAW_DATA!B376&lt;=60)</f>
        <v>1</v>
      </c>
      <c r="C376" s="4" t="b">
        <f>RAW_DATA!C376&gt;=300000</f>
        <v>1</v>
      </c>
      <c r="D376" s="4" t="b">
        <f>RAW_DATA!F376&gt;=650</f>
        <v>0</v>
      </c>
      <c r="E376" s="4" t="b">
        <f>RAW_DATA!E376&gt;=1</f>
        <v>1</v>
      </c>
      <c r="F376" s="4" t="b">
        <f>RAW_DATA!L376="No"</f>
        <v>1</v>
      </c>
      <c r="G376" s="4" t="b">
        <f t="shared" si="15"/>
        <v>0</v>
      </c>
      <c r="H376" s="4" t="str">
        <f t="shared" si="16"/>
        <v>INELIGIBLE</v>
      </c>
      <c r="I376" s="4" t="str">
        <f t="shared" si="17"/>
        <v>Credit Score</v>
      </c>
    </row>
    <row r="377" spans="1:9" x14ac:dyDescent="0.25">
      <c r="A377" s="4" t="str">
        <f>RAW_DATA!A377</f>
        <v>APP376</v>
      </c>
      <c r="B377" s="4" t="b">
        <f>AND(RAW_DATA!B377&gt;=21,RAW_DATA!B377&lt;=60)</f>
        <v>1</v>
      </c>
      <c r="C377" s="4" t="b">
        <f>RAW_DATA!C377&gt;=300000</f>
        <v>1</v>
      </c>
      <c r="D377" s="4" t="b">
        <f>RAW_DATA!F377&gt;=650</f>
        <v>0</v>
      </c>
      <c r="E377" s="4" t="b">
        <f>RAW_DATA!E377&gt;=1</f>
        <v>1</v>
      </c>
      <c r="F377" s="4" t="b">
        <f>RAW_DATA!L377="No"</f>
        <v>1</v>
      </c>
      <c r="G377" s="4" t="b">
        <f t="shared" si="15"/>
        <v>0</v>
      </c>
      <c r="H377" s="4" t="str">
        <f t="shared" si="16"/>
        <v>INELIGIBLE</v>
      </c>
      <c r="I377" s="4" t="str">
        <f t="shared" si="17"/>
        <v>Credit Score</v>
      </c>
    </row>
    <row r="378" spans="1:9" x14ac:dyDescent="0.25">
      <c r="A378" s="4" t="str">
        <f>RAW_DATA!A378</f>
        <v>APP377</v>
      </c>
      <c r="B378" s="4" t="b">
        <f>AND(RAW_DATA!B378&gt;=21,RAW_DATA!B378&lt;=60)</f>
        <v>0</v>
      </c>
      <c r="C378" s="4" t="b">
        <f>RAW_DATA!C378&gt;=300000</f>
        <v>1</v>
      </c>
      <c r="D378" s="4" t="b">
        <f>RAW_DATA!F378&gt;=650</f>
        <v>1</v>
      </c>
      <c r="E378" s="4" t="b">
        <f>RAW_DATA!E378&gt;=1</f>
        <v>1</v>
      </c>
      <c r="F378" s="4" t="b">
        <f>RAW_DATA!L378="No"</f>
        <v>1</v>
      </c>
      <c r="G378" s="4" t="b">
        <f t="shared" si="15"/>
        <v>0</v>
      </c>
      <c r="H378" s="4" t="str">
        <f t="shared" si="16"/>
        <v>INELIGIBLE</v>
      </c>
      <c r="I378" s="4" t="str">
        <f t="shared" si="17"/>
        <v>Age</v>
      </c>
    </row>
    <row r="379" spans="1:9" x14ac:dyDescent="0.25">
      <c r="A379" s="4" t="str">
        <f>RAW_DATA!A379</f>
        <v>APP378</v>
      </c>
      <c r="B379" s="4" t="b">
        <f>AND(RAW_DATA!B379&gt;=21,RAW_DATA!B379&lt;=60)</f>
        <v>0</v>
      </c>
      <c r="C379" s="4" t="b">
        <f>RAW_DATA!C379&gt;=300000</f>
        <v>1</v>
      </c>
      <c r="D379" s="4" t="b">
        <f>RAW_DATA!F379&gt;=650</f>
        <v>1</v>
      </c>
      <c r="E379" s="4" t="b">
        <f>RAW_DATA!E379&gt;=1</f>
        <v>1</v>
      </c>
      <c r="F379" s="4" t="b">
        <f>RAW_DATA!L379="No"</f>
        <v>1</v>
      </c>
      <c r="G379" s="4" t="b">
        <f t="shared" si="15"/>
        <v>0</v>
      </c>
      <c r="H379" s="4" t="str">
        <f t="shared" si="16"/>
        <v>INELIGIBLE</v>
      </c>
      <c r="I379" s="4" t="str">
        <f t="shared" si="17"/>
        <v>Age</v>
      </c>
    </row>
    <row r="380" spans="1:9" x14ac:dyDescent="0.25">
      <c r="A380" s="4" t="str">
        <f>RAW_DATA!A380</f>
        <v>APP379</v>
      </c>
      <c r="B380" s="4" t="b">
        <f>AND(RAW_DATA!B380&gt;=21,RAW_DATA!B380&lt;=60)</f>
        <v>0</v>
      </c>
      <c r="C380" s="4" t="b">
        <f>RAW_DATA!C380&gt;=300000</f>
        <v>1</v>
      </c>
      <c r="D380" s="4" t="b">
        <f>RAW_DATA!F380&gt;=650</f>
        <v>0</v>
      </c>
      <c r="E380" s="4" t="b">
        <f>RAW_DATA!E380&gt;=1</f>
        <v>1</v>
      </c>
      <c r="F380" s="4" t="b">
        <f>RAW_DATA!L380="No"</f>
        <v>0</v>
      </c>
      <c r="G380" s="4" t="b">
        <f t="shared" si="15"/>
        <v>0</v>
      </c>
      <c r="H380" s="4" t="str">
        <f t="shared" si="16"/>
        <v>INELIGIBLE</v>
      </c>
      <c r="I380" s="4" t="str">
        <f t="shared" si="17"/>
        <v>Age, Credit Score, Defaulter History</v>
      </c>
    </row>
    <row r="381" spans="1:9" x14ac:dyDescent="0.25">
      <c r="A381" s="4" t="str">
        <f>RAW_DATA!A381</f>
        <v>APP380</v>
      </c>
      <c r="B381" s="4" t="b">
        <f>AND(RAW_DATA!B381&gt;=21,RAW_DATA!B381&lt;=60)</f>
        <v>1</v>
      </c>
      <c r="C381" s="4" t="b">
        <f>RAW_DATA!C381&gt;=300000</f>
        <v>1</v>
      </c>
      <c r="D381" s="4" t="b">
        <f>RAW_DATA!F381&gt;=650</f>
        <v>0</v>
      </c>
      <c r="E381" s="4" t="b">
        <f>RAW_DATA!E381&gt;=1</f>
        <v>1</v>
      </c>
      <c r="F381" s="4" t="b">
        <f>RAW_DATA!L381="No"</f>
        <v>1</v>
      </c>
      <c r="G381" s="4" t="b">
        <f t="shared" si="15"/>
        <v>0</v>
      </c>
      <c r="H381" s="4" t="str">
        <f t="shared" si="16"/>
        <v>INELIGIBLE</v>
      </c>
      <c r="I381" s="4" t="str">
        <f t="shared" si="17"/>
        <v>Credit Score</v>
      </c>
    </row>
    <row r="382" spans="1:9" x14ac:dyDescent="0.25">
      <c r="A382" s="4" t="str">
        <f>RAW_DATA!A382</f>
        <v>APP381</v>
      </c>
      <c r="B382" s="4" t="b">
        <f>AND(RAW_DATA!B382&gt;=21,RAW_DATA!B382&lt;=60)</f>
        <v>1</v>
      </c>
      <c r="C382" s="4" t="b">
        <f>RAW_DATA!C382&gt;=300000</f>
        <v>1</v>
      </c>
      <c r="D382" s="4" t="b">
        <f>RAW_DATA!F382&gt;=650</f>
        <v>1</v>
      </c>
      <c r="E382" s="4" t="b">
        <f>RAW_DATA!E382&gt;=1</f>
        <v>1</v>
      </c>
      <c r="F382" s="4" t="b">
        <f>RAW_DATA!L382="No"</f>
        <v>1</v>
      </c>
      <c r="G382" s="4" t="b">
        <f t="shared" si="15"/>
        <v>1</v>
      </c>
      <c r="H382" s="4" t="str">
        <f t="shared" si="16"/>
        <v>ELIGIBLE</v>
      </c>
      <c r="I382" s="4" t="str">
        <f t="shared" si="17"/>
        <v/>
      </c>
    </row>
    <row r="383" spans="1:9" x14ac:dyDescent="0.25">
      <c r="A383" s="4" t="str">
        <f>RAW_DATA!A383</f>
        <v>APP382</v>
      </c>
      <c r="B383" s="4" t="b">
        <f>AND(RAW_DATA!B383&gt;=21,RAW_DATA!B383&lt;=60)</f>
        <v>1</v>
      </c>
      <c r="C383" s="4" t="b">
        <f>RAW_DATA!C383&gt;=300000</f>
        <v>1</v>
      </c>
      <c r="D383" s="4" t="b">
        <f>RAW_DATA!F383&gt;=650</f>
        <v>0</v>
      </c>
      <c r="E383" s="4" t="b">
        <f>RAW_DATA!E383&gt;=1</f>
        <v>1</v>
      </c>
      <c r="F383" s="4" t="b">
        <f>RAW_DATA!L383="No"</f>
        <v>1</v>
      </c>
      <c r="G383" s="4" t="b">
        <f t="shared" si="15"/>
        <v>0</v>
      </c>
      <c r="H383" s="4" t="str">
        <f t="shared" si="16"/>
        <v>INELIGIBLE</v>
      </c>
      <c r="I383" s="4" t="str">
        <f t="shared" si="17"/>
        <v>Credit Score</v>
      </c>
    </row>
    <row r="384" spans="1:9" x14ac:dyDescent="0.25">
      <c r="A384" s="4" t="str">
        <f>RAW_DATA!A384</f>
        <v>APP383</v>
      </c>
      <c r="B384" s="4" t="b">
        <f>AND(RAW_DATA!B384&gt;=21,RAW_DATA!B384&lt;=60)</f>
        <v>1</v>
      </c>
      <c r="C384" s="4" t="b">
        <f>RAW_DATA!C384&gt;=300000</f>
        <v>1</v>
      </c>
      <c r="D384" s="4" t="b">
        <f>RAW_DATA!F384&gt;=650</f>
        <v>0</v>
      </c>
      <c r="E384" s="4" t="b">
        <f>RAW_DATA!E384&gt;=1</f>
        <v>0</v>
      </c>
      <c r="F384" s="4" t="b">
        <f>RAW_DATA!L384="No"</f>
        <v>1</v>
      </c>
      <c r="G384" s="4" t="b">
        <f t="shared" si="15"/>
        <v>0</v>
      </c>
      <c r="H384" s="4" t="str">
        <f t="shared" si="16"/>
        <v>INELIGIBLE</v>
      </c>
      <c r="I384" s="4" t="str">
        <f t="shared" si="17"/>
        <v>Credit Score, Employment</v>
      </c>
    </row>
    <row r="385" spans="1:9" x14ac:dyDescent="0.25">
      <c r="A385" s="4" t="str">
        <f>RAW_DATA!A385</f>
        <v>APP384</v>
      </c>
      <c r="B385" s="4" t="b">
        <f>AND(RAW_DATA!B385&gt;=21,RAW_DATA!B385&lt;=60)</f>
        <v>0</v>
      </c>
      <c r="C385" s="4" t="b">
        <f>RAW_DATA!C385&gt;=300000</f>
        <v>1</v>
      </c>
      <c r="D385" s="4" t="b">
        <f>RAW_DATA!F385&gt;=650</f>
        <v>0</v>
      </c>
      <c r="E385" s="4" t="b">
        <f>RAW_DATA!E385&gt;=1</f>
        <v>1</v>
      </c>
      <c r="F385" s="4" t="b">
        <f>RAW_DATA!L385="No"</f>
        <v>1</v>
      </c>
      <c r="G385" s="4" t="b">
        <f t="shared" si="15"/>
        <v>0</v>
      </c>
      <c r="H385" s="4" t="str">
        <f t="shared" si="16"/>
        <v>INELIGIBLE</v>
      </c>
      <c r="I385" s="4" t="str">
        <f t="shared" si="17"/>
        <v>Age, Credit Score</v>
      </c>
    </row>
    <row r="386" spans="1:9" x14ac:dyDescent="0.25">
      <c r="A386" s="4" t="str">
        <f>RAW_DATA!A386</f>
        <v>APP385</v>
      </c>
      <c r="B386" s="4" t="b">
        <f>AND(RAW_DATA!B386&gt;=21,RAW_DATA!B386&lt;=60)</f>
        <v>1</v>
      </c>
      <c r="C386" s="4" t="b">
        <f>RAW_DATA!C386&gt;=300000</f>
        <v>1</v>
      </c>
      <c r="D386" s="4" t="b">
        <f>RAW_DATA!F386&gt;=650</f>
        <v>0</v>
      </c>
      <c r="E386" s="4" t="b">
        <f>RAW_DATA!E386&gt;=1</f>
        <v>1</v>
      </c>
      <c r="F386" s="4" t="b">
        <f>RAW_DATA!L386="No"</f>
        <v>1</v>
      </c>
      <c r="G386" s="4" t="b">
        <f t="shared" si="15"/>
        <v>0</v>
      </c>
      <c r="H386" s="4" t="str">
        <f t="shared" si="16"/>
        <v>INELIGIBLE</v>
      </c>
      <c r="I386" s="4" t="str">
        <f t="shared" si="17"/>
        <v>Credit Score</v>
      </c>
    </row>
    <row r="387" spans="1:9" x14ac:dyDescent="0.25">
      <c r="A387" s="4" t="str">
        <f>RAW_DATA!A387</f>
        <v>APP386</v>
      </c>
      <c r="B387" s="4" t="b">
        <f>AND(RAW_DATA!B387&gt;=21,RAW_DATA!B387&lt;=60)</f>
        <v>1</v>
      </c>
      <c r="C387" s="4" t="b">
        <f>RAW_DATA!C387&gt;=300000</f>
        <v>1</v>
      </c>
      <c r="D387" s="4" t="b">
        <f>RAW_DATA!F387&gt;=650</f>
        <v>1</v>
      </c>
      <c r="E387" s="4" t="b">
        <f>RAW_DATA!E387&gt;=1</f>
        <v>1</v>
      </c>
      <c r="F387" s="4" t="b">
        <f>RAW_DATA!L387="No"</f>
        <v>1</v>
      </c>
      <c r="G387" s="4" t="b">
        <f t="shared" ref="G387:G450" si="18">AND(B387:F387)</f>
        <v>1</v>
      </c>
      <c r="H387" s="4" t="str">
        <f t="shared" ref="H387:H450" si="19">IF(G387,"ELIGIBLE","INELIGIBLE")</f>
        <v>ELIGIBLE</v>
      </c>
      <c r="I387" s="4" t="str">
        <f t="shared" ref="I387:I450" si="20">IF(G387,"",_xlfn.TEXTJOIN(", ",TRUE,IF(B387,"","Age"),IF(C387,"","Income"),IF(D387,"","Credit Score"),IF(E387,"","Employment"),IF(F387,"","Defaulter History")))</f>
        <v/>
      </c>
    </row>
    <row r="388" spans="1:9" x14ac:dyDescent="0.25">
      <c r="A388" s="4" t="str">
        <f>RAW_DATA!A388</f>
        <v>APP387</v>
      </c>
      <c r="B388" s="4" t="b">
        <f>AND(RAW_DATA!B388&gt;=21,RAW_DATA!B388&lt;=60)</f>
        <v>1</v>
      </c>
      <c r="C388" s="4" t="b">
        <f>RAW_DATA!C388&gt;=300000</f>
        <v>0</v>
      </c>
      <c r="D388" s="4" t="b">
        <f>RAW_DATA!F388&gt;=650</f>
        <v>0</v>
      </c>
      <c r="E388" s="4" t="b">
        <f>RAW_DATA!E388&gt;=1</f>
        <v>1</v>
      </c>
      <c r="F388" s="4" t="b">
        <f>RAW_DATA!L388="No"</f>
        <v>1</v>
      </c>
      <c r="G388" s="4" t="b">
        <f t="shared" si="18"/>
        <v>0</v>
      </c>
      <c r="H388" s="4" t="str">
        <f t="shared" si="19"/>
        <v>INELIGIBLE</v>
      </c>
      <c r="I388" s="4" t="str">
        <f t="shared" si="20"/>
        <v>Income, Credit Score</v>
      </c>
    </row>
    <row r="389" spans="1:9" x14ac:dyDescent="0.25">
      <c r="A389" s="4" t="str">
        <f>RAW_DATA!A389</f>
        <v>APP388</v>
      </c>
      <c r="B389" s="4" t="b">
        <f>AND(RAW_DATA!B389&gt;=21,RAW_DATA!B389&lt;=60)</f>
        <v>1</v>
      </c>
      <c r="C389" s="4" t="b">
        <f>RAW_DATA!C389&gt;=300000</f>
        <v>1</v>
      </c>
      <c r="D389" s="4" t="b">
        <f>RAW_DATA!F389&gt;=650</f>
        <v>0</v>
      </c>
      <c r="E389" s="4" t="b">
        <f>RAW_DATA!E389&gt;=1</f>
        <v>1</v>
      </c>
      <c r="F389" s="4" t="b">
        <f>RAW_DATA!L389="No"</f>
        <v>1</v>
      </c>
      <c r="G389" s="4" t="b">
        <f t="shared" si="18"/>
        <v>0</v>
      </c>
      <c r="H389" s="4" t="str">
        <f t="shared" si="19"/>
        <v>INELIGIBLE</v>
      </c>
      <c r="I389" s="4" t="str">
        <f t="shared" si="20"/>
        <v>Credit Score</v>
      </c>
    </row>
    <row r="390" spans="1:9" x14ac:dyDescent="0.25">
      <c r="A390" s="4" t="str">
        <f>RAW_DATA!A390</f>
        <v>APP389</v>
      </c>
      <c r="B390" s="4" t="b">
        <f>AND(RAW_DATA!B390&gt;=21,RAW_DATA!B390&lt;=60)</f>
        <v>1</v>
      </c>
      <c r="C390" s="4" t="b">
        <f>RAW_DATA!C390&gt;=300000</f>
        <v>1</v>
      </c>
      <c r="D390" s="4" t="b">
        <f>RAW_DATA!F390&gt;=650</f>
        <v>1</v>
      </c>
      <c r="E390" s="4" t="b">
        <f>RAW_DATA!E390&gt;=1</f>
        <v>1</v>
      </c>
      <c r="F390" s="4" t="b">
        <f>RAW_DATA!L390="No"</f>
        <v>0</v>
      </c>
      <c r="G390" s="4" t="b">
        <f t="shared" si="18"/>
        <v>0</v>
      </c>
      <c r="H390" s="4" t="str">
        <f t="shared" si="19"/>
        <v>INELIGIBLE</v>
      </c>
      <c r="I390" s="4" t="str">
        <f t="shared" si="20"/>
        <v>Defaulter History</v>
      </c>
    </row>
    <row r="391" spans="1:9" x14ac:dyDescent="0.25">
      <c r="A391" s="4" t="str">
        <f>RAW_DATA!A391</f>
        <v>APP390</v>
      </c>
      <c r="B391" s="4" t="b">
        <f>AND(RAW_DATA!B391&gt;=21,RAW_DATA!B391&lt;=60)</f>
        <v>1</v>
      </c>
      <c r="C391" s="4" t="b">
        <f>RAW_DATA!C391&gt;=300000</f>
        <v>1</v>
      </c>
      <c r="D391" s="4" t="b">
        <f>RAW_DATA!F391&gt;=650</f>
        <v>0</v>
      </c>
      <c r="E391" s="4" t="b">
        <f>RAW_DATA!E391&gt;=1</f>
        <v>1</v>
      </c>
      <c r="F391" s="4" t="b">
        <f>RAW_DATA!L391="No"</f>
        <v>0</v>
      </c>
      <c r="G391" s="4" t="b">
        <f t="shared" si="18"/>
        <v>0</v>
      </c>
      <c r="H391" s="4" t="str">
        <f t="shared" si="19"/>
        <v>INELIGIBLE</v>
      </c>
      <c r="I391" s="4" t="str">
        <f t="shared" si="20"/>
        <v>Credit Score, Defaulter History</v>
      </c>
    </row>
    <row r="392" spans="1:9" x14ac:dyDescent="0.25">
      <c r="A392" s="4" t="str">
        <f>RAW_DATA!A392</f>
        <v>APP391</v>
      </c>
      <c r="B392" s="4" t="b">
        <f>AND(RAW_DATA!B392&gt;=21,RAW_DATA!B392&lt;=60)</f>
        <v>1</v>
      </c>
      <c r="C392" s="4" t="b">
        <f>RAW_DATA!C392&gt;=300000</f>
        <v>1</v>
      </c>
      <c r="D392" s="4" t="b">
        <f>RAW_DATA!F392&gt;=650</f>
        <v>0</v>
      </c>
      <c r="E392" s="4" t="b">
        <f>RAW_DATA!E392&gt;=1</f>
        <v>1</v>
      </c>
      <c r="F392" s="4" t="b">
        <f>RAW_DATA!L392="No"</f>
        <v>1</v>
      </c>
      <c r="G392" s="4" t="b">
        <f t="shared" si="18"/>
        <v>0</v>
      </c>
      <c r="H392" s="4" t="str">
        <f t="shared" si="19"/>
        <v>INELIGIBLE</v>
      </c>
      <c r="I392" s="4" t="str">
        <f t="shared" si="20"/>
        <v>Credit Score</v>
      </c>
    </row>
    <row r="393" spans="1:9" x14ac:dyDescent="0.25">
      <c r="A393" s="4" t="str">
        <f>RAW_DATA!A393</f>
        <v>APP392</v>
      </c>
      <c r="B393" s="4" t="b">
        <f>AND(RAW_DATA!B393&gt;=21,RAW_DATA!B393&lt;=60)</f>
        <v>1</v>
      </c>
      <c r="C393" s="4" t="b">
        <f>RAW_DATA!C393&gt;=300000</f>
        <v>1</v>
      </c>
      <c r="D393" s="4" t="b">
        <f>RAW_DATA!F393&gt;=650</f>
        <v>0</v>
      </c>
      <c r="E393" s="4" t="b">
        <f>RAW_DATA!E393&gt;=1</f>
        <v>1</v>
      </c>
      <c r="F393" s="4" t="b">
        <f>RAW_DATA!L393="No"</f>
        <v>1</v>
      </c>
      <c r="G393" s="4" t="b">
        <f t="shared" si="18"/>
        <v>0</v>
      </c>
      <c r="H393" s="4" t="str">
        <f t="shared" si="19"/>
        <v>INELIGIBLE</v>
      </c>
      <c r="I393" s="4" t="str">
        <f t="shared" si="20"/>
        <v>Credit Score</v>
      </c>
    </row>
    <row r="394" spans="1:9" x14ac:dyDescent="0.25">
      <c r="A394" s="4" t="str">
        <f>RAW_DATA!A394</f>
        <v>APP393</v>
      </c>
      <c r="B394" s="4" t="b">
        <f>AND(RAW_DATA!B394&gt;=21,RAW_DATA!B394&lt;=60)</f>
        <v>1</v>
      </c>
      <c r="C394" s="4" t="b">
        <f>RAW_DATA!C394&gt;=300000</f>
        <v>1</v>
      </c>
      <c r="D394" s="4" t="b">
        <f>RAW_DATA!F394&gt;=650</f>
        <v>1</v>
      </c>
      <c r="E394" s="4" t="b">
        <f>RAW_DATA!E394&gt;=1</f>
        <v>1</v>
      </c>
      <c r="F394" s="4" t="b">
        <f>RAW_DATA!L394="No"</f>
        <v>0</v>
      </c>
      <c r="G394" s="4" t="b">
        <f t="shared" si="18"/>
        <v>0</v>
      </c>
      <c r="H394" s="4" t="str">
        <f t="shared" si="19"/>
        <v>INELIGIBLE</v>
      </c>
      <c r="I394" s="4" t="str">
        <f t="shared" si="20"/>
        <v>Defaulter History</v>
      </c>
    </row>
    <row r="395" spans="1:9" x14ac:dyDescent="0.25">
      <c r="A395" s="4" t="str">
        <f>RAW_DATA!A395</f>
        <v>APP394</v>
      </c>
      <c r="B395" s="4" t="b">
        <f>AND(RAW_DATA!B395&gt;=21,RAW_DATA!B395&lt;=60)</f>
        <v>1</v>
      </c>
      <c r="C395" s="4" t="b">
        <f>RAW_DATA!C395&gt;=300000</f>
        <v>1</v>
      </c>
      <c r="D395" s="4" t="b">
        <f>RAW_DATA!F395&gt;=650</f>
        <v>0</v>
      </c>
      <c r="E395" s="4" t="b">
        <f>RAW_DATA!E395&gt;=1</f>
        <v>1</v>
      </c>
      <c r="F395" s="4" t="b">
        <f>RAW_DATA!L395="No"</f>
        <v>1</v>
      </c>
      <c r="G395" s="4" t="b">
        <f t="shared" si="18"/>
        <v>0</v>
      </c>
      <c r="H395" s="4" t="str">
        <f t="shared" si="19"/>
        <v>INELIGIBLE</v>
      </c>
      <c r="I395" s="4" t="str">
        <f t="shared" si="20"/>
        <v>Credit Score</v>
      </c>
    </row>
    <row r="396" spans="1:9" x14ac:dyDescent="0.25">
      <c r="A396" s="4" t="str">
        <f>RAW_DATA!A396</f>
        <v>APP395</v>
      </c>
      <c r="B396" s="4" t="b">
        <f>AND(RAW_DATA!B396&gt;=21,RAW_DATA!B396&lt;=60)</f>
        <v>1</v>
      </c>
      <c r="C396" s="4" t="b">
        <f>RAW_DATA!C396&gt;=300000</f>
        <v>1</v>
      </c>
      <c r="D396" s="4" t="b">
        <f>RAW_DATA!F396&gt;=650</f>
        <v>0</v>
      </c>
      <c r="E396" s="4" t="b">
        <f>RAW_DATA!E396&gt;=1</f>
        <v>1</v>
      </c>
      <c r="F396" s="4" t="b">
        <f>RAW_DATA!L396="No"</f>
        <v>0</v>
      </c>
      <c r="G396" s="4" t="b">
        <f t="shared" si="18"/>
        <v>0</v>
      </c>
      <c r="H396" s="4" t="str">
        <f t="shared" si="19"/>
        <v>INELIGIBLE</v>
      </c>
      <c r="I396" s="4" t="str">
        <f t="shared" si="20"/>
        <v>Credit Score, Defaulter History</v>
      </c>
    </row>
    <row r="397" spans="1:9" x14ac:dyDescent="0.25">
      <c r="A397" s="4" t="str">
        <f>RAW_DATA!A397</f>
        <v>APP396</v>
      </c>
      <c r="B397" s="4" t="b">
        <f>AND(RAW_DATA!B397&gt;=21,RAW_DATA!B397&lt;=60)</f>
        <v>1</v>
      </c>
      <c r="C397" s="4" t="b">
        <f>RAW_DATA!C397&gt;=300000</f>
        <v>1</v>
      </c>
      <c r="D397" s="4" t="b">
        <f>RAW_DATA!F397&gt;=650</f>
        <v>0</v>
      </c>
      <c r="E397" s="4" t="b">
        <f>RAW_DATA!E397&gt;=1</f>
        <v>0</v>
      </c>
      <c r="F397" s="4" t="b">
        <f>RAW_DATA!L397="No"</f>
        <v>1</v>
      </c>
      <c r="G397" s="4" t="b">
        <f t="shared" si="18"/>
        <v>0</v>
      </c>
      <c r="H397" s="4" t="str">
        <f t="shared" si="19"/>
        <v>INELIGIBLE</v>
      </c>
      <c r="I397" s="4" t="str">
        <f t="shared" si="20"/>
        <v>Credit Score, Employment</v>
      </c>
    </row>
    <row r="398" spans="1:9" x14ac:dyDescent="0.25">
      <c r="A398" s="4" t="str">
        <f>RAW_DATA!A398</f>
        <v>APP397</v>
      </c>
      <c r="B398" s="4" t="b">
        <f>AND(RAW_DATA!B398&gt;=21,RAW_DATA!B398&lt;=60)</f>
        <v>1</v>
      </c>
      <c r="C398" s="4" t="b">
        <f>RAW_DATA!C398&gt;=300000</f>
        <v>1</v>
      </c>
      <c r="D398" s="4" t="b">
        <f>RAW_DATA!F398&gt;=650</f>
        <v>1</v>
      </c>
      <c r="E398" s="4" t="b">
        <f>RAW_DATA!E398&gt;=1</f>
        <v>1</v>
      </c>
      <c r="F398" s="4" t="b">
        <f>RAW_DATA!L398="No"</f>
        <v>1</v>
      </c>
      <c r="G398" s="4" t="b">
        <f t="shared" si="18"/>
        <v>1</v>
      </c>
      <c r="H398" s="4" t="str">
        <f t="shared" si="19"/>
        <v>ELIGIBLE</v>
      </c>
      <c r="I398" s="4" t="str">
        <f t="shared" si="20"/>
        <v/>
      </c>
    </row>
    <row r="399" spans="1:9" x14ac:dyDescent="0.25">
      <c r="A399" s="4" t="str">
        <f>RAW_DATA!A399</f>
        <v>APP398</v>
      </c>
      <c r="B399" s="4" t="b">
        <f>AND(RAW_DATA!B399&gt;=21,RAW_DATA!B399&lt;=60)</f>
        <v>1</v>
      </c>
      <c r="C399" s="4" t="b">
        <f>RAW_DATA!C399&gt;=300000</f>
        <v>1</v>
      </c>
      <c r="D399" s="4" t="b">
        <f>RAW_DATA!F399&gt;=650</f>
        <v>1</v>
      </c>
      <c r="E399" s="4" t="b">
        <f>RAW_DATA!E399&gt;=1</f>
        <v>1</v>
      </c>
      <c r="F399" s="4" t="b">
        <f>RAW_DATA!L399="No"</f>
        <v>1</v>
      </c>
      <c r="G399" s="4" t="b">
        <f t="shared" si="18"/>
        <v>1</v>
      </c>
      <c r="H399" s="4" t="str">
        <f t="shared" si="19"/>
        <v>ELIGIBLE</v>
      </c>
      <c r="I399" s="4" t="str">
        <f t="shared" si="20"/>
        <v/>
      </c>
    </row>
    <row r="400" spans="1:9" x14ac:dyDescent="0.25">
      <c r="A400" s="4" t="str">
        <f>RAW_DATA!A400</f>
        <v>APP399</v>
      </c>
      <c r="B400" s="4" t="b">
        <f>AND(RAW_DATA!B400&gt;=21,RAW_DATA!B400&lt;=60)</f>
        <v>1</v>
      </c>
      <c r="C400" s="4" t="b">
        <f>RAW_DATA!C400&gt;=300000</f>
        <v>1</v>
      </c>
      <c r="D400" s="4" t="b">
        <f>RAW_DATA!F400&gt;=650</f>
        <v>1</v>
      </c>
      <c r="E400" s="4" t="b">
        <f>RAW_DATA!E400&gt;=1</f>
        <v>1</v>
      </c>
      <c r="F400" s="4" t="b">
        <f>RAW_DATA!L400="No"</f>
        <v>1</v>
      </c>
      <c r="G400" s="4" t="b">
        <f t="shared" si="18"/>
        <v>1</v>
      </c>
      <c r="H400" s="4" t="str">
        <f t="shared" si="19"/>
        <v>ELIGIBLE</v>
      </c>
      <c r="I400" s="4" t="str">
        <f t="shared" si="20"/>
        <v/>
      </c>
    </row>
    <row r="401" spans="1:9" x14ac:dyDescent="0.25">
      <c r="A401" s="4" t="str">
        <f>RAW_DATA!A401</f>
        <v>APP400</v>
      </c>
      <c r="B401" s="4" t="b">
        <f>AND(RAW_DATA!B401&gt;=21,RAW_DATA!B401&lt;=60)</f>
        <v>1</v>
      </c>
      <c r="C401" s="4" t="b">
        <f>RAW_DATA!C401&gt;=300000</f>
        <v>1</v>
      </c>
      <c r="D401" s="4" t="b">
        <f>RAW_DATA!F401&gt;=650</f>
        <v>1</v>
      </c>
      <c r="E401" s="4" t="b">
        <f>RAW_DATA!E401&gt;=1</f>
        <v>1</v>
      </c>
      <c r="F401" s="4" t="b">
        <f>RAW_DATA!L401="No"</f>
        <v>1</v>
      </c>
      <c r="G401" s="4" t="b">
        <f t="shared" si="18"/>
        <v>1</v>
      </c>
      <c r="H401" s="4" t="str">
        <f t="shared" si="19"/>
        <v>ELIGIBLE</v>
      </c>
      <c r="I401" s="4" t="str">
        <f t="shared" si="20"/>
        <v/>
      </c>
    </row>
    <row r="402" spans="1:9" x14ac:dyDescent="0.25">
      <c r="A402" s="4" t="str">
        <f>RAW_DATA!A402</f>
        <v>APP401</v>
      </c>
      <c r="B402" s="4" t="b">
        <f>AND(RAW_DATA!B402&gt;=21,RAW_DATA!B402&lt;=60)</f>
        <v>1</v>
      </c>
      <c r="C402" s="4" t="b">
        <f>RAW_DATA!C402&gt;=300000</f>
        <v>1</v>
      </c>
      <c r="D402" s="4" t="b">
        <f>RAW_DATA!F402&gt;=650</f>
        <v>0</v>
      </c>
      <c r="E402" s="4" t="b">
        <f>RAW_DATA!E402&gt;=1</f>
        <v>1</v>
      </c>
      <c r="F402" s="4" t="b">
        <f>RAW_DATA!L402="No"</f>
        <v>1</v>
      </c>
      <c r="G402" s="4" t="b">
        <f t="shared" si="18"/>
        <v>0</v>
      </c>
      <c r="H402" s="4" t="str">
        <f t="shared" si="19"/>
        <v>INELIGIBLE</v>
      </c>
      <c r="I402" s="4" t="str">
        <f t="shared" si="20"/>
        <v>Credit Score</v>
      </c>
    </row>
    <row r="403" spans="1:9" x14ac:dyDescent="0.25">
      <c r="A403" s="4" t="str">
        <f>RAW_DATA!A403</f>
        <v>APP402</v>
      </c>
      <c r="B403" s="4" t="b">
        <f>AND(RAW_DATA!B403&gt;=21,RAW_DATA!B403&lt;=60)</f>
        <v>1</v>
      </c>
      <c r="C403" s="4" t="b">
        <f>RAW_DATA!C403&gt;=300000</f>
        <v>1</v>
      </c>
      <c r="D403" s="4" t="b">
        <f>RAW_DATA!F403&gt;=650</f>
        <v>0</v>
      </c>
      <c r="E403" s="4" t="b">
        <f>RAW_DATA!E403&gt;=1</f>
        <v>1</v>
      </c>
      <c r="F403" s="4" t="b">
        <f>RAW_DATA!L403="No"</f>
        <v>0</v>
      </c>
      <c r="G403" s="4" t="b">
        <f t="shared" si="18"/>
        <v>0</v>
      </c>
      <c r="H403" s="4" t="str">
        <f t="shared" si="19"/>
        <v>INELIGIBLE</v>
      </c>
      <c r="I403" s="4" t="str">
        <f t="shared" si="20"/>
        <v>Credit Score, Defaulter History</v>
      </c>
    </row>
    <row r="404" spans="1:9" x14ac:dyDescent="0.25">
      <c r="A404" s="4" t="str">
        <f>RAW_DATA!A404</f>
        <v>APP403</v>
      </c>
      <c r="B404" s="4" t="b">
        <f>AND(RAW_DATA!B404&gt;=21,RAW_DATA!B404&lt;=60)</f>
        <v>1</v>
      </c>
      <c r="C404" s="4" t="b">
        <f>RAW_DATA!C404&gt;=300000</f>
        <v>1</v>
      </c>
      <c r="D404" s="4" t="b">
        <f>RAW_DATA!F404&gt;=650</f>
        <v>0</v>
      </c>
      <c r="E404" s="4" t="b">
        <f>RAW_DATA!E404&gt;=1</f>
        <v>1</v>
      </c>
      <c r="F404" s="4" t="b">
        <f>RAW_DATA!L404="No"</f>
        <v>1</v>
      </c>
      <c r="G404" s="4" t="b">
        <f t="shared" si="18"/>
        <v>0</v>
      </c>
      <c r="H404" s="4" t="str">
        <f t="shared" si="19"/>
        <v>INELIGIBLE</v>
      </c>
      <c r="I404" s="4" t="str">
        <f t="shared" si="20"/>
        <v>Credit Score</v>
      </c>
    </row>
    <row r="405" spans="1:9" x14ac:dyDescent="0.25">
      <c r="A405" s="4" t="str">
        <f>RAW_DATA!A405</f>
        <v>APP404</v>
      </c>
      <c r="B405" s="4" t="b">
        <f>AND(RAW_DATA!B405&gt;=21,RAW_DATA!B405&lt;=60)</f>
        <v>1</v>
      </c>
      <c r="C405" s="4" t="b">
        <f>RAW_DATA!C405&gt;=300000</f>
        <v>1</v>
      </c>
      <c r="D405" s="4" t="b">
        <f>RAW_DATA!F405&gt;=650</f>
        <v>0</v>
      </c>
      <c r="E405" s="4" t="b">
        <f>RAW_DATA!E405&gt;=1</f>
        <v>1</v>
      </c>
      <c r="F405" s="4" t="b">
        <f>RAW_DATA!L405="No"</f>
        <v>1</v>
      </c>
      <c r="G405" s="4" t="b">
        <f t="shared" si="18"/>
        <v>0</v>
      </c>
      <c r="H405" s="4" t="str">
        <f t="shared" si="19"/>
        <v>INELIGIBLE</v>
      </c>
      <c r="I405" s="4" t="str">
        <f t="shared" si="20"/>
        <v>Credit Score</v>
      </c>
    </row>
    <row r="406" spans="1:9" x14ac:dyDescent="0.25">
      <c r="A406" s="4" t="str">
        <f>RAW_DATA!A406</f>
        <v>APP405</v>
      </c>
      <c r="B406" s="4" t="b">
        <f>AND(RAW_DATA!B406&gt;=21,RAW_DATA!B406&lt;=60)</f>
        <v>1</v>
      </c>
      <c r="C406" s="4" t="b">
        <f>RAW_DATA!C406&gt;=300000</f>
        <v>0</v>
      </c>
      <c r="D406" s="4" t="b">
        <f>RAW_DATA!F406&gt;=650</f>
        <v>1</v>
      </c>
      <c r="E406" s="4" t="b">
        <f>RAW_DATA!E406&gt;=1</f>
        <v>1</v>
      </c>
      <c r="F406" s="4" t="b">
        <f>RAW_DATA!L406="No"</f>
        <v>1</v>
      </c>
      <c r="G406" s="4" t="b">
        <f t="shared" si="18"/>
        <v>0</v>
      </c>
      <c r="H406" s="4" t="str">
        <f t="shared" si="19"/>
        <v>INELIGIBLE</v>
      </c>
      <c r="I406" s="4" t="str">
        <f t="shared" si="20"/>
        <v>Income</v>
      </c>
    </row>
    <row r="407" spans="1:9" x14ac:dyDescent="0.25">
      <c r="A407" s="4" t="str">
        <f>RAW_DATA!A407</f>
        <v>APP406</v>
      </c>
      <c r="B407" s="4" t="b">
        <f>AND(RAW_DATA!B407&gt;=21,RAW_DATA!B407&lt;=60)</f>
        <v>1</v>
      </c>
      <c r="C407" s="4" t="b">
        <f>RAW_DATA!C407&gt;=300000</f>
        <v>1</v>
      </c>
      <c r="D407" s="4" t="b">
        <f>RAW_DATA!F407&gt;=650</f>
        <v>1</v>
      </c>
      <c r="E407" s="4" t="b">
        <f>RAW_DATA!E407&gt;=1</f>
        <v>1</v>
      </c>
      <c r="F407" s="4" t="b">
        <f>RAW_DATA!L407="No"</f>
        <v>1</v>
      </c>
      <c r="G407" s="4" t="b">
        <f t="shared" si="18"/>
        <v>1</v>
      </c>
      <c r="H407" s="4" t="str">
        <f t="shared" si="19"/>
        <v>ELIGIBLE</v>
      </c>
      <c r="I407" s="4" t="str">
        <f t="shared" si="20"/>
        <v/>
      </c>
    </row>
    <row r="408" spans="1:9" x14ac:dyDescent="0.25">
      <c r="A408" s="4" t="str">
        <f>RAW_DATA!A408</f>
        <v>APP407</v>
      </c>
      <c r="B408" s="4" t="b">
        <f>AND(RAW_DATA!B408&gt;=21,RAW_DATA!B408&lt;=60)</f>
        <v>1</v>
      </c>
      <c r="C408" s="4" t="b">
        <f>RAW_DATA!C408&gt;=300000</f>
        <v>1</v>
      </c>
      <c r="D408" s="4" t="b">
        <f>RAW_DATA!F408&gt;=650</f>
        <v>0</v>
      </c>
      <c r="E408" s="4" t="b">
        <f>RAW_DATA!E408&gt;=1</f>
        <v>1</v>
      </c>
      <c r="F408" s="4" t="b">
        <f>RAW_DATA!L408="No"</f>
        <v>1</v>
      </c>
      <c r="G408" s="4" t="b">
        <f t="shared" si="18"/>
        <v>0</v>
      </c>
      <c r="H408" s="4" t="str">
        <f t="shared" si="19"/>
        <v>INELIGIBLE</v>
      </c>
      <c r="I408" s="4" t="str">
        <f t="shared" si="20"/>
        <v>Credit Score</v>
      </c>
    </row>
    <row r="409" spans="1:9" x14ac:dyDescent="0.25">
      <c r="A409" s="4" t="str">
        <f>RAW_DATA!A409</f>
        <v>APP408</v>
      </c>
      <c r="B409" s="4" t="b">
        <f>AND(RAW_DATA!B409&gt;=21,RAW_DATA!B409&lt;=60)</f>
        <v>0</v>
      </c>
      <c r="C409" s="4" t="b">
        <f>RAW_DATA!C409&gt;=300000</f>
        <v>1</v>
      </c>
      <c r="D409" s="4" t="b">
        <f>RAW_DATA!F409&gt;=650</f>
        <v>0</v>
      </c>
      <c r="E409" s="4" t="b">
        <f>RAW_DATA!E409&gt;=1</f>
        <v>1</v>
      </c>
      <c r="F409" s="4" t="b">
        <f>RAW_DATA!L409="No"</f>
        <v>1</v>
      </c>
      <c r="G409" s="4" t="b">
        <f t="shared" si="18"/>
        <v>0</v>
      </c>
      <c r="H409" s="4" t="str">
        <f t="shared" si="19"/>
        <v>INELIGIBLE</v>
      </c>
      <c r="I409" s="4" t="str">
        <f t="shared" si="20"/>
        <v>Age, Credit Score</v>
      </c>
    </row>
    <row r="410" spans="1:9" x14ac:dyDescent="0.25">
      <c r="A410" s="4" t="str">
        <f>RAW_DATA!A410</f>
        <v>APP409</v>
      </c>
      <c r="B410" s="4" t="b">
        <f>AND(RAW_DATA!B410&gt;=21,RAW_DATA!B410&lt;=60)</f>
        <v>1</v>
      </c>
      <c r="C410" s="4" t="b">
        <f>RAW_DATA!C410&gt;=300000</f>
        <v>1</v>
      </c>
      <c r="D410" s="4" t="b">
        <f>RAW_DATA!F410&gt;=650</f>
        <v>1</v>
      </c>
      <c r="E410" s="4" t="b">
        <f>RAW_DATA!E410&gt;=1</f>
        <v>1</v>
      </c>
      <c r="F410" s="4" t="b">
        <f>RAW_DATA!L410="No"</f>
        <v>1</v>
      </c>
      <c r="G410" s="4" t="b">
        <f t="shared" si="18"/>
        <v>1</v>
      </c>
      <c r="H410" s="4" t="str">
        <f t="shared" si="19"/>
        <v>ELIGIBLE</v>
      </c>
      <c r="I410" s="4" t="str">
        <f t="shared" si="20"/>
        <v/>
      </c>
    </row>
    <row r="411" spans="1:9" x14ac:dyDescent="0.25">
      <c r="A411" s="4" t="str">
        <f>RAW_DATA!A411</f>
        <v>APP410</v>
      </c>
      <c r="B411" s="4" t="b">
        <f>AND(RAW_DATA!B411&gt;=21,RAW_DATA!B411&lt;=60)</f>
        <v>1</v>
      </c>
      <c r="C411" s="4" t="b">
        <f>RAW_DATA!C411&gt;=300000</f>
        <v>1</v>
      </c>
      <c r="D411" s="4" t="b">
        <f>RAW_DATA!F411&gt;=650</f>
        <v>1</v>
      </c>
      <c r="E411" s="4" t="b">
        <f>RAW_DATA!E411&gt;=1</f>
        <v>1</v>
      </c>
      <c r="F411" s="4" t="b">
        <f>RAW_DATA!L411="No"</f>
        <v>0</v>
      </c>
      <c r="G411" s="4" t="b">
        <f t="shared" si="18"/>
        <v>0</v>
      </c>
      <c r="H411" s="4" t="str">
        <f t="shared" si="19"/>
        <v>INELIGIBLE</v>
      </c>
      <c r="I411" s="4" t="str">
        <f t="shared" si="20"/>
        <v>Defaulter History</v>
      </c>
    </row>
    <row r="412" spans="1:9" x14ac:dyDescent="0.25">
      <c r="A412" s="4" t="str">
        <f>RAW_DATA!A412</f>
        <v>APP411</v>
      </c>
      <c r="B412" s="4" t="b">
        <f>AND(RAW_DATA!B412&gt;=21,RAW_DATA!B412&lt;=60)</f>
        <v>1</v>
      </c>
      <c r="C412" s="4" t="b">
        <f>RAW_DATA!C412&gt;=300000</f>
        <v>1</v>
      </c>
      <c r="D412" s="4" t="b">
        <f>RAW_DATA!F412&gt;=650</f>
        <v>1</v>
      </c>
      <c r="E412" s="4" t="b">
        <f>RAW_DATA!E412&gt;=1</f>
        <v>1</v>
      </c>
      <c r="F412" s="4" t="b">
        <f>RAW_DATA!L412="No"</f>
        <v>1</v>
      </c>
      <c r="G412" s="4" t="b">
        <f t="shared" si="18"/>
        <v>1</v>
      </c>
      <c r="H412" s="4" t="str">
        <f t="shared" si="19"/>
        <v>ELIGIBLE</v>
      </c>
      <c r="I412" s="4" t="str">
        <f t="shared" si="20"/>
        <v/>
      </c>
    </row>
    <row r="413" spans="1:9" x14ac:dyDescent="0.25">
      <c r="A413" s="4" t="str">
        <f>RAW_DATA!A413</f>
        <v>APP412</v>
      </c>
      <c r="B413" s="4" t="b">
        <f>AND(RAW_DATA!B413&gt;=21,RAW_DATA!B413&lt;=60)</f>
        <v>1</v>
      </c>
      <c r="C413" s="4" t="b">
        <f>RAW_DATA!C413&gt;=300000</f>
        <v>1</v>
      </c>
      <c r="D413" s="4" t="b">
        <f>RAW_DATA!F413&gt;=650</f>
        <v>1</v>
      </c>
      <c r="E413" s="4" t="b">
        <f>RAW_DATA!E413&gt;=1</f>
        <v>1</v>
      </c>
      <c r="F413" s="4" t="b">
        <f>RAW_DATA!L413="No"</f>
        <v>1</v>
      </c>
      <c r="G413" s="4" t="b">
        <f t="shared" si="18"/>
        <v>1</v>
      </c>
      <c r="H413" s="4" t="str">
        <f t="shared" si="19"/>
        <v>ELIGIBLE</v>
      </c>
      <c r="I413" s="4" t="str">
        <f t="shared" si="20"/>
        <v/>
      </c>
    </row>
    <row r="414" spans="1:9" x14ac:dyDescent="0.25">
      <c r="A414" s="4" t="str">
        <f>RAW_DATA!A414</f>
        <v>APP413</v>
      </c>
      <c r="B414" s="4" t="b">
        <f>AND(RAW_DATA!B414&gt;=21,RAW_DATA!B414&lt;=60)</f>
        <v>1</v>
      </c>
      <c r="C414" s="4" t="b">
        <f>RAW_DATA!C414&gt;=300000</f>
        <v>1</v>
      </c>
      <c r="D414" s="4" t="b">
        <f>RAW_DATA!F414&gt;=650</f>
        <v>0</v>
      </c>
      <c r="E414" s="4" t="b">
        <f>RAW_DATA!E414&gt;=1</f>
        <v>1</v>
      </c>
      <c r="F414" s="4" t="b">
        <f>RAW_DATA!L414="No"</f>
        <v>1</v>
      </c>
      <c r="G414" s="4" t="b">
        <f t="shared" si="18"/>
        <v>0</v>
      </c>
      <c r="H414" s="4" t="str">
        <f t="shared" si="19"/>
        <v>INELIGIBLE</v>
      </c>
      <c r="I414" s="4" t="str">
        <f t="shared" si="20"/>
        <v>Credit Score</v>
      </c>
    </row>
    <row r="415" spans="1:9" x14ac:dyDescent="0.25">
      <c r="A415" s="4" t="str">
        <f>RAW_DATA!A415</f>
        <v>APP414</v>
      </c>
      <c r="B415" s="4" t="b">
        <f>AND(RAW_DATA!B415&gt;=21,RAW_DATA!B415&lt;=60)</f>
        <v>1</v>
      </c>
      <c r="C415" s="4" t="b">
        <f>RAW_DATA!C415&gt;=300000</f>
        <v>0</v>
      </c>
      <c r="D415" s="4" t="b">
        <f>RAW_DATA!F415&gt;=650</f>
        <v>0</v>
      </c>
      <c r="E415" s="4" t="b">
        <f>RAW_DATA!E415&gt;=1</f>
        <v>1</v>
      </c>
      <c r="F415" s="4" t="b">
        <f>RAW_DATA!L415="No"</f>
        <v>0</v>
      </c>
      <c r="G415" s="4" t="b">
        <f t="shared" si="18"/>
        <v>0</v>
      </c>
      <c r="H415" s="4" t="str">
        <f t="shared" si="19"/>
        <v>INELIGIBLE</v>
      </c>
      <c r="I415" s="4" t="str">
        <f t="shared" si="20"/>
        <v>Income, Credit Score, Defaulter History</v>
      </c>
    </row>
    <row r="416" spans="1:9" x14ac:dyDescent="0.25">
      <c r="A416" s="4" t="str">
        <f>RAW_DATA!A416</f>
        <v>APP415</v>
      </c>
      <c r="B416" s="4" t="b">
        <f>AND(RAW_DATA!B416&gt;=21,RAW_DATA!B416&lt;=60)</f>
        <v>0</v>
      </c>
      <c r="C416" s="4" t="b">
        <f>RAW_DATA!C416&gt;=300000</f>
        <v>0</v>
      </c>
      <c r="D416" s="4" t="b">
        <f>RAW_DATA!F416&gt;=650</f>
        <v>1</v>
      </c>
      <c r="E416" s="4" t="b">
        <f>RAW_DATA!E416&gt;=1</f>
        <v>1</v>
      </c>
      <c r="F416" s="4" t="b">
        <f>RAW_DATA!L416="No"</f>
        <v>1</v>
      </c>
      <c r="G416" s="4" t="b">
        <f t="shared" si="18"/>
        <v>0</v>
      </c>
      <c r="H416" s="4" t="str">
        <f t="shared" si="19"/>
        <v>INELIGIBLE</v>
      </c>
      <c r="I416" s="4" t="str">
        <f t="shared" si="20"/>
        <v>Age, Income</v>
      </c>
    </row>
    <row r="417" spans="1:9" x14ac:dyDescent="0.25">
      <c r="A417" s="4" t="str">
        <f>RAW_DATA!A417</f>
        <v>APP416</v>
      </c>
      <c r="B417" s="4" t="b">
        <f>AND(RAW_DATA!B417&gt;=21,RAW_DATA!B417&lt;=60)</f>
        <v>1</v>
      </c>
      <c r="C417" s="4" t="b">
        <f>RAW_DATA!C417&gt;=300000</f>
        <v>1</v>
      </c>
      <c r="D417" s="4" t="b">
        <f>RAW_DATA!F417&gt;=650</f>
        <v>0</v>
      </c>
      <c r="E417" s="4" t="b">
        <f>RAW_DATA!E417&gt;=1</f>
        <v>1</v>
      </c>
      <c r="F417" s="4" t="b">
        <f>RAW_DATA!L417="No"</f>
        <v>1</v>
      </c>
      <c r="G417" s="4" t="b">
        <f t="shared" si="18"/>
        <v>0</v>
      </c>
      <c r="H417" s="4" t="str">
        <f t="shared" si="19"/>
        <v>INELIGIBLE</v>
      </c>
      <c r="I417" s="4" t="str">
        <f t="shared" si="20"/>
        <v>Credit Score</v>
      </c>
    </row>
    <row r="418" spans="1:9" x14ac:dyDescent="0.25">
      <c r="A418" s="4" t="str">
        <f>RAW_DATA!A418</f>
        <v>APP417</v>
      </c>
      <c r="B418" s="4" t="b">
        <f>AND(RAW_DATA!B418&gt;=21,RAW_DATA!B418&lt;=60)</f>
        <v>1</v>
      </c>
      <c r="C418" s="4" t="b">
        <f>RAW_DATA!C418&gt;=300000</f>
        <v>1</v>
      </c>
      <c r="D418" s="4" t="b">
        <f>RAW_DATA!F418&gt;=650</f>
        <v>0</v>
      </c>
      <c r="E418" s="4" t="b">
        <f>RAW_DATA!E418&gt;=1</f>
        <v>1</v>
      </c>
      <c r="F418" s="4" t="b">
        <f>RAW_DATA!L418="No"</f>
        <v>1</v>
      </c>
      <c r="G418" s="4" t="b">
        <f t="shared" si="18"/>
        <v>0</v>
      </c>
      <c r="H418" s="4" t="str">
        <f t="shared" si="19"/>
        <v>INELIGIBLE</v>
      </c>
      <c r="I418" s="4" t="str">
        <f t="shared" si="20"/>
        <v>Credit Score</v>
      </c>
    </row>
    <row r="419" spans="1:9" x14ac:dyDescent="0.25">
      <c r="A419" s="4" t="str">
        <f>RAW_DATA!A419</f>
        <v>APP418</v>
      </c>
      <c r="B419" s="4" t="b">
        <f>AND(RAW_DATA!B419&gt;=21,RAW_DATA!B419&lt;=60)</f>
        <v>1</v>
      </c>
      <c r="C419" s="4" t="b">
        <f>RAW_DATA!C419&gt;=300000</f>
        <v>1</v>
      </c>
      <c r="D419" s="4" t="b">
        <f>RAW_DATA!F419&gt;=650</f>
        <v>1</v>
      </c>
      <c r="E419" s="4" t="b">
        <f>RAW_DATA!E419&gt;=1</f>
        <v>1</v>
      </c>
      <c r="F419" s="4" t="b">
        <f>RAW_DATA!L419="No"</f>
        <v>1</v>
      </c>
      <c r="G419" s="4" t="b">
        <f t="shared" si="18"/>
        <v>1</v>
      </c>
      <c r="H419" s="4" t="str">
        <f t="shared" si="19"/>
        <v>ELIGIBLE</v>
      </c>
      <c r="I419" s="4" t="str">
        <f t="shared" si="20"/>
        <v/>
      </c>
    </row>
    <row r="420" spans="1:9" x14ac:dyDescent="0.25">
      <c r="A420" s="4" t="str">
        <f>RAW_DATA!A420</f>
        <v>APP419</v>
      </c>
      <c r="B420" s="4" t="b">
        <f>AND(RAW_DATA!B420&gt;=21,RAW_DATA!B420&lt;=60)</f>
        <v>1</v>
      </c>
      <c r="C420" s="4" t="b">
        <f>RAW_DATA!C420&gt;=300000</f>
        <v>1</v>
      </c>
      <c r="D420" s="4" t="b">
        <f>RAW_DATA!F420&gt;=650</f>
        <v>1</v>
      </c>
      <c r="E420" s="4" t="b">
        <f>RAW_DATA!E420&gt;=1</f>
        <v>1</v>
      </c>
      <c r="F420" s="4" t="b">
        <f>RAW_DATA!L420="No"</f>
        <v>1</v>
      </c>
      <c r="G420" s="4" t="b">
        <f t="shared" si="18"/>
        <v>1</v>
      </c>
      <c r="H420" s="4" t="str">
        <f t="shared" si="19"/>
        <v>ELIGIBLE</v>
      </c>
      <c r="I420" s="4" t="str">
        <f t="shared" si="20"/>
        <v/>
      </c>
    </row>
    <row r="421" spans="1:9" x14ac:dyDescent="0.25">
      <c r="A421" s="4" t="str">
        <f>RAW_DATA!A421</f>
        <v>APP420</v>
      </c>
      <c r="B421" s="4" t="b">
        <f>AND(RAW_DATA!B421&gt;=21,RAW_DATA!B421&lt;=60)</f>
        <v>0</v>
      </c>
      <c r="C421" s="4" t="b">
        <f>RAW_DATA!C421&gt;=300000</f>
        <v>1</v>
      </c>
      <c r="D421" s="4" t="b">
        <f>RAW_DATA!F421&gt;=650</f>
        <v>0</v>
      </c>
      <c r="E421" s="4" t="b">
        <f>RAW_DATA!E421&gt;=1</f>
        <v>1</v>
      </c>
      <c r="F421" s="4" t="b">
        <f>RAW_DATA!L421="No"</f>
        <v>1</v>
      </c>
      <c r="G421" s="4" t="b">
        <f t="shared" si="18"/>
        <v>0</v>
      </c>
      <c r="H421" s="4" t="str">
        <f t="shared" si="19"/>
        <v>INELIGIBLE</v>
      </c>
      <c r="I421" s="4" t="str">
        <f t="shared" si="20"/>
        <v>Age, Credit Score</v>
      </c>
    </row>
    <row r="422" spans="1:9" x14ac:dyDescent="0.25">
      <c r="A422" s="4" t="str">
        <f>RAW_DATA!A422</f>
        <v>APP421</v>
      </c>
      <c r="B422" s="4" t="b">
        <f>AND(RAW_DATA!B422&gt;=21,RAW_DATA!B422&lt;=60)</f>
        <v>0</v>
      </c>
      <c r="C422" s="4" t="b">
        <f>RAW_DATA!C422&gt;=300000</f>
        <v>1</v>
      </c>
      <c r="D422" s="4" t="b">
        <f>RAW_DATA!F422&gt;=650</f>
        <v>1</v>
      </c>
      <c r="E422" s="4" t="b">
        <f>RAW_DATA!E422&gt;=1</f>
        <v>1</v>
      </c>
      <c r="F422" s="4" t="b">
        <f>RAW_DATA!L422="No"</f>
        <v>1</v>
      </c>
      <c r="G422" s="4" t="b">
        <f t="shared" si="18"/>
        <v>0</v>
      </c>
      <c r="H422" s="4" t="str">
        <f t="shared" si="19"/>
        <v>INELIGIBLE</v>
      </c>
      <c r="I422" s="4" t="str">
        <f t="shared" si="20"/>
        <v>Age</v>
      </c>
    </row>
    <row r="423" spans="1:9" x14ac:dyDescent="0.25">
      <c r="A423" s="4" t="str">
        <f>RAW_DATA!A423</f>
        <v>APP422</v>
      </c>
      <c r="B423" s="4" t="b">
        <f>AND(RAW_DATA!B423&gt;=21,RAW_DATA!B423&lt;=60)</f>
        <v>1</v>
      </c>
      <c r="C423" s="4" t="b">
        <f>RAW_DATA!C423&gt;=300000</f>
        <v>1</v>
      </c>
      <c r="D423" s="4" t="b">
        <f>RAW_DATA!F423&gt;=650</f>
        <v>0</v>
      </c>
      <c r="E423" s="4" t="b">
        <f>RAW_DATA!E423&gt;=1</f>
        <v>1</v>
      </c>
      <c r="F423" s="4" t="b">
        <f>RAW_DATA!L423="No"</f>
        <v>1</v>
      </c>
      <c r="G423" s="4" t="b">
        <f t="shared" si="18"/>
        <v>0</v>
      </c>
      <c r="H423" s="4" t="str">
        <f t="shared" si="19"/>
        <v>INELIGIBLE</v>
      </c>
      <c r="I423" s="4" t="str">
        <f t="shared" si="20"/>
        <v>Credit Score</v>
      </c>
    </row>
    <row r="424" spans="1:9" x14ac:dyDescent="0.25">
      <c r="A424" s="4" t="str">
        <f>RAW_DATA!A424</f>
        <v>APP423</v>
      </c>
      <c r="B424" s="4" t="b">
        <f>AND(RAW_DATA!B424&gt;=21,RAW_DATA!B424&lt;=60)</f>
        <v>1</v>
      </c>
      <c r="C424" s="4" t="b">
        <f>RAW_DATA!C424&gt;=300000</f>
        <v>1</v>
      </c>
      <c r="D424" s="4" t="b">
        <f>RAW_DATA!F424&gt;=650</f>
        <v>1</v>
      </c>
      <c r="E424" s="4" t="b">
        <f>RAW_DATA!E424&gt;=1</f>
        <v>1</v>
      </c>
      <c r="F424" s="4" t="b">
        <f>RAW_DATA!L424="No"</f>
        <v>1</v>
      </c>
      <c r="G424" s="4" t="b">
        <f t="shared" si="18"/>
        <v>1</v>
      </c>
      <c r="H424" s="4" t="str">
        <f t="shared" si="19"/>
        <v>ELIGIBLE</v>
      </c>
      <c r="I424" s="4" t="str">
        <f t="shared" si="20"/>
        <v/>
      </c>
    </row>
    <row r="425" spans="1:9" x14ac:dyDescent="0.25">
      <c r="A425" s="4" t="str">
        <f>RAW_DATA!A425</f>
        <v>APP424</v>
      </c>
      <c r="B425" s="4" t="b">
        <f>AND(RAW_DATA!B425&gt;=21,RAW_DATA!B425&lt;=60)</f>
        <v>1</v>
      </c>
      <c r="C425" s="4" t="b">
        <f>RAW_DATA!C425&gt;=300000</f>
        <v>1</v>
      </c>
      <c r="D425" s="4" t="b">
        <f>RAW_DATA!F425&gt;=650</f>
        <v>0</v>
      </c>
      <c r="E425" s="4" t="b">
        <f>RAW_DATA!E425&gt;=1</f>
        <v>1</v>
      </c>
      <c r="F425" s="4" t="b">
        <f>RAW_DATA!L425="No"</f>
        <v>1</v>
      </c>
      <c r="G425" s="4" t="b">
        <f t="shared" si="18"/>
        <v>0</v>
      </c>
      <c r="H425" s="4" t="str">
        <f t="shared" si="19"/>
        <v>INELIGIBLE</v>
      </c>
      <c r="I425" s="4" t="str">
        <f t="shared" si="20"/>
        <v>Credit Score</v>
      </c>
    </row>
    <row r="426" spans="1:9" x14ac:dyDescent="0.25">
      <c r="A426" s="4" t="str">
        <f>RAW_DATA!A426</f>
        <v>APP425</v>
      </c>
      <c r="B426" s="4" t="b">
        <f>AND(RAW_DATA!B426&gt;=21,RAW_DATA!B426&lt;=60)</f>
        <v>1</v>
      </c>
      <c r="C426" s="4" t="b">
        <f>RAW_DATA!C426&gt;=300000</f>
        <v>1</v>
      </c>
      <c r="D426" s="4" t="b">
        <f>RAW_DATA!F426&gt;=650</f>
        <v>0</v>
      </c>
      <c r="E426" s="4" t="b">
        <f>RAW_DATA!E426&gt;=1</f>
        <v>1</v>
      </c>
      <c r="F426" s="4" t="b">
        <f>RAW_DATA!L426="No"</f>
        <v>1</v>
      </c>
      <c r="G426" s="4" t="b">
        <f t="shared" si="18"/>
        <v>0</v>
      </c>
      <c r="H426" s="4" t="str">
        <f t="shared" si="19"/>
        <v>INELIGIBLE</v>
      </c>
      <c r="I426" s="4" t="str">
        <f t="shared" si="20"/>
        <v>Credit Score</v>
      </c>
    </row>
    <row r="427" spans="1:9" x14ac:dyDescent="0.25">
      <c r="A427" s="4" t="str">
        <f>RAW_DATA!A427</f>
        <v>APP426</v>
      </c>
      <c r="B427" s="4" t="b">
        <f>AND(RAW_DATA!B427&gt;=21,RAW_DATA!B427&lt;=60)</f>
        <v>1</v>
      </c>
      <c r="C427" s="4" t="b">
        <f>RAW_DATA!C427&gt;=300000</f>
        <v>1</v>
      </c>
      <c r="D427" s="4" t="b">
        <f>RAW_DATA!F427&gt;=650</f>
        <v>1</v>
      </c>
      <c r="E427" s="4" t="b">
        <f>RAW_DATA!E427&gt;=1</f>
        <v>1</v>
      </c>
      <c r="F427" s="4" t="b">
        <f>RAW_DATA!L427="No"</f>
        <v>1</v>
      </c>
      <c r="G427" s="4" t="b">
        <f t="shared" si="18"/>
        <v>1</v>
      </c>
      <c r="H427" s="4" t="str">
        <f t="shared" si="19"/>
        <v>ELIGIBLE</v>
      </c>
      <c r="I427" s="4" t="str">
        <f t="shared" si="20"/>
        <v/>
      </c>
    </row>
    <row r="428" spans="1:9" x14ac:dyDescent="0.25">
      <c r="A428" s="4" t="str">
        <f>RAW_DATA!A428</f>
        <v>APP427</v>
      </c>
      <c r="B428" s="4" t="b">
        <f>AND(RAW_DATA!B428&gt;=21,RAW_DATA!B428&lt;=60)</f>
        <v>1</v>
      </c>
      <c r="C428" s="4" t="b">
        <f>RAW_DATA!C428&gt;=300000</f>
        <v>1</v>
      </c>
      <c r="D428" s="4" t="b">
        <f>RAW_DATA!F428&gt;=650</f>
        <v>0</v>
      </c>
      <c r="E428" s="4" t="b">
        <f>RAW_DATA!E428&gt;=1</f>
        <v>1</v>
      </c>
      <c r="F428" s="4" t="b">
        <f>RAW_DATA!L428="No"</f>
        <v>0</v>
      </c>
      <c r="G428" s="4" t="b">
        <f t="shared" si="18"/>
        <v>0</v>
      </c>
      <c r="H428" s="4" t="str">
        <f t="shared" si="19"/>
        <v>INELIGIBLE</v>
      </c>
      <c r="I428" s="4" t="str">
        <f t="shared" si="20"/>
        <v>Credit Score, Defaulter History</v>
      </c>
    </row>
    <row r="429" spans="1:9" x14ac:dyDescent="0.25">
      <c r="A429" s="4" t="str">
        <f>RAW_DATA!A429</f>
        <v>APP428</v>
      </c>
      <c r="B429" s="4" t="b">
        <f>AND(RAW_DATA!B429&gt;=21,RAW_DATA!B429&lt;=60)</f>
        <v>1</v>
      </c>
      <c r="C429" s="4" t="b">
        <f>RAW_DATA!C429&gt;=300000</f>
        <v>1</v>
      </c>
      <c r="D429" s="4" t="b">
        <f>RAW_DATA!F429&gt;=650</f>
        <v>0</v>
      </c>
      <c r="E429" s="4" t="b">
        <f>RAW_DATA!E429&gt;=1</f>
        <v>1</v>
      </c>
      <c r="F429" s="4" t="b">
        <f>RAW_DATA!L429="No"</f>
        <v>1</v>
      </c>
      <c r="G429" s="4" t="b">
        <f t="shared" si="18"/>
        <v>0</v>
      </c>
      <c r="H429" s="4" t="str">
        <f t="shared" si="19"/>
        <v>INELIGIBLE</v>
      </c>
      <c r="I429" s="4" t="str">
        <f t="shared" si="20"/>
        <v>Credit Score</v>
      </c>
    </row>
    <row r="430" spans="1:9" x14ac:dyDescent="0.25">
      <c r="A430" s="4" t="str">
        <f>RAW_DATA!A430</f>
        <v>APP429</v>
      </c>
      <c r="B430" s="4" t="b">
        <f>AND(RAW_DATA!B430&gt;=21,RAW_DATA!B430&lt;=60)</f>
        <v>1</v>
      </c>
      <c r="C430" s="4" t="b">
        <f>RAW_DATA!C430&gt;=300000</f>
        <v>1</v>
      </c>
      <c r="D430" s="4" t="b">
        <f>RAW_DATA!F430&gt;=650</f>
        <v>1</v>
      </c>
      <c r="E430" s="4" t="b">
        <f>RAW_DATA!E430&gt;=1</f>
        <v>1</v>
      </c>
      <c r="F430" s="4" t="b">
        <f>RAW_DATA!L430="No"</f>
        <v>0</v>
      </c>
      <c r="G430" s="4" t="b">
        <f t="shared" si="18"/>
        <v>0</v>
      </c>
      <c r="H430" s="4" t="str">
        <f t="shared" si="19"/>
        <v>INELIGIBLE</v>
      </c>
      <c r="I430" s="4" t="str">
        <f t="shared" si="20"/>
        <v>Defaulter History</v>
      </c>
    </row>
    <row r="431" spans="1:9" x14ac:dyDescent="0.25">
      <c r="A431" s="4" t="str">
        <f>RAW_DATA!A431</f>
        <v>APP430</v>
      </c>
      <c r="B431" s="4" t="b">
        <f>AND(RAW_DATA!B431&gt;=21,RAW_DATA!B431&lt;=60)</f>
        <v>1</v>
      </c>
      <c r="C431" s="4" t="b">
        <f>RAW_DATA!C431&gt;=300000</f>
        <v>1</v>
      </c>
      <c r="D431" s="4" t="b">
        <f>RAW_DATA!F431&gt;=650</f>
        <v>0</v>
      </c>
      <c r="E431" s="4" t="b">
        <f>RAW_DATA!E431&gt;=1</f>
        <v>1</v>
      </c>
      <c r="F431" s="4" t="b">
        <f>RAW_DATA!L431="No"</f>
        <v>1</v>
      </c>
      <c r="G431" s="4" t="b">
        <f t="shared" si="18"/>
        <v>0</v>
      </c>
      <c r="H431" s="4" t="str">
        <f t="shared" si="19"/>
        <v>INELIGIBLE</v>
      </c>
      <c r="I431" s="4" t="str">
        <f t="shared" si="20"/>
        <v>Credit Score</v>
      </c>
    </row>
    <row r="432" spans="1:9" x14ac:dyDescent="0.25">
      <c r="A432" s="4" t="str">
        <f>RAW_DATA!A432</f>
        <v>APP431</v>
      </c>
      <c r="B432" s="4" t="b">
        <f>AND(RAW_DATA!B432&gt;=21,RAW_DATA!B432&lt;=60)</f>
        <v>1</v>
      </c>
      <c r="C432" s="4" t="b">
        <f>RAW_DATA!C432&gt;=300000</f>
        <v>1</v>
      </c>
      <c r="D432" s="4" t="b">
        <f>RAW_DATA!F432&gt;=650</f>
        <v>0</v>
      </c>
      <c r="E432" s="4" t="b">
        <f>RAW_DATA!E432&gt;=1</f>
        <v>1</v>
      </c>
      <c r="F432" s="4" t="b">
        <f>RAW_DATA!L432="No"</f>
        <v>1</v>
      </c>
      <c r="G432" s="4" t="b">
        <f t="shared" si="18"/>
        <v>0</v>
      </c>
      <c r="H432" s="4" t="str">
        <f t="shared" si="19"/>
        <v>INELIGIBLE</v>
      </c>
      <c r="I432" s="4" t="str">
        <f t="shared" si="20"/>
        <v>Credit Score</v>
      </c>
    </row>
    <row r="433" spans="1:9" x14ac:dyDescent="0.25">
      <c r="A433" s="4" t="str">
        <f>RAW_DATA!A433</f>
        <v>APP432</v>
      </c>
      <c r="B433" s="4" t="b">
        <f>AND(RAW_DATA!B433&gt;=21,RAW_DATA!B433&lt;=60)</f>
        <v>0</v>
      </c>
      <c r="C433" s="4" t="b">
        <f>RAW_DATA!C433&gt;=300000</f>
        <v>1</v>
      </c>
      <c r="D433" s="4" t="b">
        <f>RAW_DATA!F433&gt;=650</f>
        <v>1</v>
      </c>
      <c r="E433" s="4" t="b">
        <f>RAW_DATA!E433&gt;=1</f>
        <v>1</v>
      </c>
      <c r="F433" s="4" t="b">
        <f>RAW_DATA!L433="No"</f>
        <v>0</v>
      </c>
      <c r="G433" s="4" t="b">
        <f t="shared" si="18"/>
        <v>0</v>
      </c>
      <c r="H433" s="4" t="str">
        <f t="shared" si="19"/>
        <v>INELIGIBLE</v>
      </c>
      <c r="I433" s="4" t="str">
        <f t="shared" si="20"/>
        <v>Age, Defaulter History</v>
      </c>
    </row>
    <row r="434" spans="1:9" x14ac:dyDescent="0.25">
      <c r="A434" s="4" t="str">
        <f>RAW_DATA!A434</f>
        <v>APP433</v>
      </c>
      <c r="B434" s="4" t="b">
        <f>AND(RAW_DATA!B434&gt;=21,RAW_DATA!B434&lt;=60)</f>
        <v>1</v>
      </c>
      <c r="C434" s="4" t="b">
        <f>RAW_DATA!C434&gt;=300000</f>
        <v>1</v>
      </c>
      <c r="D434" s="4" t="b">
        <f>RAW_DATA!F434&gt;=650</f>
        <v>1</v>
      </c>
      <c r="E434" s="4" t="b">
        <f>RAW_DATA!E434&gt;=1</f>
        <v>1</v>
      </c>
      <c r="F434" s="4" t="b">
        <f>RAW_DATA!L434="No"</f>
        <v>1</v>
      </c>
      <c r="G434" s="4" t="b">
        <f t="shared" si="18"/>
        <v>1</v>
      </c>
      <c r="H434" s="4" t="str">
        <f t="shared" si="19"/>
        <v>ELIGIBLE</v>
      </c>
      <c r="I434" s="4" t="str">
        <f t="shared" si="20"/>
        <v/>
      </c>
    </row>
    <row r="435" spans="1:9" x14ac:dyDescent="0.25">
      <c r="A435" s="4" t="str">
        <f>RAW_DATA!A435</f>
        <v>APP434</v>
      </c>
      <c r="B435" s="4" t="b">
        <f>AND(RAW_DATA!B435&gt;=21,RAW_DATA!B435&lt;=60)</f>
        <v>1</v>
      </c>
      <c r="C435" s="4" t="b">
        <f>RAW_DATA!C435&gt;=300000</f>
        <v>1</v>
      </c>
      <c r="D435" s="4" t="b">
        <f>RAW_DATA!F435&gt;=650</f>
        <v>0</v>
      </c>
      <c r="E435" s="4" t="b">
        <f>RAW_DATA!E435&gt;=1</f>
        <v>0</v>
      </c>
      <c r="F435" s="4" t="b">
        <f>RAW_DATA!L435="No"</f>
        <v>0</v>
      </c>
      <c r="G435" s="4" t="b">
        <f t="shared" si="18"/>
        <v>0</v>
      </c>
      <c r="H435" s="4" t="str">
        <f t="shared" si="19"/>
        <v>INELIGIBLE</v>
      </c>
      <c r="I435" s="4" t="str">
        <f t="shared" si="20"/>
        <v>Credit Score, Employment, Defaulter History</v>
      </c>
    </row>
    <row r="436" spans="1:9" x14ac:dyDescent="0.25">
      <c r="A436" s="4" t="str">
        <f>RAW_DATA!A436</f>
        <v>APP435</v>
      </c>
      <c r="B436" s="4" t="b">
        <f>AND(RAW_DATA!B436&gt;=21,RAW_DATA!B436&lt;=60)</f>
        <v>1</v>
      </c>
      <c r="C436" s="4" t="b">
        <f>RAW_DATA!C436&gt;=300000</f>
        <v>1</v>
      </c>
      <c r="D436" s="4" t="b">
        <f>RAW_DATA!F436&gt;=650</f>
        <v>1</v>
      </c>
      <c r="E436" s="4" t="b">
        <f>RAW_DATA!E436&gt;=1</f>
        <v>0</v>
      </c>
      <c r="F436" s="4" t="b">
        <f>RAW_DATA!L436="No"</f>
        <v>1</v>
      </c>
      <c r="G436" s="4" t="b">
        <f t="shared" si="18"/>
        <v>0</v>
      </c>
      <c r="H436" s="4" t="str">
        <f t="shared" si="19"/>
        <v>INELIGIBLE</v>
      </c>
      <c r="I436" s="4" t="str">
        <f t="shared" si="20"/>
        <v>Employment</v>
      </c>
    </row>
    <row r="437" spans="1:9" x14ac:dyDescent="0.25">
      <c r="A437" s="4" t="str">
        <f>RAW_DATA!A437</f>
        <v>APP436</v>
      </c>
      <c r="B437" s="4" t="b">
        <f>AND(RAW_DATA!B437&gt;=21,RAW_DATA!B437&lt;=60)</f>
        <v>1</v>
      </c>
      <c r="C437" s="4" t="b">
        <f>RAW_DATA!C437&gt;=300000</f>
        <v>1</v>
      </c>
      <c r="D437" s="4" t="b">
        <f>RAW_DATA!F437&gt;=650</f>
        <v>0</v>
      </c>
      <c r="E437" s="4" t="b">
        <f>RAW_DATA!E437&gt;=1</f>
        <v>1</v>
      </c>
      <c r="F437" s="4" t="b">
        <f>RAW_DATA!L437="No"</f>
        <v>1</v>
      </c>
      <c r="G437" s="4" t="b">
        <f t="shared" si="18"/>
        <v>0</v>
      </c>
      <c r="H437" s="4" t="str">
        <f t="shared" si="19"/>
        <v>INELIGIBLE</v>
      </c>
      <c r="I437" s="4" t="str">
        <f t="shared" si="20"/>
        <v>Credit Score</v>
      </c>
    </row>
    <row r="438" spans="1:9" x14ac:dyDescent="0.25">
      <c r="A438" s="4" t="str">
        <f>RAW_DATA!A438</f>
        <v>APP437</v>
      </c>
      <c r="B438" s="4" t="b">
        <f>AND(RAW_DATA!B438&gt;=21,RAW_DATA!B438&lt;=60)</f>
        <v>1</v>
      </c>
      <c r="C438" s="4" t="b">
        <f>RAW_DATA!C438&gt;=300000</f>
        <v>1</v>
      </c>
      <c r="D438" s="4" t="b">
        <f>RAW_DATA!F438&gt;=650</f>
        <v>0</v>
      </c>
      <c r="E438" s="4" t="b">
        <f>RAW_DATA!E438&gt;=1</f>
        <v>1</v>
      </c>
      <c r="F438" s="4" t="b">
        <f>RAW_DATA!L438="No"</f>
        <v>1</v>
      </c>
      <c r="G438" s="4" t="b">
        <f t="shared" si="18"/>
        <v>0</v>
      </c>
      <c r="H438" s="4" t="str">
        <f t="shared" si="19"/>
        <v>INELIGIBLE</v>
      </c>
      <c r="I438" s="4" t="str">
        <f t="shared" si="20"/>
        <v>Credit Score</v>
      </c>
    </row>
    <row r="439" spans="1:9" x14ac:dyDescent="0.25">
      <c r="A439" s="4" t="str">
        <f>RAW_DATA!A439</f>
        <v>APP438</v>
      </c>
      <c r="B439" s="4" t="b">
        <f>AND(RAW_DATA!B439&gt;=21,RAW_DATA!B439&lt;=60)</f>
        <v>1</v>
      </c>
      <c r="C439" s="4" t="b">
        <f>RAW_DATA!C439&gt;=300000</f>
        <v>1</v>
      </c>
      <c r="D439" s="4" t="b">
        <f>RAW_DATA!F439&gt;=650</f>
        <v>0</v>
      </c>
      <c r="E439" s="4" t="b">
        <f>RAW_DATA!E439&gt;=1</f>
        <v>1</v>
      </c>
      <c r="F439" s="4" t="b">
        <f>RAW_DATA!L439="No"</f>
        <v>1</v>
      </c>
      <c r="G439" s="4" t="b">
        <f t="shared" si="18"/>
        <v>0</v>
      </c>
      <c r="H439" s="4" t="str">
        <f t="shared" si="19"/>
        <v>INELIGIBLE</v>
      </c>
      <c r="I439" s="4" t="str">
        <f t="shared" si="20"/>
        <v>Credit Score</v>
      </c>
    </row>
    <row r="440" spans="1:9" x14ac:dyDescent="0.25">
      <c r="A440" s="4" t="str">
        <f>RAW_DATA!A440</f>
        <v>APP439</v>
      </c>
      <c r="B440" s="4" t="b">
        <f>AND(RAW_DATA!B440&gt;=21,RAW_DATA!B440&lt;=60)</f>
        <v>1</v>
      </c>
      <c r="C440" s="4" t="b">
        <f>RAW_DATA!C440&gt;=300000</f>
        <v>1</v>
      </c>
      <c r="D440" s="4" t="b">
        <f>RAW_DATA!F440&gt;=650</f>
        <v>1</v>
      </c>
      <c r="E440" s="4" t="b">
        <f>RAW_DATA!E440&gt;=1</f>
        <v>1</v>
      </c>
      <c r="F440" s="4" t="b">
        <f>RAW_DATA!L440="No"</f>
        <v>1</v>
      </c>
      <c r="G440" s="4" t="b">
        <f t="shared" si="18"/>
        <v>1</v>
      </c>
      <c r="H440" s="4" t="str">
        <f t="shared" si="19"/>
        <v>ELIGIBLE</v>
      </c>
      <c r="I440" s="4" t="str">
        <f t="shared" si="20"/>
        <v/>
      </c>
    </row>
    <row r="441" spans="1:9" x14ac:dyDescent="0.25">
      <c r="A441" s="4" t="str">
        <f>RAW_DATA!A441</f>
        <v>APP440</v>
      </c>
      <c r="B441" s="4" t="b">
        <f>AND(RAW_DATA!B441&gt;=21,RAW_DATA!B441&lt;=60)</f>
        <v>1</v>
      </c>
      <c r="C441" s="4" t="b">
        <f>RAW_DATA!C441&gt;=300000</f>
        <v>1</v>
      </c>
      <c r="D441" s="4" t="b">
        <f>RAW_DATA!F441&gt;=650</f>
        <v>0</v>
      </c>
      <c r="E441" s="4" t="b">
        <f>RAW_DATA!E441&gt;=1</f>
        <v>1</v>
      </c>
      <c r="F441" s="4" t="b">
        <f>RAW_DATA!L441="No"</f>
        <v>0</v>
      </c>
      <c r="G441" s="4" t="b">
        <f t="shared" si="18"/>
        <v>0</v>
      </c>
      <c r="H441" s="4" t="str">
        <f t="shared" si="19"/>
        <v>INELIGIBLE</v>
      </c>
      <c r="I441" s="4" t="str">
        <f t="shared" si="20"/>
        <v>Credit Score, Defaulter History</v>
      </c>
    </row>
    <row r="442" spans="1:9" x14ac:dyDescent="0.25">
      <c r="A442" s="4" t="str">
        <f>RAW_DATA!A442</f>
        <v>APP441</v>
      </c>
      <c r="B442" s="4" t="b">
        <f>AND(RAW_DATA!B442&gt;=21,RAW_DATA!B442&lt;=60)</f>
        <v>1</v>
      </c>
      <c r="C442" s="4" t="b">
        <f>RAW_DATA!C442&gt;=300000</f>
        <v>1</v>
      </c>
      <c r="D442" s="4" t="b">
        <f>RAW_DATA!F442&gt;=650</f>
        <v>0</v>
      </c>
      <c r="E442" s="4" t="b">
        <f>RAW_DATA!E442&gt;=1</f>
        <v>1</v>
      </c>
      <c r="F442" s="4" t="b">
        <f>RAW_DATA!L442="No"</f>
        <v>1</v>
      </c>
      <c r="G442" s="4" t="b">
        <f t="shared" si="18"/>
        <v>0</v>
      </c>
      <c r="H442" s="4" t="str">
        <f t="shared" si="19"/>
        <v>INELIGIBLE</v>
      </c>
      <c r="I442" s="4" t="str">
        <f t="shared" si="20"/>
        <v>Credit Score</v>
      </c>
    </row>
    <row r="443" spans="1:9" x14ac:dyDescent="0.25">
      <c r="A443" s="4" t="str">
        <f>RAW_DATA!A443</f>
        <v>APP442</v>
      </c>
      <c r="B443" s="4" t="b">
        <f>AND(RAW_DATA!B443&gt;=21,RAW_DATA!B443&lt;=60)</f>
        <v>1</v>
      </c>
      <c r="C443" s="4" t="b">
        <f>RAW_DATA!C443&gt;=300000</f>
        <v>1</v>
      </c>
      <c r="D443" s="4" t="b">
        <f>RAW_DATA!F443&gt;=650</f>
        <v>1</v>
      </c>
      <c r="E443" s="4" t="b">
        <f>RAW_DATA!E443&gt;=1</f>
        <v>1</v>
      </c>
      <c r="F443" s="4" t="b">
        <f>RAW_DATA!L443="No"</f>
        <v>1</v>
      </c>
      <c r="G443" s="4" t="b">
        <f t="shared" si="18"/>
        <v>1</v>
      </c>
      <c r="H443" s="4" t="str">
        <f t="shared" si="19"/>
        <v>ELIGIBLE</v>
      </c>
      <c r="I443" s="4" t="str">
        <f t="shared" si="20"/>
        <v/>
      </c>
    </row>
    <row r="444" spans="1:9" x14ac:dyDescent="0.25">
      <c r="A444" s="4" t="str">
        <f>RAW_DATA!A444</f>
        <v>APP443</v>
      </c>
      <c r="B444" s="4" t="b">
        <f>AND(RAW_DATA!B444&gt;=21,RAW_DATA!B444&lt;=60)</f>
        <v>1</v>
      </c>
      <c r="C444" s="4" t="b">
        <f>RAW_DATA!C444&gt;=300000</f>
        <v>1</v>
      </c>
      <c r="D444" s="4" t="b">
        <f>RAW_DATA!F444&gt;=650</f>
        <v>0</v>
      </c>
      <c r="E444" s="4" t="b">
        <f>RAW_DATA!E444&gt;=1</f>
        <v>1</v>
      </c>
      <c r="F444" s="4" t="b">
        <f>RAW_DATA!L444="No"</f>
        <v>1</v>
      </c>
      <c r="G444" s="4" t="b">
        <f t="shared" si="18"/>
        <v>0</v>
      </c>
      <c r="H444" s="4" t="str">
        <f t="shared" si="19"/>
        <v>INELIGIBLE</v>
      </c>
      <c r="I444" s="4" t="str">
        <f t="shared" si="20"/>
        <v>Credit Score</v>
      </c>
    </row>
    <row r="445" spans="1:9" x14ac:dyDescent="0.25">
      <c r="A445" s="4" t="str">
        <f>RAW_DATA!A445</f>
        <v>APP444</v>
      </c>
      <c r="B445" s="4" t="b">
        <f>AND(RAW_DATA!B445&gt;=21,RAW_DATA!B445&lt;=60)</f>
        <v>1</v>
      </c>
      <c r="C445" s="4" t="b">
        <f>RAW_DATA!C445&gt;=300000</f>
        <v>1</v>
      </c>
      <c r="D445" s="4" t="b">
        <f>RAW_DATA!F445&gt;=650</f>
        <v>1</v>
      </c>
      <c r="E445" s="4" t="b">
        <f>RAW_DATA!E445&gt;=1</f>
        <v>1</v>
      </c>
      <c r="F445" s="4" t="b">
        <f>RAW_DATA!L445="No"</f>
        <v>1</v>
      </c>
      <c r="G445" s="4" t="b">
        <f t="shared" si="18"/>
        <v>1</v>
      </c>
      <c r="H445" s="4" t="str">
        <f t="shared" si="19"/>
        <v>ELIGIBLE</v>
      </c>
      <c r="I445" s="4" t="str">
        <f t="shared" si="20"/>
        <v/>
      </c>
    </row>
    <row r="446" spans="1:9" x14ac:dyDescent="0.25">
      <c r="A446" s="4" t="str">
        <f>RAW_DATA!A446</f>
        <v>APP445</v>
      </c>
      <c r="B446" s="4" t="b">
        <f>AND(RAW_DATA!B446&gt;=21,RAW_DATA!B446&lt;=60)</f>
        <v>1</v>
      </c>
      <c r="C446" s="4" t="b">
        <f>RAW_DATA!C446&gt;=300000</f>
        <v>1</v>
      </c>
      <c r="D446" s="4" t="b">
        <f>RAW_DATA!F446&gt;=650</f>
        <v>1</v>
      </c>
      <c r="E446" s="4" t="b">
        <f>RAW_DATA!E446&gt;=1</f>
        <v>1</v>
      </c>
      <c r="F446" s="4" t="b">
        <f>RAW_DATA!L446="No"</f>
        <v>1</v>
      </c>
      <c r="G446" s="4" t="b">
        <f t="shared" si="18"/>
        <v>1</v>
      </c>
      <c r="H446" s="4" t="str">
        <f t="shared" si="19"/>
        <v>ELIGIBLE</v>
      </c>
      <c r="I446" s="4" t="str">
        <f t="shared" si="20"/>
        <v/>
      </c>
    </row>
    <row r="447" spans="1:9" x14ac:dyDescent="0.25">
      <c r="A447" s="4" t="str">
        <f>RAW_DATA!A447</f>
        <v>APP446</v>
      </c>
      <c r="B447" s="4" t="b">
        <f>AND(RAW_DATA!B447&gt;=21,RAW_DATA!B447&lt;=60)</f>
        <v>1</v>
      </c>
      <c r="C447" s="4" t="b">
        <f>RAW_DATA!C447&gt;=300000</f>
        <v>1</v>
      </c>
      <c r="D447" s="4" t="b">
        <f>RAW_DATA!F447&gt;=650</f>
        <v>0</v>
      </c>
      <c r="E447" s="4" t="b">
        <f>RAW_DATA!E447&gt;=1</f>
        <v>0</v>
      </c>
      <c r="F447" s="4" t="b">
        <f>RAW_DATA!L447="No"</f>
        <v>1</v>
      </c>
      <c r="G447" s="4" t="b">
        <f t="shared" si="18"/>
        <v>0</v>
      </c>
      <c r="H447" s="4" t="str">
        <f t="shared" si="19"/>
        <v>INELIGIBLE</v>
      </c>
      <c r="I447" s="4" t="str">
        <f t="shared" si="20"/>
        <v>Credit Score, Employment</v>
      </c>
    </row>
    <row r="448" spans="1:9" x14ac:dyDescent="0.25">
      <c r="A448" s="4" t="str">
        <f>RAW_DATA!A448</f>
        <v>APP447</v>
      </c>
      <c r="B448" s="4" t="b">
        <f>AND(RAW_DATA!B448&gt;=21,RAW_DATA!B448&lt;=60)</f>
        <v>1</v>
      </c>
      <c r="C448" s="4" t="b">
        <f>RAW_DATA!C448&gt;=300000</f>
        <v>1</v>
      </c>
      <c r="D448" s="4" t="b">
        <f>RAW_DATA!F448&gt;=650</f>
        <v>1</v>
      </c>
      <c r="E448" s="4" t="b">
        <f>RAW_DATA!E448&gt;=1</f>
        <v>1</v>
      </c>
      <c r="F448" s="4" t="b">
        <f>RAW_DATA!L448="No"</f>
        <v>1</v>
      </c>
      <c r="G448" s="4" t="b">
        <f t="shared" si="18"/>
        <v>1</v>
      </c>
      <c r="H448" s="4" t="str">
        <f t="shared" si="19"/>
        <v>ELIGIBLE</v>
      </c>
      <c r="I448" s="4" t="str">
        <f t="shared" si="20"/>
        <v/>
      </c>
    </row>
    <row r="449" spans="1:9" x14ac:dyDescent="0.25">
      <c r="A449" s="4" t="str">
        <f>RAW_DATA!A449</f>
        <v>APP448</v>
      </c>
      <c r="B449" s="4" t="b">
        <f>AND(RAW_DATA!B449&gt;=21,RAW_DATA!B449&lt;=60)</f>
        <v>1</v>
      </c>
      <c r="C449" s="4" t="b">
        <f>RAW_DATA!C449&gt;=300000</f>
        <v>1</v>
      </c>
      <c r="D449" s="4" t="b">
        <f>RAW_DATA!F449&gt;=650</f>
        <v>1</v>
      </c>
      <c r="E449" s="4" t="b">
        <f>RAW_DATA!E449&gt;=1</f>
        <v>1</v>
      </c>
      <c r="F449" s="4" t="b">
        <f>RAW_DATA!L449="No"</f>
        <v>1</v>
      </c>
      <c r="G449" s="4" t="b">
        <f t="shared" si="18"/>
        <v>1</v>
      </c>
      <c r="H449" s="4" t="str">
        <f t="shared" si="19"/>
        <v>ELIGIBLE</v>
      </c>
      <c r="I449" s="4" t="str">
        <f t="shared" si="20"/>
        <v/>
      </c>
    </row>
    <row r="450" spans="1:9" x14ac:dyDescent="0.25">
      <c r="A450" s="4" t="str">
        <f>RAW_DATA!A450</f>
        <v>APP449</v>
      </c>
      <c r="B450" s="4" t="b">
        <f>AND(RAW_DATA!B450&gt;=21,RAW_DATA!B450&lt;=60)</f>
        <v>1</v>
      </c>
      <c r="C450" s="4" t="b">
        <f>RAW_DATA!C450&gt;=300000</f>
        <v>0</v>
      </c>
      <c r="D450" s="4" t="b">
        <f>RAW_DATA!F450&gt;=650</f>
        <v>1</v>
      </c>
      <c r="E450" s="4" t="b">
        <f>RAW_DATA!E450&gt;=1</f>
        <v>1</v>
      </c>
      <c r="F450" s="4" t="b">
        <f>RAW_DATA!L450="No"</f>
        <v>0</v>
      </c>
      <c r="G450" s="4" t="b">
        <f t="shared" si="18"/>
        <v>0</v>
      </c>
      <c r="H450" s="4" t="str">
        <f t="shared" si="19"/>
        <v>INELIGIBLE</v>
      </c>
      <c r="I450" s="4" t="str">
        <f t="shared" si="20"/>
        <v>Income, Defaulter History</v>
      </c>
    </row>
    <row r="451" spans="1:9" x14ac:dyDescent="0.25">
      <c r="A451" s="4" t="str">
        <f>RAW_DATA!A451</f>
        <v>APP450</v>
      </c>
      <c r="B451" s="4" t="b">
        <f>AND(RAW_DATA!B451&gt;=21,RAW_DATA!B451&lt;=60)</f>
        <v>1</v>
      </c>
      <c r="C451" s="4" t="b">
        <f>RAW_DATA!C451&gt;=300000</f>
        <v>1</v>
      </c>
      <c r="D451" s="4" t="b">
        <f>RAW_DATA!F451&gt;=650</f>
        <v>0</v>
      </c>
      <c r="E451" s="4" t="b">
        <f>RAW_DATA!E451&gt;=1</f>
        <v>1</v>
      </c>
      <c r="F451" s="4" t="b">
        <f>RAW_DATA!L451="No"</f>
        <v>1</v>
      </c>
      <c r="G451" s="4" t="b">
        <f t="shared" ref="G451:G501" si="21">AND(B451:F451)</f>
        <v>0</v>
      </c>
      <c r="H451" s="4" t="str">
        <f t="shared" ref="H451:H501" si="22">IF(G451,"ELIGIBLE","INELIGIBLE")</f>
        <v>INELIGIBLE</v>
      </c>
      <c r="I451" s="4" t="str">
        <f t="shared" ref="I451:I501" si="23">IF(G451,"",_xlfn.TEXTJOIN(", ",TRUE,IF(B451,"","Age"),IF(C451,"","Income"),IF(D451,"","Credit Score"),IF(E451,"","Employment"),IF(F451,"","Defaulter History")))</f>
        <v>Credit Score</v>
      </c>
    </row>
    <row r="452" spans="1:9" x14ac:dyDescent="0.25">
      <c r="A452" s="4" t="str">
        <f>RAW_DATA!A452</f>
        <v>APP451</v>
      </c>
      <c r="B452" s="4" t="b">
        <f>AND(RAW_DATA!B452&gt;=21,RAW_DATA!B452&lt;=60)</f>
        <v>1</v>
      </c>
      <c r="C452" s="4" t="b">
        <f>RAW_DATA!C452&gt;=300000</f>
        <v>1</v>
      </c>
      <c r="D452" s="4" t="b">
        <f>RAW_DATA!F452&gt;=650</f>
        <v>1</v>
      </c>
      <c r="E452" s="4" t="b">
        <f>RAW_DATA!E452&gt;=1</f>
        <v>1</v>
      </c>
      <c r="F452" s="4" t="b">
        <f>RAW_DATA!L452="No"</f>
        <v>0</v>
      </c>
      <c r="G452" s="4" t="b">
        <f t="shared" si="21"/>
        <v>0</v>
      </c>
      <c r="H452" s="4" t="str">
        <f t="shared" si="22"/>
        <v>INELIGIBLE</v>
      </c>
      <c r="I452" s="4" t="str">
        <f t="shared" si="23"/>
        <v>Defaulter History</v>
      </c>
    </row>
    <row r="453" spans="1:9" x14ac:dyDescent="0.25">
      <c r="A453" s="4" t="str">
        <f>RAW_DATA!A453</f>
        <v>APP452</v>
      </c>
      <c r="B453" s="4" t="b">
        <f>AND(RAW_DATA!B453&gt;=21,RAW_DATA!B453&lt;=60)</f>
        <v>1</v>
      </c>
      <c r="C453" s="4" t="b">
        <f>RAW_DATA!C453&gt;=300000</f>
        <v>1</v>
      </c>
      <c r="D453" s="4" t="b">
        <f>RAW_DATA!F453&gt;=650</f>
        <v>0</v>
      </c>
      <c r="E453" s="4" t="b">
        <f>RAW_DATA!E453&gt;=1</f>
        <v>1</v>
      </c>
      <c r="F453" s="4" t="b">
        <f>RAW_DATA!L453="No"</f>
        <v>0</v>
      </c>
      <c r="G453" s="4" t="b">
        <f t="shared" si="21"/>
        <v>0</v>
      </c>
      <c r="H453" s="4" t="str">
        <f t="shared" si="22"/>
        <v>INELIGIBLE</v>
      </c>
      <c r="I453" s="4" t="str">
        <f t="shared" si="23"/>
        <v>Credit Score, Defaulter History</v>
      </c>
    </row>
    <row r="454" spans="1:9" x14ac:dyDescent="0.25">
      <c r="A454" s="4" t="str">
        <f>RAW_DATA!A454</f>
        <v>APP453</v>
      </c>
      <c r="B454" s="4" t="b">
        <f>AND(RAW_DATA!B454&gt;=21,RAW_DATA!B454&lt;=60)</f>
        <v>1</v>
      </c>
      <c r="C454" s="4" t="b">
        <f>RAW_DATA!C454&gt;=300000</f>
        <v>1</v>
      </c>
      <c r="D454" s="4" t="b">
        <f>RAW_DATA!F454&gt;=650</f>
        <v>1</v>
      </c>
      <c r="E454" s="4" t="b">
        <f>RAW_DATA!E454&gt;=1</f>
        <v>1</v>
      </c>
      <c r="F454" s="4" t="b">
        <f>RAW_DATA!L454="No"</f>
        <v>1</v>
      </c>
      <c r="G454" s="4" t="b">
        <f t="shared" si="21"/>
        <v>1</v>
      </c>
      <c r="H454" s="4" t="str">
        <f t="shared" si="22"/>
        <v>ELIGIBLE</v>
      </c>
      <c r="I454" s="4" t="str">
        <f t="shared" si="23"/>
        <v/>
      </c>
    </row>
    <row r="455" spans="1:9" x14ac:dyDescent="0.25">
      <c r="A455" s="4" t="str">
        <f>RAW_DATA!A455</f>
        <v>APP454</v>
      </c>
      <c r="B455" s="4" t="b">
        <f>AND(RAW_DATA!B455&gt;=21,RAW_DATA!B455&lt;=60)</f>
        <v>1</v>
      </c>
      <c r="C455" s="4" t="b">
        <f>RAW_DATA!C455&gt;=300000</f>
        <v>1</v>
      </c>
      <c r="D455" s="4" t="b">
        <f>RAW_DATA!F455&gt;=650</f>
        <v>1</v>
      </c>
      <c r="E455" s="4" t="b">
        <f>RAW_DATA!E455&gt;=1</f>
        <v>1</v>
      </c>
      <c r="F455" s="4" t="b">
        <f>RAW_DATA!L455="No"</f>
        <v>1</v>
      </c>
      <c r="G455" s="4" t="b">
        <f t="shared" si="21"/>
        <v>1</v>
      </c>
      <c r="H455" s="4" t="str">
        <f t="shared" si="22"/>
        <v>ELIGIBLE</v>
      </c>
      <c r="I455" s="4" t="str">
        <f t="shared" si="23"/>
        <v/>
      </c>
    </row>
    <row r="456" spans="1:9" x14ac:dyDescent="0.25">
      <c r="A456" s="4" t="str">
        <f>RAW_DATA!A456</f>
        <v>APP455</v>
      </c>
      <c r="B456" s="4" t="b">
        <f>AND(RAW_DATA!B456&gt;=21,RAW_DATA!B456&lt;=60)</f>
        <v>1</v>
      </c>
      <c r="C456" s="4" t="b">
        <f>RAW_DATA!C456&gt;=300000</f>
        <v>1</v>
      </c>
      <c r="D456" s="4" t="b">
        <f>RAW_DATA!F456&gt;=650</f>
        <v>1</v>
      </c>
      <c r="E456" s="4" t="b">
        <f>RAW_DATA!E456&gt;=1</f>
        <v>1</v>
      </c>
      <c r="F456" s="4" t="b">
        <f>RAW_DATA!L456="No"</f>
        <v>1</v>
      </c>
      <c r="G456" s="4" t="b">
        <f t="shared" si="21"/>
        <v>1</v>
      </c>
      <c r="H456" s="4" t="str">
        <f t="shared" si="22"/>
        <v>ELIGIBLE</v>
      </c>
      <c r="I456" s="4" t="str">
        <f t="shared" si="23"/>
        <v/>
      </c>
    </row>
    <row r="457" spans="1:9" x14ac:dyDescent="0.25">
      <c r="A457" s="4" t="str">
        <f>RAW_DATA!A457</f>
        <v>APP456</v>
      </c>
      <c r="B457" s="4" t="b">
        <f>AND(RAW_DATA!B457&gt;=21,RAW_DATA!B457&lt;=60)</f>
        <v>1</v>
      </c>
      <c r="C457" s="4" t="b">
        <f>RAW_DATA!C457&gt;=300000</f>
        <v>1</v>
      </c>
      <c r="D457" s="4" t="b">
        <f>RAW_DATA!F457&gt;=650</f>
        <v>0</v>
      </c>
      <c r="E457" s="4" t="b">
        <f>RAW_DATA!E457&gt;=1</f>
        <v>1</v>
      </c>
      <c r="F457" s="4" t="b">
        <f>RAW_DATA!L457="No"</f>
        <v>1</v>
      </c>
      <c r="G457" s="4" t="b">
        <f t="shared" si="21"/>
        <v>0</v>
      </c>
      <c r="H457" s="4" t="str">
        <f t="shared" si="22"/>
        <v>INELIGIBLE</v>
      </c>
      <c r="I457" s="4" t="str">
        <f t="shared" si="23"/>
        <v>Credit Score</v>
      </c>
    </row>
    <row r="458" spans="1:9" x14ac:dyDescent="0.25">
      <c r="A458" s="4" t="str">
        <f>RAW_DATA!A458</f>
        <v>APP457</v>
      </c>
      <c r="B458" s="4" t="b">
        <f>AND(RAW_DATA!B458&gt;=21,RAW_DATA!B458&lt;=60)</f>
        <v>0</v>
      </c>
      <c r="C458" s="4" t="b">
        <f>RAW_DATA!C458&gt;=300000</f>
        <v>1</v>
      </c>
      <c r="D458" s="4" t="b">
        <f>RAW_DATA!F458&gt;=650</f>
        <v>0</v>
      </c>
      <c r="E458" s="4" t="b">
        <f>RAW_DATA!E458&gt;=1</f>
        <v>1</v>
      </c>
      <c r="F458" s="4" t="b">
        <f>RAW_DATA!L458="No"</f>
        <v>1</v>
      </c>
      <c r="G458" s="4" t="b">
        <f t="shared" si="21"/>
        <v>0</v>
      </c>
      <c r="H458" s="4" t="str">
        <f t="shared" si="22"/>
        <v>INELIGIBLE</v>
      </c>
      <c r="I458" s="4" t="str">
        <f t="shared" si="23"/>
        <v>Age, Credit Score</v>
      </c>
    </row>
    <row r="459" spans="1:9" x14ac:dyDescent="0.25">
      <c r="A459" s="4" t="str">
        <f>RAW_DATA!A459</f>
        <v>APP458</v>
      </c>
      <c r="B459" s="4" t="b">
        <f>AND(RAW_DATA!B459&gt;=21,RAW_DATA!B459&lt;=60)</f>
        <v>1</v>
      </c>
      <c r="C459" s="4" t="b">
        <f>RAW_DATA!C459&gt;=300000</f>
        <v>1</v>
      </c>
      <c r="D459" s="4" t="b">
        <f>RAW_DATA!F459&gt;=650</f>
        <v>1</v>
      </c>
      <c r="E459" s="4" t="b">
        <f>RAW_DATA!E459&gt;=1</f>
        <v>1</v>
      </c>
      <c r="F459" s="4" t="b">
        <f>RAW_DATA!L459="No"</f>
        <v>1</v>
      </c>
      <c r="G459" s="4" t="b">
        <f t="shared" si="21"/>
        <v>1</v>
      </c>
      <c r="H459" s="4" t="str">
        <f t="shared" si="22"/>
        <v>ELIGIBLE</v>
      </c>
      <c r="I459" s="4" t="str">
        <f t="shared" si="23"/>
        <v/>
      </c>
    </row>
    <row r="460" spans="1:9" x14ac:dyDescent="0.25">
      <c r="A460" s="4" t="str">
        <f>RAW_DATA!A460</f>
        <v>APP459</v>
      </c>
      <c r="B460" s="4" t="b">
        <f>AND(RAW_DATA!B460&gt;=21,RAW_DATA!B460&lt;=60)</f>
        <v>1</v>
      </c>
      <c r="C460" s="4" t="b">
        <f>RAW_DATA!C460&gt;=300000</f>
        <v>1</v>
      </c>
      <c r="D460" s="4" t="b">
        <f>RAW_DATA!F460&gt;=650</f>
        <v>0</v>
      </c>
      <c r="E460" s="4" t="b">
        <f>RAW_DATA!E460&gt;=1</f>
        <v>1</v>
      </c>
      <c r="F460" s="4" t="b">
        <f>RAW_DATA!L460="No"</f>
        <v>1</v>
      </c>
      <c r="G460" s="4" t="b">
        <f t="shared" si="21"/>
        <v>0</v>
      </c>
      <c r="H460" s="4" t="str">
        <f t="shared" si="22"/>
        <v>INELIGIBLE</v>
      </c>
      <c r="I460" s="4" t="str">
        <f t="shared" si="23"/>
        <v>Credit Score</v>
      </c>
    </row>
    <row r="461" spans="1:9" x14ac:dyDescent="0.25">
      <c r="A461" s="4" t="str">
        <f>RAW_DATA!A461</f>
        <v>APP460</v>
      </c>
      <c r="B461" s="4" t="b">
        <f>AND(RAW_DATA!B461&gt;=21,RAW_DATA!B461&lt;=60)</f>
        <v>1</v>
      </c>
      <c r="C461" s="4" t="b">
        <f>RAW_DATA!C461&gt;=300000</f>
        <v>0</v>
      </c>
      <c r="D461" s="4" t="b">
        <f>RAW_DATA!F461&gt;=650</f>
        <v>1</v>
      </c>
      <c r="E461" s="4" t="b">
        <f>RAW_DATA!E461&gt;=1</f>
        <v>1</v>
      </c>
      <c r="F461" s="4" t="b">
        <f>RAW_DATA!L461="No"</f>
        <v>1</v>
      </c>
      <c r="G461" s="4" t="b">
        <f t="shared" si="21"/>
        <v>0</v>
      </c>
      <c r="H461" s="4" t="str">
        <f t="shared" si="22"/>
        <v>INELIGIBLE</v>
      </c>
      <c r="I461" s="4" t="str">
        <f t="shared" si="23"/>
        <v>Income</v>
      </c>
    </row>
    <row r="462" spans="1:9" x14ac:dyDescent="0.25">
      <c r="A462" s="4" t="str">
        <f>RAW_DATA!A462</f>
        <v>APP461</v>
      </c>
      <c r="B462" s="4" t="b">
        <f>AND(RAW_DATA!B462&gt;=21,RAW_DATA!B462&lt;=60)</f>
        <v>1</v>
      </c>
      <c r="C462" s="4" t="b">
        <f>RAW_DATA!C462&gt;=300000</f>
        <v>1</v>
      </c>
      <c r="D462" s="4" t="b">
        <f>RAW_DATA!F462&gt;=650</f>
        <v>0</v>
      </c>
      <c r="E462" s="4" t="b">
        <f>RAW_DATA!E462&gt;=1</f>
        <v>1</v>
      </c>
      <c r="F462" s="4" t="b">
        <f>RAW_DATA!L462="No"</f>
        <v>1</v>
      </c>
      <c r="G462" s="4" t="b">
        <f t="shared" si="21"/>
        <v>0</v>
      </c>
      <c r="H462" s="4" t="str">
        <f t="shared" si="22"/>
        <v>INELIGIBLE</v>
      </c>
      <c r="I462" s="4" t="str">
        <f t="shared" si="23"/>
        <v>Credit Score</v>
      </c>
    </row>
    <row r="463" spans="1:9" x14ac:dyDescent="0.25">
      <c r="A463" s="4" t="str">
        <f>RAW_DATA!A463</f>
        <v>APP462</v>
      </c>
      <c r="B463" s="4" t="b">
        <f>AND(RAW_DATA!B463&gt;=21,RAW_DATA!B463&lt;=60)</f>
        <v>1</v>
      </c>
      <c r="C463" s="4" t="b">
        <f>RAW_DATA!C463&gt;=300000</f>
        <v>1</v>
      </c>
      <c r="D463" s="4" t="b">
        <f>RAW_DATA!F463&gt;=650</f>
        <v>0</v>
      </c>
      <c r="E463" s="4" t="b">
        <f>RAW_DATA!E463&gt;=1</f>
        <v>1</v>
      </c>
      <c r="F463" s="4" t="b">
        <f>RAW_DATA!L463="No"</f>
        <v>1</v>
      </c>
      <c r="G463" s="4" t="b">
        <f t="shared" si="21"/>
        <v>0</v>
      </c>
      <c r="H463" s="4" t="str">
        <f t="shared" si="22"/>
        <v>INELIGIBLE</v>
      </c>
      <c r="I463" s="4" t="str">
        <f t="shared" si="23"/>
        <v>Credit Score</v>
      </c>
    </row>
    <row r="464" spans="1:9" x14ac:dyDescent="0.25">
      <c r="A464" s="4" t="str">
        <f>RAW_DATA!A464</f>
        <v>APP463</v>
      </c>
      <c r="B464" s="4" t="b">
        <f>AND(RAW_DATA!B464&gt;=21,RAW_DATA!B464&lt;=60)</f>
        <v>1</v>
      </c>
      <c r="C464" s="4" t="b">
        <f>RAW_DATA!C464&gt;=300000</f>
        <v>1</v>
      </c>
      <c r="D464" s="4" t="b">
        <f>RAW_DATA!F464&gt;=650</f>
        <v>1</v>
      </c>
      <c r="E464" s="4" t="b">
        <f>RAW_DATA!E464&gt;=1</f>
        <v>1</v>
      </c>
      <c r="F464" s="4" t="b">
        <f>RAW_DATA!L464="No"</f>
        <v>1</v>
      </c>
      <c r="G464" s="4" t="b">
        <f t="shared" si="21"/>
        <v>1</v>
      </c>
      <c r="H464" s="4" t="str">
        <f t="shared" si="22"/>
        <v>ELIGIBLE</v>
      </c>
      <c r="I464" s="4" t="str">
        <f t="shared" si="23"/>
        <v/>
      </c>
    </row>
    <row r="465" spans="1:9" x14ac:dyDescent="0.25">
      <c r="A465" s="4" t="str">
        <f>RAW_DATA!A465</f>
        <v>APP464</v>
      </c>
      <c r="B465" s="4" t="b">
        <f>AND(RAW_DATA!B465&gt;=21,RAW_DATA!B465&lt;=60)</f>
        <v>1</v>
      </c>
      <c r="C465" s="4" t="b">
        <f>RAW_DATA!C465&gt;=300000</f>
        <v>1</v>
      </c>
      <c r="D465" s="4" t="b">
        <f>RAW_DATA!F465&gt;=650</f>
        <v>0</v>
      </c>
      <c r="E465" s="4" t="b">
        <f>RAW_DATA!E465&gt;=1</f>
        <v>1</v>
      </c>
      <c r="F465" s="4" t="b">
        <f>RAW_DATA!L465="No"</f>
        <v>1</v>
      </c>
      <c r="G465" s="4" t="b">
        <f t="shared" si="21"/>
        <v>0</v>
      </c>
      <c r="H465" s="4" t="str">
        <f t="shared" si="22"/>
        <v>INELIGIBLE</v>
      </c>
      <c r="I465" s="4" t="str">
        <f t="shared" si="23"/>
        <v>Credit Score</v>
      </c>
    </row>
    <row r="466" spans="1:9" x14ac:dyDescent="0.25">
      <c r="A466" s="4" t="str">
        <f>RAW_DATA!A466</f>
        <v>APP465</v>
      </c>
      <c r="B466" s="4" t="b">
        <f>AND(RAW_DATA!B466&gt;=21,RAW_DATA!B466&lt;=60)</f>
        <v>1</v>
      </c>
      <c r="C466" s="4" t="b">
        <f>RAW_DATA!C466&gt;=300000</f>
        <v>1</v>
      </c>
      <c r="D466" s="4" t="b">
        <f>RAW_DATA!F466&gt;=650</f>
        <v>0</v>
      </c>
      <c r="E466" s="4" t="b">
        <f>RAW_DATA!E466&gt;=1</f>
        <v>1</v>
      </c>
      <c r="F466" s="4" t="b">
        <f>RAW_DATA!L466="No"</f>
        <v>1</v>
      </c>
      <c r="G466" s="4" t="b">
        <f t="shared" si="21"/>
        <v>0</v>
      </c>
      <c r="H466" s="4" t="str">
        <f t="shared" si="22"/>
        <v>INELIGIBLE</v>
      </c>
      <c r="I466" s="4" t="str">
        <f t="shared" si="23"/>
        <v>Credit Score</v>
      </c>
    </row>
    <row r="467" spans="1:9" x14ac:dyDescent="0.25">
      <c r="A467" s="4" t="str">
        <f>RAW_DATA!A467</f>
        <v>APP466</v>
      </c>
      <c r="B467" s="4" t="b">
        <f>AND(RAW_DATA!B467&gt;=21,RAW_DATA!B467&lt;=60)</f>
        <v>1</v>
      </c>
      <c r="C467" s="4" t="b">
        <f>RAW_DATA!C467&gt;=300000</f>
        <v>1</v>
      </c>
      <c r="D467" s="4" t="b">
        <f>RAW_DATA!F467&gt;=650</f>
        <v>1</v>
      </c>
      <c r="E467" s="4" t="b">
        <f>RAW_DATA!E467&gt;=1</f>
        <v>1</v>
      </c>
      <c r="F467" s="4" t="b">
        <f>RAW_DATA!L467="No"</f>
        <v>1</v>
      </c>
      <c r="G467" s="4" t="b">
        <f t="shared" si="21"/>
        <v>1</v>
      </c>
      <c r="H467" s="4" t="str">
        <f t="shared" si="22"/>
        <v>ELIGIBLE</v>
      </c>
      <c r="I467" s="4" t="str">
        <f t="shared" si="23"/>
        <v/>
      </c>
    </row>
    <row r="468" spans="1:9" x14ac:dyDescent="0.25">
      <c r="A468" s="4" t="str">
        <f>RAW_DATA!A468</f>
        <v>APP467</v>
      </c>
      <c r="B468" s="4" t="b">
        <f>AND(RAW_DATA!B468&gt;=21,RAW_DATA!B468&lt;=60)</f>
        <v>1</v>
      </c>
      <c r="C468" s="4" t="b">
        <f>RAW_DATA!C468&gt;=300000</f>
        <v>1</v>
      </c>
      <c r="D468" s="4" t="b">
        <f>RAW_DATA!F468&gt;=650</f>
        <v>0</v>
      </c>
      <c r="E468" s="4" t="b">
        <f>RAW_DATA!E468&gt;=1</f>
        <v>1</v>
      </c>
      <c r="F468" s="4" t="b">
        <f>RAW_DATA!L468="No"</f>
        <v>0</v>
      </c>
      <c r="G468" s="4" t="b">
        <f t="shared" si="21"/>
        <v>0</v>
      </c>
      <c r="H468" s="4" t="str">
        <f t="shared" si="22"/>
        <v>INELIGIBLE</v>
      </c>
      <c r="I468" s="4" t="str">
        <f t="shared" si="23"/>
        <v>Credit Score, Defaulter History</v>
      </c>
    </row>
    <row r="469" spans="1:9" x14ac:dyDescent="0.25">
      <c r="A469" s="4" t="str">
        <f>RAW_DATA!A469</f>
        <v>APP468</v>
      </c>
      <c r="B469" s="4" t="b">
        <f>AND(RAW_DATA!B469&gt;=21,RAW_DATA!B469&lt;=60)</f>
        <v>1</v>
      </c>
      <c r="C469" s="4" t="b">
        <f>RAW_DATA!C469&gt;=300000</f>
        <v>1</v>
      </c>
      <c r="D469" s="4" t="b">
        <f>RAW_DATA!F469&gt;=650</f>
        <v>1</v>
      </c>
      <c r="E469" s="4" t="b">
        <f>RAW_DATA!E469&gt;=1</f>
        <v>1</v>
      </c>
      <c r="F469" s="4" t="b">
        <f>RAW_DATA!L469="No"</f>
        <v>1</v>
      </c>
      <c r="G469" s="4" t="b">
        <f t="shared" si="21"/>
        <v>1</v>
      </c>
      <c r="H469" s="4" t="str">
        <f t="shared" si="22"/>
        <v>ELIGIBLE</v>
      </c>
      <c r="I469" s="4" t="str">
        <f t="shared" si="23"/>
        <v/>
      </c>
    </row>
    <row r="470" spans="1:9" x14ac:dyDescent="0.25">
      <c r="A470" s="4" t="str">
        <f>RAW_DATA!A470</f>
        <v>APP469</v>
      </c>
      <c r="B470" s="4" t="b">
        <f>AND(RAW_DATA!B470&gt;=21,RAW_DATA!B470&lt;=60)</f>
        <v>1</v>
      </c>
      <c r="C470" s="4" t="b">
        <f>RAW_DATA!C470&gt;=300000</f>
        <v>1</v>
      </c>
      <c r="D470" s="4" t="b">
        <f>RAW_DATA!F470&gt;=650</f>
        <v>1</v>
      </c>
      <c r="E470" s="4" t="b">
        <f>RAW_DATA!E470&gt;=1</f>
        <v>1</v>
      </c>
      <c r="F470" s="4" t="b">
        <f>RAW_DATA!L470="No"</f>
        <v>0</v>
      </c>
      <c r="G470" s="4" t="b">
        <f t="shared" si="21"/>
        <v>0</v>
      </c>
      <c r="H470" s="4" t="str">
        <f t="shared" si="22"/>
        <v>INELIGIBLE</v>
      </c>
      <c r="I470" s="4" t="str">
        <f t="shared" si="23"/>
        <v>Defaulter History</v>
      </c>
    </row>
    <row r="471" spans="1:9" x14ac:dyDescent="0.25">
      <c r="A471" s="4" t="str">
        <f>RAW_DATA!A471</f>
        <v>APP470</v>
      </c>
      <c r="B471" s="4" t="b">
        <f>AND(RAW_DATA!B471&gt;=21,RAW_DATA!B471&lt;=60)</f>
        <v>1</v>
      </c>
      <c r="C471" s="4" t="b">
        <f>RAW_DATA!C471&gt;=300000</f>
        <v>1</v>
      </c>
      <c r="D471" s="4" t="b">
        <f>RAW_DATA!F471&gt;=650</f>
        <v>0</v>
      </c>
      <c r="E471" s="4" t="b">
        <f>RAW_DATA!E471&gt;=1</f>
        <v>1</v>
      </c>
      <c r="F471" s="4" t="b">
        <f>RAW_DATA!L471="No"</f>
        <v>1</v>
      </c>
      <c r="G471" s="4" t="b">
        <f t="shared" si="21"/>
        <v>0</v>
      </c>
      <c r="H471" s="4" t="str">
        <f t="shared" si="22"/>
        <v>INELIGIBLE</v>
      </c>
      <c r="I471" s="4" t="str">
        <f t="shared" si="23"/>
        <v>Credit Score</v>
      </c>
    </row>
    <row r="472" spans="1:9" x14ac:dyDescent="0.25">
      <c r="A472" s="4" t="str">
        <f>RAW_DATA!A472</f>
        <v>APP471</v>
      </c>
      <c r="B472" s="4" t="b">
        <f>AND(RAW_DATA!B472&gt;=21,RAW_DATA!B472&lt;=60)</f>
        <v>1</v>
      </c>
      <c r="C472" s="4" t="b">
        <f>RAW_DATA!C472&gt;=300000</f>
        <v>1</v>
      </c>
      <c r="D472" s="4" t="b">
        <f>RAW_DATA!F472&gt;=650</f>
        <v>0</v>
      </c>
      <c r="E472" s="4" t="b">
        <f>RAW_DATA!E472&gt;=1</f>
        <v>1</v>
      </c>
      <c r="F472" s="4" t="b">
        <f>RAW_DATA!L472="No"</f>
        <v>1</v>
      </c>
      <c r="G472" s="4" t="b">
        <f t="shared" si="21"/>
        <v>0</v>
      </c>
      <c r="H472" s="4" t="str">
        <f t="shared" si="22"/>
        <v>INELIGIBLE</v>
      </c>
      <c r="I472" s="4" t="str">
        <f t="shared" si="23"/>
        <v>Credit Score</v>
      </c>
    </row>
    <row r="473" spans="1:9" x14ac:dyDescent="0.25">
      <c r="A473" s="4" t="str">
        <f>RAW_DATA!A473</f>
        <v>APP472</v>
      </c>
      <c r="B473" s="4" t="b">
        <f>AND(RAW_DATA!B473&gt;=21,RAW_DATA!B473&lt;=60)</f>
        <v>1</v>
      </c>
      <c r="C473" s="4" t="b">
        <f>RAW_DATA!C473&gt;=300000</f>
        <v>1</v>
      </c>
      <c r="D473" s="4" t="b">
        <f>RAW_DATA!F473&gt;=650</f>
        <v>1</v>
      </c>
      <c r="E473" s="4" t="b">
        <f>RAW_DATA!E473&gt;=1</f>
        <v>1</v>
      </c>
      <c r="F473" s="4" t="b">
        <f>RAW_DATA!L473="No"</f>
        <v>0</v>
      </c>
      <c r="G473" s="4" t="b">
        <f t="shared" si="21"/>
        <v>0</v>
      </c>
      <c r="H473" s="4" t="str">
        <f t="shared" si="22"/>
        <v>INELIGIBLE</v>
      </c>
      <c r="I473" s="4" t="str">
        <f t="shared" si="23"/>
        <v>Defaulter History</v>
      </c>
    </row>
    <row r="474" spans="1:9" x14ac:dyDescent="0.25">
      <c r="A474" s="4" t="str">
        <f>RAW_DATA!A474</f>
        <v>APP473</v>
      </c>
      <c r="B474" s="4" t="b">
        <f>AND(RAW_DATA!B474&gt;=21,RAW_DATA!B474&lt;=60)</f>
        <v>1</v>
      </c>
      <c r="C474" s="4" t="b">
        <f>RAW_DATA!C474&gt;=300000</f>
        <v>1</v>
      </c>
      <c r="D474" s="4" t="b">
        <f>RAW_DATA!F474&gt;=650</f>
        <v>0</v>
      </c>
      <c r="E474" s="4" t="b">
        <f>RAW_DATA!E474&gt;=1</f>
        <v>1</v>
      </c>
      <c r="F474" s="4" t="b">
        <f>RAW_DATA!L474="No"</f>
        <v>0</v>
      </c>
      <c r="G474" s="4" t="b">
        <f t="shared" si="21"/>
        <v>0</v>
      </c>
      <c r="H474" s="4" t="str">
        <f t="shared" si="22"/>
        <v>INELIGIBLE</v>
      </c>
      <c r="I474" s="4" t="str">
        <f t="shared" si="23"/>
        <v>Credit Score, Defaulter History</v>
      </c>
    </row>
    <row r="475" spans="1:9" x14ac:dyDescent="0.25">
      <c r="A475" s="4" t="str">
        <f>RAW_DATA!A475</f>
        <v>APP474</v>
      </c>
      <c r="B475" s="4" t="b">
        <f>AND(RAW_DATA!B475&gt;=21,RAW_DATA!B475&lt;=60)</f>
        <v>1</v>
      </c>
      <c r="C475" s="4" t="b">
        <f>RAW_DATA!C475&gt;=300000</f>
        <v>1</v>
      </c>
      <c r="D475" s="4" t="b">
        <f>RAW_DATA!F475&gt;=650</f>
        <v>0</v>
      </c>
      <c r="E475" s="4" t="b">
        <f>RAW_DATA!E475&gt;=1</f>
        <v>1</v>
      </c>
      <c r="F475" s="4" t="b">
        <f>RAW_DATA!L475="No"</f>
        <v>1</v>
      </c>
      <c r="G475" s="4" t="b">
        <f t="shared" si="21"/>
        <v>0</v>
      </c>
      <c r="H475" s="4" t="str">
        <f t="shared" si="22"/>
        <v>INELIGIBLE</v>
      </c>
      <c r="I475" s="4" t="str">
        <f t="shared" si="23"/>
        <v>Credit Score</v>
      </c>
    </row>
    <row r="476" spans="1:9" x14ac:dyDescent="0.25">
      <c r="A476" s="4" t="str">
        <f>RAW_DATA!A476</f>
        <v>APP475</v>
      </c>
      <c r="B476" s="4" t="b">
        <f>AND(RAW_DATA!B476&gt;=21,RAW_DATA!B476&lt;=60)</f>
        <v>1</v>
      </c>
      <c r="C476" s="4" t="b">
        <f>RAW_DATA!C476&gt;=300000</f>
        <v>1</v>
      </c>
      <c r="D476" s="4" t="b">
        <f>RAW_DATA!F476&gt;=650</f>
        <v>0</v>
      </c>
      <c r="E476" s="4" t="b">
        <f>RAW_DATA!E476&gt;=1</f>
        <v>1</v>
      </c>
      <c r="F476" s="4" t="b">
        <f>RAW_DATA!L476="No"</f>
        <v>1</v>
      </c>
      <c r="G476" s="4" t="b">
        <f t="shared" si="21"/>
        <v>0</v>
      </c>
      <c r="H476" s="4" t="str">
        <f t="shared" si="22"/>
        <v>INELIGIBLE</v>
      </c>
      <c r="I476" s="4" t="str">
        <f t="shared" si="23"/>
        <v>Credit Score</v>
      </c>
    </row>
    <row r="477" spans="1:9" x14ac:dyDescent="0.25">
      <c r="A477" s="4" t="str">
        <f>RAW_DATA!A477</f>
        <v>APP476</v>
      </c>
      <c r="B477" s="4" t="b">
        <f>AND(RAW_DATA!B477&gt;=21,RAW_DATA!B477&lt;=60)</f>
        <v>1</v>
      </c>
      <c r="C477" s="4" t="b">
        <f>RAW_DATA!C477&gt;=300000</f>
        <v>1</v>
      </c>
      <c r="D477" s="4" t="b">
        <f>RAW_DATA!F477&gt;=650</f>
        <v>0</v>
      </c>
      <c r="E477" s="4" t="b">
        <f>RAW_DATA!E477&gt;=1</f>
        <v>1</v>
      </c>
      <c r="F477" s="4" t="b">
        <f>RAW_DATA!L477="No"</f>
        <v>1</v>
      </c>
      <c r="G477" s="4" t="b">
        <f t="shared" si="21"/>
        <v>0</v>
      </c>
      <c r="H477" s="4" t="str">
        <f t="shared" si="22"/>
        <v>INELIGIBLE</v>
      </c>
      <c r="I477" s="4" t="str">
        <f t="shared" si="23"/>
        <v>Credit Score</v>
      </c>
    </row>
    <row r="478" spans="1:9" x14ac:dyDescent="0.25">
      <c r="A478" s="4" t="str">
        <f>RAW_DATA!A478</f>
        <v>APP477</v>
      </c>
      <c r="B478" s="4" t="b">
        <f>AND(RAW_DATA!B478&gt;=21,RAW_DATA!B478&lt;=60)</f>
        <v>1</v>
      </c>
      <c r="C478" s="4" t="b">
        <f>RAW_DATA!C478&gt;=300000</f>
        <v>1</v>
      </c>
      <c r="D478" s="4" t="b">
        <f>RAW_DATA!F478&gt;=650</f>
        <v>1</v>
      </c>
      <c r="E478" s="4" t="b">
        <f>RAW_DATA!E478&gt;=1</f>
        <v>1</v>
      </c>
      <c r="F478" s="4" t="b">
        <f>RAW_DATA!L478="No"</f>
        <v>1</v>
      </c>
      <c r="G478" s="4" t="b">
        <f t="shared" si="21"/>
        <v>1</v>
      </c>
      <c r="H478" s="4" t="str">
        <f t="shared" si="22"/>
        <v>ELIGIBLE</v>
      </c>
      <c r="I478" s="4" t="str">
        <f t="shared" si="23"/>
        <v/>
      </c>
    </row>
    <row r="479" spans="1:9" x14ac:dyDescent="0.25">
      <c r="A479" s="4" t="str">
        <f>RAW_DATA!A479</f>
        <v>APP478</v>
      </c>
      <c r="B479" s="4" t="b">
        <f>AND(RAW_DATA!B479&gt;=21,RAW_DATA!B479&lt;=60)</f>
        <v>1</v>
      </c>
      <c r="C479" s="4" t="b">
        <f>RAW_DATA!C479&gt;=300000</f>
        <v>1</v>
      </c>
      <c r="D479" s="4" t="b">
        <f>RAW_DATA!F479&gt;=650</f>
        <v>0</v>
      </c>
      <c r="E479" s="4" t="b">
        <f>RAW_DATA!E479&gt;=1</f>
        <v>1</v>
      </c>
      <c r="F479" s="4" t="b">
        <f>RAW_DATA!L479="No"</f>
        <v>0</v>
      </c>
      <c r="G479" s="4" t="b">
        <f t="shared" si="21"/>
        <v>0</v>
      </c>
      <c r="H479" s="4" t="str">
        <f t="shared" si="22"/>
        <v>INELIGIBLE</v>
      </c>
      <c r="I479" s="4" t="str">
        <f t="shared" si="23"/>
        <v>Credit Score, Defaulter History</v>
      </c>
    </row>
    <row r="480" spans="1:9" x14ac:dyDescent="0.25">
      <c r="A480" s="4" t="str">
        <f>RAW_DATA!A480</f>
        <v>APP479</v>
      </c>
      <c r="B480" s="4" t="b">
        <f>AND(RAW_DATA!B480&gt;=21,RAW_DATA!B480&lt;=60)</f>
        <v>1</v>
      </c>
      <c r="C480" s="4" t="b">
        <f>RAW_DATA!C480&gt;=300000</f>
        <v>1</v>
      </c>
      <c r="D480" s="4" t="b">
        <f>RAW_DATA!F480&gt;=650</f>
        <v>1</v>
      </c>
      <c r="E480" s="4" t="b">
        <f>RAW_DATA!E480&gt;=1</f>
        <v>1</v>
      </c>
      <c r="F480" s="4" t="b">
        <f>RAW_DATA!L480="No"</f>
        <v>1</v>
      </c>
      <c r="G480" s="4" t="b">
        <f t="shared" si="21"/>
        <v>1</v>
      </c>
      <c r="H480" s="4" t="str">
        <f t="shared" si="22"/>
        <v>ELIGIBLE</v>
      </c>
      <c r="I480" s="4" t="str">
        <f t="shared" si="23"/>
        <v/>
      </c>
    </row>
    <row r="481" spans="1:9" x14ac:dyDescent="0.25">
      <c r="A481" s="4" t="str">
        <f>RAW_DATA!A481</f>
        <v>APP480</v>
      </c>
      <c r="B481" s="4" t="b">
        <f>AND(RAW_DATA!B481&gt;=21,RAW_DATA!B481&lt;=60)</f>
        <v>0</v>
      </c>
      <c r="C481" s="4" t="b">
        <f>RAW_DATA!C481&gt;=300000</f>
        <v>1</v>
      </c>
      <c r="D481" s="4" t="b">
        <f>RAW_DATA!F481&gt;=650</f>
        <v>0</v>
      </c>
      <c r="E481" s="4" t="b">
        <f>RAW_DATA!E481&gt;=1</f>
        <v>1</v>
      </c>
      <c r="F481" s="4" t="b">
        <f>RAW_DATA!L481="No"</f>
        <v>0</v>
      </c>
      <c r="G481" s="4" t="b">
        <f t="shared" si="21"/>
        <v>0</v>
      </c>
      <c r="H481" s="4" t="str">
        <f t="shared" si="22"/>
        <v>INELIGIBLE</v>
      </c>
      <c r="I481" s="4" t="str">
        <f t="shared" si="23"/>
        <v>Age, Credit Score, Defaulter History</v>
      </c>
    </row>
    <row r="482" spans="1:9" x14ac:dyDescent="0.25">
      <c r="A482" s="4" t="str">
        <f>RAW_DATA!A482</f>
        <v>APP481</v>
      </c>
      <c r="B482" s="4" t="b">
        <f>AND(RAW_DATA!B482&gt;=21,RAW_DATA!B482&lt;=60)</f>
        <v>0</v>
      </c>
      <c r="C482" s="4" t="b">
        <f>RAW_DATA!C482&gt;=300000</f>
        <v>1</v>
      </c>
      <c r="D482" s="4" t="b">
        <f>RAW_DATA!F482&gt;=650</f>
        <v>1</v>
      </c>
      <c r="E482" s="4" t="b">
        <f>RAW_DATA!E482&gt;=1</f>
        <v>1</v>
      </c>
      <c r="F482" s="4" t="b">
        <f>RAW_DATA!L482="No"</f>
        <v>0</v>
      </c>
      <c r="G482" s="4" t="b">
        <f t="shared" si="21"/>
        <v>0</v>
      </c>
      <c r="H482" s="4" t="str">
        <f t="shared" si="22"/>
        <v>INELIGIBLE</v>
      </c>
      <c r="I482" s="4" t="str">
        <f t="shared" si="23"/>
        <v>Age, Defaulter History</v>
      </c>
    </row>
    <row r="483" spans="1:9" x14ac:dyDescent="0.25">
      <c r="A483" s="4" t="str">
        <f>RAW_DATA!A483</f>
        <v>APP482</v>
      </c>
      <c r="B483" s="4" t="b">
        <f>AND(RAW_DATA!B483&gt;=21,RAW_DATA!B483&lt;=60)</f>
        <v>1</v>
      </c>
      <c r="C483" s="4" t="b">
        <f>RAW_DATA!C483&gt;=300000</f>
        <v>1</v>
      </c>
      <c r="D483" s="4" t="b">
        <f>RAW_DATA!F483&gt;=650</f>
        <v>0</v>
      </c>
      <c r="E483" s="4" t="b">
        <f>RAW_DATA!E483&gt;=1</f>
        <v>1</v>
      </c>
      <c r="F483" s="4" t="b">
        <f>RAW_DATA!L483="No"</f>
        <v>1</v>
      </c>
      <c r="G483" s="4" t="b">
        <f t="shared" si="21"/>
        <v>0</v>
      </c>
      <c r="H483" s="4" t="str">
        <f t="shared" si="22"/>
        <v>INELIGIBLE</v>
      </c>
      <c r="I483" s="4" t="str">
        <f t="shared" si="23"/>
        <v>Credit Score</v>
      </c>
    </row>
    <row r="484" spans="1:9" x14ac:dyDescent="0.25">
      <c r="A484" s="4" t="str">
        <f>RAW_DATA!A484</f>
        <v>APP483</v>
      </c>
      <c r="B484" s="4" t="b">
        <f>AND(RAW_DATA!B484&gt;=21,RAW_DATA!B484&lt;=60)</f>
        <v>1</v>
      </c>
      <c r="C484" s="4" t="b">
        <f>RAW_DATA!C484&gt;=300000</f>
        <v>1</v>
      </c>
      <c r="D484" s="4" t="b">
        <f>RAW_DATA!F484&gt;=650</f>
        <v>0</v>
      </c>
      <c r="E484" s="4" t="b">
        <f>RAW_DATA!E484&gt;=1</f>
        <v>1</v>
      </c>
      <c r="F484" s="4" t="b">
        <f>RAW_DATA!L484="No"</f>
        <v>1</v>
      </c>
      <c r="G484" s="4" t="b">
        <f t="shared" si="21"/>
        <v>0</v>
      </c>
      <c r="H484" s="4" t="str">
        <f t="shared" si="22"/>
        <v>INELIGIBLE</v>
      </c>
      <c r="I484" s="4" t="str">
        <f t="shared" si="23"/>
        <v>Credit Score</v>
      </c>
    </row>
    <row r="485" spans="1:9" x14ac:dyDescent="0.25">
      <c r="A485" s="4" t="str">
        <f>RAW_DATA!A485</f>
        <v>APP484</v>
      </c>
      <c r="B485" s="4" t="b">
        <f>AND(RAW_DATA!B485&gt;=21,RAW_DATA!B485&lt;=60)</f>
        <v>1</v>
      </c>
      <c r="C485" s="4" t="b">
        <f>RAW_DATA!C485&gt;=300000</f>
        <v>1</v>
      </c>
      <c r="D485" s="4" t="b">
        <f>RAW_DATA!F485&gt;=650</f>
        <v>1</v>
      </c>
      <c r="E485" s="4" t="b">
        <f>RAW_DATA!E485&gt;=1</f>
        <v>1</v>
      </c>
      <c r="F485" s="4" t="b">
        <f>RAW_DATA!L485="No"</f>
        <v>1</v>
      </c>
      <c r="G485" s="4" t="b">
        <f t="shared" si="21"/>
        <v>1</v>
      </c>
      <c r="H485" s="4" t="str">
        <f t="shared" si="22"/>
        <v>ELIGIBLE</v>
      </c>
      <c r="I485" s="4" t="str">
        <f t="shared" si="23"/>
        <v/>
      </c>
    </row>
    <row r="486" spans="1:9" x14ac:dyDescent="0.25">
      <c r="A486" s="4" t="str">
        <f>RAW_DATA!A486</f>
        <v>APP485</v>
      </c>
      <c r="B486" s="4" t="b">
        <f>AND(RAW_DATA!B486&gt;=21,RAW_DATA!B486&lt;=60)</f>
        <v>1</v>
      </c>
      <c r="C486" s="4" t="b">
        <f>RAW_DATA!C486&gt;=300000</f>
        <v>1</v>
      </c>
      <c r="D486" s="4" t="b">
        <f>RAW_DATA!F486&gt;=650</f>
        <v>0</v>
      </c>
      <c r="E486" s="4" t="b">
        <f>RAW_DATA!E486&gt;=1</f>
        <v>1</v>
      </c>
      <c r="F486" s="4" t="b">
        <f>RAW_DATA!L486="No"</f>
        <v>1</v>
      </c>
      <c r="G486" s="4" t="b">
        <f t="shared" si="21"/>
        <v>0</v>
      </c>
      <c r="H486" s="4" t="str">
        <f t="shared" si="22"/>
        <v>INELIGIBLE</v>
      </c>
      <c r="I486" s="4" t="str">
        <f t="shared" si="23"/>
        <v>Credit Score</v>
      </c>
    </row>
    <row r="487" spans="1:9" x14ac:dyDescent="0.25">
      <c r="A487" s="4" t="str">
        <f>RAW_DATA!A487</f>
        <v>APP486</v>
      </c>
      <c r="B487" s="4" t="b">
        <f>AND(RAW_DATA!B487&gt;=21,RAW_DATA!B487&lt;=60)</f>
        <v>1</v>
      </c>
      <c r="C487" s="4" t="b">
        <f>RAW_DATA!C487&gt;=300000</f>
        <v>1</v>
      </c>
      <c r="D487" s="4" t="b">
        <f>RAW_DATA!F487&gt;=650</f>
        <v>0</v>
      </c>
      <c r="E487" s="4" t="b">
        <f>RAW_DATA!E487&gt;=1</f>
        <v>1</v>
      </c>
      <c r="F487" s="4" t="b">
        <f>RAW_DATA!L487="No"</f>
        <v>0</v>
      </c>
      <c r="G487" s="4" t="b">
        <f t="shared" si="21"/>
        <v>0</v>
      </c>
      <c r="H487" s="4" t="str">
        <f t="shared" si="22"/>
        <v>INELIGIBLE</v>
      </c>
      <c r="I487" s="4" t="str">
        <f t="shared" si="23"/>
        <v>Credit Score, Defaulter History</v>
      </c>
    </row>
    <row r="488" spans="1:9" x14ac:dyDescent="0.25">
      <c r="A488" s="4" t="str">
        <f>RAW_DATA!A488</f>
        <v>APP487</v>
      </c>
      <c r="B488" s="4" t="b">
        <f>AND(RAW_DATA!B488&gt;=21,RAW_DATA!B488&lt;=60)</f>
        <v>1</v>
      </c>
      <c r="C488" s="4" t="b">
        <f>RAW_DATA!C488&gt;=300000</f>
        <v>0</v>
      </c>
      <c r="D488" s="4" t="b">
        <f>RAW_DATA!F488&gt;=650</f>
        <v>0</v>
      </c>
      <c r="E488" s="4" t="b">
        <f>RAW_DATA!E488&gt;=1</f>
        <v>1</v>
      </c>
      <c r="F488" s="4" t="b">
        <f>RAW_DATA!L488="No"</f>
        <v>1</v>
      </c>
      <c r="G488" s="4" t="b">
        <f t="shared" si="21"/>
        <v>0</v>
      </c>
      <c r="H488" s="4" t="str">
        <f t="shared" si="22"/>
        <v>INELIGIBLE</v>
      </c>
      <c r="I488" s="4" t="str">
        <f t="shared" si="23"/>
        <v>Income, Credit Score</v>
      </c>
    </row>
    <row r="489" spans="1:9" x14ac:dyDescent="0.25">
      <c r="A489" s="4" t="str">
        <f>RAW_DATA!A489</f>
        <v>APP488</v>
      </c>
      <c r="B489" s="4" t="b">
        <f>AND(RAW_DATA!B489&gt;=21,RAW_DATA!B489&lt;=60)</f>
        <v>1</v>
      </c>
      <c r="C489" s="4" t="b">
        <f>RAW_DATA!C489&gt;=300000</f>
        <v>1</v>
      </c>
      <c r="D489" s="4" t="b">
        <f>RAW_DATA!F489&gt;=650</f>
        <v>0</v>
      </c>
      <c r="E489" s="4" t="b">
        <f>RAW_DATA!E489&gt;=1</f>
        <v>1</v>
      </c>
      <c r="F489" s="4" t="b">
        <f>RAW_DATA!L489="No"</f>
        <v>1</v>
      </c>
      <c r="G489" s="4" t="b">
        <f t="shared" si="21"/>
        <v>0</v>
      </c>
      <c r="H489" s="4" t="str">
        <f t="shared" si="22"/>
        <v>INELIGIBLE</v>
      </c>
      <c r="I489" s="4" t="str">
        <f t="shared" si="23"/>
        <v>Credit Score</v>
      </c>
    </row>
    <row r="490" spans="1:9" x14ac:dyDescent="0.25">
      <c r="A490" s="4" t="str">
        <f>RAW_DATA!A490</f>
        <v>APP489</v>
      </c>
      <c r="B490" s="4" t="b">
        <f>AND(RAW_DATA!B490&gt;=21,RAW_DATA!B490&lt;=60)</f>
        <v>1</v>
      </c>
      <c r="C490" s="4" t="b">
        <f>RAW_DATA!C490&gt;=300000</f>
        <v>1</v>
      </c>
      <c r="D490" s="4" t="b">
        <f>RAW_DATA!F490&gt;=650</f>
        <v>1</v>
      </c>
      <c r="E490" s="4" t="b">
        <f>RAW_DATA!E490&gt;=1</f>
        <v>1</v>
      </c>
      <c r="F490" s="4" t="b">
        <f>RAW_DATA!L490="No"</f>
        <v>0</v>
      </c>
      <c r="G490" s="4" t="b">
        <f t="shared" si="21"/>
        <v>0</v>
      </c>
      <c r="H490" s="4" t="str">
        <f t="shared" si="22"/>
        <v>INELIGIBLE</v>
      </c>
      <c r="I490" s="4" t="str">
        <f t="shared" si="23"/>
        <v>Defaulter History</v>
      </c>
    </row>
    <row r="491" spans="1:9" x14ac:dyDescent="0.25">
      <c r="A491" s="4" t="str">
        <f>RAW_DATA!A491</f>
        <v>APP490</v>
      </c>
      <c r="B491" s="4" t="b">
        <f>AND(RAW_DATA!B491&gt;=21,RAW_DATA!B491&lt;=60)</f>
        <v>1</v>
      </c>
      <c r="C491" s="4" t="b">
        <f>RAW_DATA!C491&gt;=300000</f>
        <v>1</v>
      </c>
      <c r="D491" s="4" t="b">
        <f>RAW_DATA!F491&gt;=650</f>
        <v>0</v>
      </c>
      <c r="E491" s="4" t="b">
        <f>RAW_DATA!E491&gt;=1</f>
        <v>1</v>
      </c>
      <c r="F491" s="4" t="b">
        <f>RAW_DATA!L491="No"</f>
        <v>0</v>
      </c>
      <c r="G491" s="4" t="b">
        <f t="shared" si="21"/>
        <v>0</v>
      </c>
      <c r="H491" s="4" t="str">
        <f t="shared" si="22"/>
        <v>INELIGIBLE</v>
      </c>
      <c r="I491" s="4" t="str">
        <f t="shared" si="23"/>
        <v>Credit Score, Defaulter History</v>
      </c>
    </row>
    <row r="492" spans="1:9" x14ac:dyDescent="0.25">
      <c r="A492" s="4" t="str">
        <f>RAW_DATA!A492</f>
        <v>APP491</v>
      </c>
      <c r="B492" s="4" t="b">
        <f>AND(RAW_DATA!B492&gt;=21,RAW_DATA!B492&lt;=60)</f>
        <v>1</v>
      </c>
      <c r="C492" s="4" t="b">
        <f>RAW_DATA!C492&gt;=300000</f>
        <v>1</v>
      </c>
      <c r="D492" s="4" t="b">
        <f>RAW_DATA!F492&gt;=650</f>
        <v>0</v>
      </c>
      <c r="E492" s="4" t="b">
        <f>RAW_DATA!E492&gt;=1</f>
        <v>1</v>
      </c>
      <c r="F492" s="4" t="b">
        <f>RAW_DATA!L492="No"</f>
        <v>1</v>
      </c>
      <c r="G492" s="4" t="b">
        <f t="shared" si="21"/>
        <v>0</v>
      </c>
      <c r="H492" s="4" t="str">
        <f t="shared" si="22"/>
        <v>INELIGIBLE</v>
      </c>
      <c r="I492" s="4" t="str">
        <f t="shared" si="23"/>
        <v>Credit Score</v>
      </c>
    </row>
    <row r="493" spans="1:9" x14ac:dyDescent="0.25">
      <c r="A493" s="4" t="str">
        <f>RAW_DATA!A493</f>
        <v>APP492</v>
      </c>
      <c r="B493" s="4" t="b">
        <f>AND(RAW_DATA!B493&gt;=21,RAW_DATA!B493&lt;=60)</f>
        <v>1</v>
      </c>
      <c r="C493" s="4" t="b">
        <f>RAW_DATA!C493&gt;=300000</f>
        <v>1</v>
      </c>
      <c r="D493" s="4" t="b">
        <f>RAW_DATA!F493&gt;=650</f>
        <v>0</v>
      </c>
      <c r="E493" s="4" t="b">
        <f>RAW_DATA!E493&gt;=1</f>
        <v>1</v>
      </c>
      <c r="F493" s="4" t="b">
        <f>RAW_DATA!L493="No"</f>
        <v>1</v>
      </c>
      <c r="G493" s="4" t="b">
        <f t="shared" si="21"/>
        <v>0</v>
      </c>
      <c r="H493" s="4" t="str">
        <f t="shared" si="22"/>
        <v>INELIGIBLE</v>
      </c>
      <c r="I493" s="4" t="str">
        <f t="shared" si="23"/>
        <v>Credit Score</v>
      </c>
    </row>
    <row r="494" spans="1:9" x14ac:dyDescent="0.25">
      <c r="A494" s="4" t="str">
        <f>RAW_DATA!A494</f>
        <v>APP493</v>
      </c>
      <c r="B494" s="4" t="b">
        <f>AND(RAW_DATA!B494&gt;=21,RAW_DATA!B494&lt;=60)</f>
        <v>1</v>
      </c>
      <c r="C494" s="4" t="b">
        <f>RAW_DATA!C494&gt;=300000</f>
        <v>1</v>
      </c>
      <c r="D494" s="4" t="b">
        <f>RAW_DATA!F494&gt;=650</f>
        <v>1</v>
      </c>
      <c r="E494" s="4" t="b">
        <f>RAW_DATA!E494&gt;=1</f>
        <v>1</v>
      </c>
      <c r="F494" s="4" t="b">
        <f>RAW_DATA!L494="No"</f>
        <v>1</v>
      </c>
      <c r="G494" s="4" t="b">
        <f t="shared" si="21"/>
        <v>1</v>
      </c>
      <c r="H494" s="4" t="str">
        <f t="shared" si="22"/>
        <v>ELIGIBLE</v>
      </c>
      <c r="I494" s="4" t="str">
        <f t="shared" si="23"/>
        <v/>
      </c>
    </row>
    <row r="495" spans="1:9" x14ac:dyDescent="0.25">
      <c r="A495" s="4" t="str">
        <f>RAW_DATA!A495</f>
        <v>APP494</v>
      </c>
      <c r="B495" s="4" t="b">
        <f>AND(RAW_DATA!B495&gt;=21,RAW_DATA!B495&lt;=60)</f>
        <v>1</v>
      </c>
      <c r="C495" s="4" t="b">
        <f>RAW_DATA!C495&gt;=300000</f>
        <v>1</v>
      </c>
      <c r="D495" s="4" t="b">
        <f>RAW_DATA!F495&gt;=650</f>
        <v>0</v>
      </c>
      <c r="E495" s="4" t="b">
        <f>RAW_DATA!E495&gt;=1</f>
        <v>1</v>
      </c>
      <c r="F495" s="4" t="b">
        <f>RAW_DATA!L495="No"</f>
        <v>1</v>
      </c>
      <c r="G495" s="4" t="b">
        <f t="shared" si="21"/>
        <v>0</v>
      </c>
      <c r="H495" s="4" t="str">
        <f t="shared" si="22"/>
        <v>INELIGIBLE</v>
      </c>
      <c r="I495" s="4" t="str">
        <f t="shared" si="23"/>
        <v>Credit Score</v>
      </c>
    </row>
    <row r="496" spans="1:9" x14ac:dyDescent="0.25">
      <c r="A496" s="4" t="str">
        <f>RAW_DATA!A496</f>
        <v>APP495</v>
      </c>
      <c r="B496" s="4" t="b">
        <f>AND(RAW_DATA!B496&gt;=21,RAW_DATA!B496&lt;=60)</f>
        <v>1</v>
      </c>
      <c r="C496" s="4" t="b">
        <f>RAW_DATA!C496&gt;=300000</f>
        <v>1</v>
      </c>
      <c r="D496" s="4" t="b">
        <f>RAW_DATA!F496&gt;=650</f>
        <v>1</v>
      </c>
      <c r="E496" s="4" t="b">
        <f>RAW_DATA!E496&gt;=1</f>
        <v>1</v>
      </c>
      <c r="F496" s="4" t="b">
        <f>RAW_DATA!L496="No"</f>
        <v>1</v>
      </c>
      <c r="G496" s="4" t="b">
        <f t="shared" si="21"/>
        <v>1</v>
      </c>
      <c r="H496" s="4" t="str">
        <f t="shared" si="22"/>
        <v>ELIGIBLE</v>
      </c>
      <c r="I496" s="4" t="str">
        <f t="shared" si="23"/>
        <v/>
      </c>
    </row>
    <row r="497" spans="1:9" x14ac:dyDescent="0.25">
      <c r="A497" s="4" t="str">
        <f>RAW_DATA!A497</f>
        <v>APP496</v>
      </c>
      <c r="B497" s="4" t="b">
        <f>AND(RAW_DATA!B497&gt;=21,RAW_DATA!B497&lt;=60)</f>
        <v>1</v>
      </c>
      <c r="C497" s="4" t="b">
        <f>RAW_DATA!C497&gt;=300000</f>
        <v>1</v>
      </c>
      <c r="D497" s="4" t="b">
        <f>RAW_DATA!F497&gt;=650</f>
        <v>1</v>
      </c>
      <c r="E497" s="4" t="b">
        <f>RAW_DATA!E497&gt;=1</f>
        <v>1</v>
      </c>
      <c r="F497" s="4" t="b">
        <f>RAW_DATA!L497="No"</f>
        <v>1</v>
      </c>
      <c r="G497" s="4" t="b">
        <f t="shared" si="21"/>
        <v>1</v>
      </c>
      <c r="H497" s="4" t="str">
        <f t="shared" si="22"/>
        <v>ELIGIBLE</v>
      </c>
      <c r="I497" s="4" t="str">
        <f t="shared" si="23"/>
        <v/>
      </c>
    </row>
    <row r="498" spans="1:9" x14ac:dyDescent="0.25">
      <c r="A498" s="4" t="str">
        <f>RAW_DATA!A498</f>
        <v>APP497</v>
      </c>
      <c r="B498" s="4" t="b">
        <f>AND(RAW_DATA!B498&gt;=21,RAW_DATA!B498&lt;=60)</f>
        <v>1</v>
      </c>
      <c r="C498" s="4" t="b">
        <f>RAW_DATA!C498&gt;=300000</f>
        <v>1</v>
      </c>
      <c r="D498" s="4" t="b">
        <f>RAW_DATA!F498&gt;=650</f>
        <v>1</v>
      </c>
      <c r="E498" s="4" t="b">
        <f>RAW_DATA!E498&gt;=1</f>
        <v>1</v>
      </c>
      <c r="F498" s="4" t="b">
        <f>RAW_DATA!L498="No"</f>
        <v>1</v>
      </c>
      <c r="G498" s="4" t="b">
        <f t="shared" si="21"/>
        <v>1</v>
      </c>
      <c r="H498" s="4" t="str">
        <f t="shared" si="22"/>
        <v>ELIGIBLE</v>
      </c>
      <c r="I498" s="4" t="str">
        <f t="shared" si="23"/>
        <v/>
      </c>
    </row>
    <row r="499" spans="1:9" x14ac:dyDescent="0.25">
      <c r="A499" s="4" t="str">
        <f>RAW_DATA!A499</f>
        <v>APP498</v>
      </c>
      <c r="B499" s="4" t="b">
        <f>AND(RAW_DATA!B499&gt;=21,RAW_DATA!B499&lt;=60)</f>
        <v>1</v>
      </c>
      <c r="C499" s="4" t="b">
        <f>RAW_DATA!C499&gt;=300000</f>
        <v>1</v>
      </c>
      <c r="D499" s="4" t="b">
        <f>RAW_DATA!F499&gt;=650</f>
        <v>0</v>
      </c>
      <c r="E499" s="4" t="b">
        <f>RAW_DATA!E499&gt;=1</f>
        <v>1</v>
      </c>
      <c r="F499" s="4" t="b">
        <f>RAW_DATA!L499="No"</f>
        <v>1</v>
      </c>
      <c r="G499" s="4" t="b">
        <f t="shared" si="21"/>
        <v>0</v>
      </c>
      <c r="H499" s="4" t="str">
        <f t="shared" si="22"/>
        <v>INELIGIBLE</v>
      </c>
      <c r="I499" s="4" t="str">
        <f t="shared" si="23"/>
        <v>Credit Score</v>
      </c>
    </row>
    <row r="500" spans="1:9" x14ac:dyDescent="0.25">
      <c r="A500" s="4" t="str">
        <f>RAW_DATA!A500</f>
        <v>APP499</v>
      </c>
      <c r="B500" s="4" t="b">
        <f>AND(RAW_DATA!B500&gt;=21,RAW_DATA!B500&lt;=60)</f>
        <v>1</v>
      </c>
      <c r="C500" s="4" t="b">
        <f>RAW_DATA!C500&gt;=300000</f>
        <v>1</v>
      </c>
      <c r="D500" s="4" t="b">
        <f>RAW_DATA!F500&gt;=650</f>
        <v>1</v>
      </c>
      <c r="E500" s="4" t="b">
        <f>RAW_DATA!E500&gt;=1</f>
        <v>1</v>
      </c>
      <c r="F500" s="4" t="b">
        <f>RAW_DATA!L500="No"</f>
        <v>1</v>
      </c>
      <c r="G500" s="4" t="b">
        <f t="shared" si="21"/>
        <v>1</v>
      </c>
      <c r="H500" s="4" t="str">
        <f t="shared" si="22"/>
        <v>ELIGIBLE</v>
      </c>
      <c r="I500" s="4" t="str">
        <f t="shared" si="23"/>
        <v/>
      </c>
    </row>
    <row r="501" spans="1:9" x14ac:dyDescent="0.25">
      <c r="A501" s="4" t="str">
        <f>RAW_DATA!A501</f>
        <v>APP500</v>
      </c>
      <c r="B501" s="4" t="b">
        <f>AND(RAW_DATA!B501&gt;=21,RAW_DATA!B501&lt;=60)</f>
        <v>1</v>
      </c>
      <c r="C501" s="4" t="b">
        <f>RAW_DATA!C501&gt;=300000</f>
        <v>1</v>
      </c>
      <c r="D501" s="4" t="b">
        <f>RAW_DATA!F501&gt;=650</f>
        <v>0</v>
      </c>
      <c r="E501" s="4" t="b">
        <f>RAW_DATA!E501&gt;=1</f>
        <v>1</v>
      </c>
      <c r="F501" s="4" t="b">
        <f>RAW_DATA!L501="No"</f>
        <v>1</v>
      </c>
      <c r="G501" s="4" t="b">
        <f t="shared" si="21"/>
        <v>0</v>
      </c>
      <c r="H501" s="4" t="str">
        <f t="shared" si="22"/>
        <v>INELIGIBLE</v>
      </c>
      <c r="I501" s="4" t="str">
        <f t="shared" si="23"/>
        <v>Credit Score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9BF32-D968-4A3B-9D4B-32583CB88269}">
  <sheetPr>
    <tabColor theme="9" tint="-0.249977111117893"/>
  </sheetPr>
  <dimension ref="A1:L1"/>
  <sheetViews>
    <sheetView workbookViewId="0">
      <selection activeCell="D12" sqref="D12"/>
    </sheetView>
  </sheetViews>
  <sheetFormatPr defaultColWidth="24.42578125" defaultRowHeight="15" x14ac:dyDescent="0.25"/>
  <sheetData>
    <row r="1" spans="1:12" s="2" customFormat="1" ht="24.95" customHeight="1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23B1A-3100-42A8-BC40-5675BF3E072D}">
  <sheetPr>
    <tabColor rgb="FFFFC000"/>
  </sheetPr>
  <dimension ref="A1"/>
  <sheetViews>
    <sheetView workbookViewId="0">
      <selection activeCell="G39" sqref="G39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A3FB7-5C95-4413-859E-DA522EB3DB8F}">
  <sheetPr>
    <tabColor theme="5"/>
  </sheetPr>
  <dimension ref="A1"/>
  <sheetViews>
    <sheetView workbookViewId="0">
      <selection activeCell="E34" sqref="E3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RAW_DATA</vt:lpstr>
      <vt:lpstr>SCORING_ENGINE</vt:lpstr>
      <vt:lpstr>DECISION_OUTPUT</vt:lpstr>
      <vt:lpstr>AUDIT_TRAIL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asawari fuse</dc:creator>
  <cp:lastModifiedBy>asawari fuse</cp:lastModifiedBy>
  <dcterms:created xsi:type="dcterms:W3CDTF">2026-06-16T05:52:56Z</dcterms:created>
  <dcterms:modified xsi:type="dcterms:W3CDTF">2026-06-18T11:41:55Z</dcterms:modified>
</cp:coreProperties>
</file>